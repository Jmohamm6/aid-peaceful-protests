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hart1.xml" ContentType="application/vnd.openxmlformats-officedocument.drawingml.chart+xml"/>
  <Override PartName="/xl/drawings/drawing6.xml" ContentType="application/vnd.openxmlformats-officedocument.drawingml.chartshapes+xml"/>
  <Override PartName="/xl/drawings/drawing7.xml" ContentType="application/vnd.openxmlformats-officedocument.drawing+xml"/>
  <Override PartName="/xl/charts/chart2.xml" ContentType="application/vnd.openxmlformats-officedocument.drawingml.chart+xml"/>
  <Override PartName="/xl/drawings/drawing8.xml" ContentType="application/vnd.openxmlformats-officedocument.drawingml.chartshapes+xml"/>
  <Override PartName="/xl/drawings/drawing9.xml" ContentType="application/vnd.openxmlformats-officedocument.drawing+xml"/>
  <Override PartName="/xl/charts/chart3.xml" ContentType="application/vnd.openxmlformats-officedocument.drawingml.chart+xml"/>
  <Override PartName="/xl/drawings/drawing10.xml" ContentType="application/vnd.openxmlformats-officedocument.drawingml.chartshapes+xml"/>
  <Override PartName="/xl/drawings/drawing11.xml" ContentType="application/vnd.openxmlformats-officedocument.drawing+xml"/>
  <Override PartName="/xl/charts/chart4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1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30"/>
  <workbookPr/>
  <mc:AlternateContent xmlns:mc="http://schemas.openxmlformats.org/markup-compatibility/2006">
    <mc:Choice Requires="x15">
      <x15ac:absPath xmlns:x15ac="http://schemas.microsoft.com/office/spreadsheetml/2010/11/ac" url="/Users/jmohamm6/Desktop/"/>
    </mc:Choice>
  </mc:AlternateContent>
  <xr:revisionPtr revIDLastSave="0" documentId="8_{A7F0EB2E-1BAA-014D-8DB3-337DF00BAE7A}" xr6:coauthVersionLast="47" xr6:coauthVersionMax="47" xr10:uidLastSave="{00000000-0000-0000-0000-000000000000}"/>
  <bookViews>
    <workbookView xWindow="0" yWindow="760" windowWidth="25200" windowHeight="10460" firstSheet="17" activeTab="32" xr2:uid="{00000000-000D-0000-FFFF-FFFF00000000}"/>
  </bookViews>
  <sheets>
    <sheet name="1-4" sheetId="100" r:id="rId1"/>
    <sheet name="2-4" sheetId="51" r:id="rId2"/>
    <sheet name="3-4" sheetId="105" r:id="rId3"/>
    <sheet name="4-4" sheetId="20" r:id="rId4"/>
    <sheet name="5-4" sheetId="101" r:id="rId5"/>
    <sheet name="6-4" sheetId="98" r:id="rId6"/>
    <sheet name="7-4" sheetId="102" r:id="rId7"/>
    <sheet name="8-4" sheetId="97" r:id="rId8"/>
    <sheet name="9-4" sheetId="103" r:id="rId9"/>
    <sheet name="10-4" sheetId="99" r:id="rId10"/>
    <sheet name="تربیه معلم 4-12" sheetId="23" state="hidden" r:id="rId11"/>
    <sheet name="11-4" sheetId="104" r:id="rId12"/>
    <sheet name="12-4" sheetId="57" r:id="rId13"/>
    <sheet name="13-4" sheetId="88" r:id="rId14"/>
    <sheet name="14-4" sheetId="106" r:id="rId15"/>
    <sheet name="15-4" sheetId="89" r:id="rId16"/>
    <sheet name="New TA" sheetId="82" state="hidden" r:id="rId17"/>
    <sheet name="4-16" sheetId="123" r:id="rId18"/>
    <sheet name="17-4" sheetId="122" r:id="rId19"/>
    <sheet name="18-4" sheetId="124" r:id="rId20"/>
    <sheet name="19-4" sheetId="125" r:id="rId21"/>
    <sheet name="20-4" sheetId="127" r:id="rId22"/>
    <sheet name="21-4" sheetId="126" r:id="rId23"/>
    <sheet name="22-4" sheetId="128" r:id="rId24"/>
    <sheet name="23-4" sheetId="129" r:id="rId25"/>
    <sheet name="24-4" sheetId="130" r:id="rId26"/>
    <sheet name="25-4" sheetId="131" r:id="rId27"/>
    <sheet name="26-4" sheetId="132" r:id="rId28"/>
    <sheet name="27-4" sheetId="133" r:id="rId29"/>
    <sheet name="28-4" sheetId="134" r:id="rId30"/>
    <sheet name="29-4" sheetId="135" r:id="rId31"/>
    <sheet name="30-4" sheetId="136" r:id="rId32"/>
    <sheet name="31-4" sheetId="137" r:id="rId33"/>
    <sheet name="Sheet1" sheetId="138" r:id="rId34"/>
    <sheet name="گزار" sheetId="76" state="hidden" r:id="rId35"/>
  </sheets>
  <definedNames>
    <definedName name="_xlnm._FilterDatabase" localSheetId="0" hidden="1">'1-4'!$D$1:$D$28</definedName>
    <definedName name="_xlnm._FilterDatabase" localSheetId="19" hidden="1">'18-4'!$C$208:$N$234</definedName>
    <definedName name="_xlnm._FilterDatabase" localSheetId="17" hidden="1">'4-16'!$C$130:$N$158</definedName>
    <definedName name="_xlnm._FilterDatabase" localSheetId="16" hidden="1">'New TA'!$C$113:$N$138</definedName>
    <definedName name="_xlnm.Print_Area" localSheetId="0">'1-4'!$A$1:$E$39</definedName>
    <definedName name="_xlnm.Print_Area" localSheetId="9">'10-4'!$A$1:$J$44</definedName>
    <definedName name="_xlnm.Print_Area" localSheetId="11">'11-4'!$A$1:$L$152</definedName>
    <definedName name="_xlnm.Print_Area" localSheetId="12">'12-4'!$A$1:$F$30</definedName>
    <definedName name="_xlnm.Print_Area" localSheetId="13">'13-4'!$A$1:$G$20</definedName>
    <definedName name="_xlnm.Print_Area" localSheetId="14">'14-4'!$A$1:$P$45</definedName>
    <definedName name="_xlnm.Print_Area" localSheetId="15">'15-4'!$A$1:$G$21</definedName>
    <definedName name="_xlnm.Print_Area" localSheetId="18">'17-4'!$A$1:$G$21</definedName>
    <definedName name="_xlnm.Print_Area" localSheetId="19">'18-4'!$A$1:$P$338</definedName>
    <definedName name="_xlnm.Print_Area" localSheetId="20">'19-4'!$A$1:$L$19</definedName>
    <definedName name="_xlnm.Print_Area" localSheetId="1">'2-4'!$A$1:$K$44</definedName>
    <definedName name="_xlnm.Print_Area" localSheetId="21">'20-4'!$A$1:$H$47</definedName>
    <definedName name="_xlnm.Print_Area" localSheetId="22">'21-4'!$A$1:$G$19</definedName>
    <definedName name="_xlnm.Print_Area" localSheetId="23">'22-4'!$A$1:$G$30</definedName>
    <definedName name="_xlnm.Print_Area" localSheetId="24">'23-4'!$A$1:$M$78</definedName>
    <definedName name="_xlnm.Print_Area" localSheetId="25">'24-4'!$A$1:$M$42</definedName>
    <definedName name="_xlnm.Print_Area" localSheetId="26">'25-4'!$A$1:$M$83</definedName>
    <definedName name="_xlnm.Print_Area" localSheetId="27">'26-4'!$A$1:$M$42</definedName>
    <definedName name="_xlnm.Print_Area" localSheetId="28">'27-4'!$A$1:$M$82</definedName>
    <definedName name="_xlnm.Print_Area" localSheetId="29">'28-4'!$A$1:$M$42</definedName>
    <definedName name="_xlnm.Print_Area" localSheetId="30">'29-4'!$A$1:$M$50</definedName>
    <definedName name="_xlnm.Print_Area" localSheetId="2">'3-4'!$E$1:$K$44</definedName>
    <definedName name="_xlnm.Print_Area" localSheetId="31">'30-4'!$A$1:$M$82</definedName>
    <definedName name="_xlnm.Print_Area" localSheetId="32">'31-4'!$A$1:$M$229</definedName>
    <definedName name="_xlnm.Print_Area" localSheetId="17">'4-16'!$A$1:$P$301</definedName>
    <definedName name="_xlnm.Print_Area" localSheetId="3">'4-4'!$C$1:$J$44</definedName>
    <definedName name="_xlnm.Print_Area" localSheetId="4">'5-4'!$A$1:$H$44</definedName>
    <definedName name="_xlnm.Print_Area" localSheetId="5">'6-4'!$B$1:$J$44</definedName>
    <definedName name="_xlnm.Print_Area" localSheetId="6">'7-4'!$A$1:$L$44</definedName>
    <definedName name="_xlnm.Print_Area" localSheetId="7">'8-4'!$A$1:$G$44</definedName>
    <definedName name="_xlnm.Print_Area" localSheetId="8">'9-4'!$B$1:$L$44</definedName>
    <definedName name="_xlnm.Print_Area" localSheetId="16">'New TA'!$A$1:$P$256</definedName>
    <definedName name="_xlnm.Print_Area" localSheetId="10">'تربیه معلم 4-12'!$J$1:$U$99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29" i="124" l="1"/>
  <c r="E328" i="124"/>
  <c r="E318" i="124"/>
  <c r="E312" i="124"/>
  <c r="E311" i="124"/>
  <c r="E309" i="124"/>
  <c r="E308" i="124"/>
  <c r="E307" i="124"/>
  <c r="E296" i="124"/>
  <c r="E287" i="124"/>
  <c r="E286" i="124"/>
  <c r="E285" i="124"/>
  <c r="E284" i="124"/>
  <c r="E283" i="124"/>
  <c r="E282" i="124"/>
  <c r="E281" i="124"/>
  <c r="E271" i="124"/>
  <c r="E270" i="124"/>
  <c r="E268" i="124"/>
  <c r="E266" i="124"/>
  <c r="E265" i="124"/>
  <c r="E261" i="124"/>
  <c r="E260" i="124"/>
  <c r="E259" i="124"/>
  <c r="E258" i="124"/>
  <c r="E243" i="124"/>
  <c r="E237" i="124"/>
  <c r="E232" i="124"/>
  <c r="E231" i="124"/>
  <c r="E230" i="124"/>
  <c r="E218" i="124"/>
  <c r="E217" i="124"/>
  <c r="E216" i="124"/>
  <c r="E215" i="124"/>
  <c r="E213" i="124"/>
  <c r="E212" i="124"/>
  <c r="E211" i="124"/>
  <c r="E210" i="124"/>
  <c r="E209" i="124"/>
  <c r="E191" i="124"/>
  <c r="E190" i="124"/>
  <c r="E189" i="124"/>
  <c r="E187" i="124"/>
  <c r="E186" i="124"/>
  <c r="E185" i="124"/>
  <c r="E183" i="124"/>
  <c r="E182" i="124"/>
  <c r="E181" i="124"/>
  <c r="E180" i="124"/>
  <c r="E179" i="124"/>
  <c r="E178" i="124"/>
  <c r="E177" i="124"/>
  <c r="E175" i="124"/>
  <c r="E173" i="124"/>
  <c r="E164" i="124"/>
  <c r="E163" i="124"/>
  <c r="E162" i="124"/>
  <c r="E160" i="124"/>
  <c r="E159" i="124"/>
  <c r="E158" i="124"/>
  <c r="E156" i="124"/>
  <c r="E154" i="124"/>
  <c r="E153" i="124"/>
  <c r="E151" i="124"/>
  <c r="E150" i="124"/>
  <c r="E149" i="124"/>
  <c r="E137" i="124"/>
  <c r="E136" i="124"/>
  <c r="E135" i="124"/>
  <c r="E132" i="124"/>
  <c r="E131" i="124"/>
  <c r="E130" i="124"/>
  <c r="E127" i="124"/>
  <c r="E126" i="124"/>
  <c r="E124" i="124"/>
  <c r="E123" i="124"/>
  <c r="E122" i="124"/>
  <c r="E121" i="124"/>
  <c r="E111" i="124"/>
  <c r="E110" i="124"/>
  <c r="E109" i="124"/>
  <c r="E108" i="124"/>
  <c r="E107" i="124"/>
  <c r="E106" i="124"/>
  <c r="E105" i="124"/>
  <c r="E103" i="124"/>
  <c r="E102" i="124"/>
  <c r="E101" i="124"/>
  <c r="E100" i="124"/>
  <c r="E99" i="124"/>
  <c r="E97" i="124"/>
  <c r="E96" i="124"/>
  <c r="E95" i="124"/>
  <c r="E94" i="124"/>
  <c r="E93" i="124"/>
  <c r="E92" i="124"/>
  <c r="E91" i="124"/>
  <c r="E82" i="124"/>
  <c r="E81" i="124"/>
  <c r="E80" i="124"/>
  <c r="E79" i="124"/>
  <c r="E78" i="124"/>
  <c r="E75" i="124"/>
  <c r="E74" i="124"/>
  <c r="E73" i="124"/>
  <c r="E72" i="124"/>
  <c r="E71" i="124"/>
  <c r="E67" i="124"/>
  <c r="E66" i="124"/>
  <c r="E65" i="124"/>
  <c r="E64" i="124"/>
  <c r="E55" i="124"/>
  <c r="E54" i="124"/>
  <c r="E53" i="124"/>
  <c r="E51" i="124"/>
  <c r="E50" i="124"/>
  <c r="E49" i="124"/>
  <c r="E48" i="124"/>
  <c r="E47" i="124"/>
  <c r="E46" i="124"/>
  <c r="E45" i="124"/>
  <c r="E44" i="124"/>
  <c r="E41" i="124"/>
  <c r="E26" i="124"/>
  <c r="E13" i="124"/>
  <c r="E335" i="124"/>
  <c r="E334" i="124"/>
  <c r="E333" i="124"/>
  <c r="E331" i="124"/>
  <c r="C15" i="128"/>
  <c r="C6" i="89"/>
  <c r="K14" i="134"/>
  <c r="D6" i="57"/>
  <c r="D10" i="127" l="1"/>
  <c r="G10" i="124"/>
  <c r="H10" i="124"/>
  <c r="E330" i="124"/>
  <c r="E317" i="124"/>
  <c r="E316" i="124"/>
  <c r="E315" i="124"/>
  <c r="E314" i="124"/>
  <c r="E306" i="124"/>
  <c r="E295" i="124"/>
  <c r="E294" i="124"/>
  <c r="E293" i="124"/>
  <c r="E291" i="124"/>
  <c r="E290" i="124"/>
  <c r="E289" i="124"/>
  <c r="E264" i="124"/>
  <c r="E263" i="124"/>
  <c r="E256" i="124"/>
  <c r="E255" i="124"/>
  <c r="E254" i="124"/>
  <c r="E245" i="124"/>
  <c r="E244" i="124"/>
  <c r="E242" i="124"/>
  <c r="E241" i="124"/>
  <c r="E240" i="124"/>
  <c r="E239" i="124"/>
  <c r="E236" i="124"/>
  <c r="E235" i="124"/>
  <c r="E234" i="124"/>
  <c r="E229" i="124"/>
  <c r="E219" i="124"/>
  <c r="E208" i="124"/>
  <c r="E207" i="124"/>
  <c r="E206" i="124"/>
  <c r="E205" i="124"/>
  <c r="E204" i="124"/>
  <c r="E176" i="124"/>
  <c r="E172" i="124"/>
  <c r="E155" i="124"/>
  <c r="E148" i="124"/>
  <c r="E147" i="124"/>
  <c r="E134" i="124"/>
  <c r="E129" i="124"/>
  <c r="E70" i="124"/>
  <c r="E69" i="124"/>
  <c r="E43" i="124"/>
  <c r="E42" i="124"/>
  <c r="E40" i="124"/>
  <c r="E39" i="124"/>
  <c r="E38" i="124"/>
  <c r="E37" i="124"/>
  <c r="E28" i="124"/>
  <c r="E27" i="124"/>
  <c r="E25" i="124"/>
  <c r="E24" i="124"/>
  <c r="E23" i="124"/>
  <c r="E21" i="124"/>
  <c r="E20" i="124"/>
  <c r="E19" i="124"/>
  <c r="E18" i="124"/>
  <c r="E17" i="124"/>
  <c r="E16" i="124"/>
  <c r="E15" i="124"/>
  <c r="E14" i="124"/>
  <c r="E12" i="124"/>
  <c r="N298" i="123"/>
  <c r="N297" i="123"/>
  <c r="N296" i="123"/>
  <c r="N295" i="123"/>
  <c r="N291" i="123"/>
  <c r="N290" i="123"/>
  <c r="N289" i="123"/>
  <c r="N288" i="123"/>
  <c r="N287" i="123"/>
  <c r="N286" i="123"/>
  <c r="N285" i="123"/>
  <c r="N284" i="123"/>
  <c r="N282" i="123"/>
  <c r="N281" i="123"/>
  <c r="N280" i="123"/>
  <c r="N269" i="123"/>
  <c r="N267" i="123"/>
  <c r="N266" i="123"/>
  <c r="N265" i="123"/>
  <c r="N264" i="123"/>
  <c r="N262" i="123"/>
  <c r="N261" i="123"/>
  <c r="N260" i="123"/>
  <c r="N259" i="123"/>
  <c r="N258" i="123"/>
  <c r="N257" i="123"/>
  <c r="N256" i="123"/>
  <c r="N255" i="123"/>
  <c r="N254" i="123"/>
  <c r="N244" i="123"/>
  <c r="N243" i="123"/>
  <c r="N242" i="123"/>
  <c r="N241" i="123"/>
  <c r="N240" i="123"/>
  <c r="N239" i="123"/>
  <c r="N238" i="123"/>
  <c r="N237" i="123"/>
  <c r="N236" i="123"/>
  <c r="N234" i="123"/>
  <c r="N233" i="123"/>
  <c r="N232" i="123"/>
  <c r="N231" i="123"/>
  <c r="N230" i="123"/>
  <c r="N219" i="123"/>
  <c r="N218" i="123"/>
  <c r="N217" i="123"/>
  <c r="N216" i="123"/>
  <c r="N215" i="123"/>
  <c r="N214" i="123"/>
  <c r="N211" i="123"/>
  <c r="N210" i="123"/>
  <c r="N209" i="123"/>
  <c r="N206" i="123"/>
  <c r="N205" i="123"/>
  <c r="N204" i="123"/>
  <c r="N194" i="123"/>
  <c r="N193" i="123"/>
  <c r="N192" i="123"/>
  <c r="N191" i="123"/>
  <c r="N190" i="123"/>
  <c r="N188" i="123"/>
  <c r="N187" i="123"/>
  <c r="N185" i="123"/>
  <c r="N184" i="123"/>
  <c r="N183" i="123"/>
  <c r="N182" i="123"/>
  <c r="N181" i="123"/>
  <c r="N178" i="123"/>
  <c r="N177" i="123"/>
  <c r="N176" i="123"/>
  <c r="N168" i="123"/>
  <c r="N167" i="123"/>
  <c r="N166" i="123"/>
  <c r="N165" i="123"/>
  <c r="N163" i="123"/>
  <c r="N162" i="123"/>
  <c r="N161" i="123"/>
  <c r="N159" i="123"/>
  <c r="N158" i="123"/>
  <c r="N157" i="123"/>
  <c r="N156" i="123"/>
  <c r="N153" i="123"/>
  <c r="N152" i="123"/>
  <c r="N151" i="123"/>
  <c r="N139" i="123"/>
  <c r="N138" i="123"/>
  <c r="N137" i="123"/>
  <c r="N135" i="123"/>
  <c r="N134" i="123"/>
  <c r="N133" i="123"/>
  <c r="N132" i="123"/>
  <c r="N130" i="123"/>
  <c r="N129" i="123"/>
  <c r="N128" i="123"/>
  <c r="N127" i="123"/>
  <c r="N126" i="123"/>
  <c r="N125" i="123"/>
  <c r="N123" i="123"/>
  <c r="N122" i="123"/>
  <c r="N113" i="123"/>
  <c r="N112" i="123"/>
  <c r="N111" i="123"/>
  <c r="N110" i="123"/>
  <c r="N108" i="123"/>
  <c r="N107" i="123"/>
  <c r="N106" i="123"/>
  <c r="N105" i="123"/>
  <c r="N104" i="123"/>
  <c r="N103" i="123"/>
  <c r="N102" i="123"/>
  <c r="N101" i="123"/>
  <c r="N100" i="123"/>
  <c r="N98" i="123"/>
  <c r="N97" i="123"/>
  <c r="N96" i="123"/>
  <c r="N87" i="123"/>
  <c r="N86" i="123"/>
  <c r="N85" i="123"/>
  <c r="N83" i="123"/>
  <c r="N81" i="123"/>
  <c r="N80" i="123"/>
  <c r="N79" i="123"/>
  <c r="N78" i="123"/>
  <c r="N74" i="123"/>
  <c r="N73" i="123"/>
  <c r="N72" i="123"/>
  <c r="N71" i="123"/>
  <c r="N70" i="123"/>
  <c r="N68" i="123"/>
  <c r="N58" i="123"/>
  <c r="N57" i="123"/>
  <c r="N56" i="123"/>
  <c r="N51" i="123"/>
  <c r="N50" i="123"/>
  <c r="N48" i="123"/>
  <c r="N47" i="123"/>
  <c r="N46" i="123"/>
  <c r="N45" i="123"/>
  <c r="N44" i="123"/>
  <c r="N43" i="123"/>
  <c r="N42" i="123"/>
  <c r="N41" i="123"/>
  <c r="N40" i="123"/>
  <c r="N39" i="123"/>
  <c r="N38" i="123"/>
  <c r="K181" i="123"/>
  <c r="E10" i="124" l="1"/>
  <c r="C6" i="88"/>
  <c r="I24" i="104"/>
  <c r="G24" i="104"/>
  <c r="G58" i="104"/>
  <c r="I66" i="104"/>
  <c r="G66" i="104"/>
  <c r="F42" i="101"/>
  <c r="F43" i="101"/>
  <c r="I43" i="51"/>
  <c r="I42" i="51"/>
  <c r="I41" i="51"/>
  <c r="I40" i="51"/>
  <c r="I39" i="51"/>
  <c r="I38" i="51"/>
  <c r="I37" i="51"/>
  <c r="I36" i="51"/>
  <c r="I35" i="51"/>
  <c r="I34" i="51"/>
  <c r="I33" i="51"/>
  <c r="I32" i="51"/>
  <c r="I31" i="51"/>
  <c r="I30" i="51"/>
  <c r="I29" i="51"/>
  <c r="I28" i="51"/>
  <c r="I27" i="51"/>
  <c r="I26" i="51"/>
  <c r="I25" i="51"/>
  <c r="I24" i="51"/>
  <c r="I23" i="51"/>
  <c r="I22" i="51"/>
  <c r="I21" i="51"/>
  <c r="I20" i="51"/>
  <c r="I19" i="51"/>
  <c r="I18" i="51"/>
  <c r="I17" i="51"/>
  <c r="I16" i="51"/>
  <c r="I15" i="51"/>
  <c r="I14" i="51"/>
  <c r="I13" i="51"/>
  <c r="I12" i="51"/>
  <c r="I11" i="51"/>
  <c r="I10" i="51"/>
  <c r="I9" i="51" s="1"/>
  <c r="N29" i="123"/>
  <c r="N25" i="123"/>
  <c r="N24" i="123"/>
  <c r="N21" i="123"/>
  <c r="N19" i="123"/>
  <c r="N18" i="123"/>
  <c r="N16" i="123"/>
  <c r="N15" i="123"/>
  <c r="N14" i="123"/>
  <c r="N13" i="123"/>
  <c r="N12" i="123"/>
  <c r="H14" i="123"/>
  <c r="H13" i="123"/>
  <c r="H12" i="123"/>
  <c r="K228" i="137"/>
  <c r="K226" i="137"/>
  <c r="K225" i="137"/>
  <c r="K223" i="137"/>
  <c r="K222" i="137"/>
  <c r="K221" i="137"/>
  <c r="K220" i="137"/>
  <c r="K218" i="137"/>
  <c r="K214" i="137"/>
  <c r="K213" i="137"/>
  <c r="K204" i="137"/>
  <c r="K203" i="137"/>
  <c r="K202" i="137"/>
  <c r="K200" i="137"/>
  <c r="K198" i="137"/>
  <c r="K197" i="137"/>
  <c r="K196" i="137"/>
  <c r="K195" i="137"/>
  <c r="K193" i="137"/>
  <c r="K192" i="137"/>
  <c r="K191" i="137"/>
  <c r="K190" i="137"/>
  <c r="K180" i="137"/>
  <c r="K178" i="137"/>
  <c r="K177" i="137"/>
  <c r="K176" i="137"/>
  <c r="K175" i="137"/>
  <c r="K174" i="137"/>
  <c r="K173" i="137"/>
  <c r="K172" i="137"/>
  <c r="K171" i="137"/>
  <c r="K170" i="137"/>
  <c r="K168" i="137"/>
  <c r="K149" i="137"/>
  <c r="K148" i="137"/>
  <c r="K147" i="137"/>
  <c r="K146" i="137"/>
  <c r="K152" i="137"/>
  <c r="K151" i="137"/>
  <c r="K153" i="137"/>
  <c r="K157" i="137"/>
  <c r="K156" i="137"/>
  <c r="K155" i="137"/>
  <c r="K159" i="137"/>
  <c r="K137" i="137"/>
  <c r="K135" i="137"/>
  <c r="K132" i="137"/>
  <c r="K131" i="137"/>
  <c r="K130" i="137"/>
  <c r="K128" i="137"/>
  <c r="K126" i="137"/>
  <c r="K125" i="137"/>
  <c r="K122" i="137"/>
  <c r="K113" i="137"/>
  <c r="K112" i="137"/>
  <c r="K111" i="137"/>
  <c r="K109" i="137"/>
  <c r="K105" i="137"/>
  <c r="K104" i="137"/>
  <c r="K102" i="137"/>
  <c r="K89" i="137"/>
  <c r="K90" i="137"/>
  <c r="K88" i="137"/>
  <c r="K87" i="137"/>
  <c r="K86" i="137"/>
  <c r="K85" i="137"/>
  <c r="K83" i="137"/>
  <c r="K82" i="137"/>
  <c r="K81" i="137"/>
  <c r="K80" i="137"/>
  <c r="K71" i="137"/>
  <c r="K70" i="137"/>
  <c r="K69" i="137"/>
  <c r="K68" i="137"/>
  <c r="K67" i="137"/>
  <c r="K66" i="137"/>
  <c r="K64" i="137"/>
  <c r="K63" i="137"/>
  <c r="K62" i="137"/>
  <c r="K61" i="137"/>
  <c r="K60" i="137"/>
  <c r="K59" i="137"/>
  <c r="K58" i="137"/>
  <c r="K50" i="137"/>
  <c r="K49" i="137"/>
  <c r="K48" i="137"/>
  <c r="K47" i="137"/>
  <c r="K46" i="137"/>
  <c r="K45" i="137"/>
  <c r="K44" i="137"/>
  <c r="K43" i="137"/>
  <c r="K41" i="137"/>
  <c r="K40" i="137"/>
  <c r="K38" i="137"/>
  <c r="K37" i="137"/>
  <c r="K28" i="137"/>
  <c r="K27" i="137"/>
  <c r="K26" i="137"/>
  <c r="K25" i="137"/>
  <c r="K24" i="137"/>
  <c r="K23" i="137"/>
  <c r="K22" i="137"/>
  <c r="K21" i="137"/>
  <c r="K20" i="137"/>
  <c r="K19" i="137"/>
  <c r="K18" i="137"/>
  <c r="K17" i="137"/>
  <c r="K16" i="137"/>
  <c r="K15" i="137"/>
  <c r="K14" i="137"/>
  <c r="E30" i="134"/>
  <c r="J9" i="129"/>
  <c r="E176" i="123"/>
  <c r="K176" i="123"/>
  <c r="C7" i="100"/>
  <c r="C6" i="122"/>
  <c r="F9" i="137"/>
  <c r="G9" i="137"/>
  <c r="I9" i="137"/>
  <c r="J9" i="137"/>
  <c r="D11" i="137"/>
  <c r="H11" i="137"/>
  <c r="D12" i="137"/>
  <c r="E12" i="137"/>
  <c r="H12" i="137"/>
  <c r="D13" i="137"/>
  <c r="E13" i="137" s="1"/>
  <c r="H13" i="137"/>
  <c r="K13" i="137"/>
  <c r="E14" i="137"/>
  <c r="H14" i="137"/>
  <c r="D15" i="137"/>
  <c r="E15" i="137" s="1"/>
  <c r="H15" i="137"/>
  <c r="D16" i="137"/>
  <c r="E16" i="137" s="1"/>
  <c r="H16" i="137"/>
  <c r="D17" i="137"/>
  <c r="E17" i="137" s="1"/>
  <c r="H17" i="137"/>
  <c r="D18" i="137"/>
  <c r="E18" i="137" s="1"/>
  <c r="H18" i="137"/>
  <c r="D19" i="137"/>
  <c r="E19" i="137" s="1"/>
  <c r="H19" i="137"/>
  <c r="D20" i="137"/>
  <c r="E20" i="137" s="1"/>
  <c r="H20" i="137"/>
  <c r="D21" i="137"/>
  <c r="E21" i="137" s="1"/>
  <c r="D22" i="137"/>
  <c r="E22" i="137" s="1"/>
  <c r="H22" i="137"/>
  <c r="D23" i="137"/>
  <c r="E23" i="137" s="1"/>
  <c r="H23" i="137"/>
  <c r="D24" i="137"/>
  <c r="E24" i="137" s="1"/>
  <c r="D25" i="137"/>
  <c r="E25" i="137"/>
  <c r="H25" i="137"/>
  <c r="D26" i="137"/>
  <c r="E26" i="137" s="1"/>
  <c r="H26" i="137"/>
  <c r="D27" i="137"/>
  <c r="E27" i="137"/>
  <c r="H27" i="137"/>
  <c r="D28" i="137"/>
  <c r="E28" i="137"/>
  <c r="H28" i="137"/>
  <c r="D36" i="137"/>
  <c r="E36" i="137"/>
  <c r="H36" i="137"/>
  <c r="K36" i="137"/>
  <c r="E37" i="137"/>
  <c r="H37" i="137"/>
  <c r="D38" i="137"/>
  <c r="E38" i="137" s="1"/>
  <c r="H38" i="137"/>
  <c r="D40" i="137"/>
  <c r="E40" i="137" s="1"/>
  <c r="H40" i="137"/>
  <c r="D41" i="137"/>
  <c r="E41" i="137" s="1"/>
  <c r="H41" i="137"/>
  <c r="D42" i="137"/>
  <c r="E42" i="137" s="1"/>
  <c r="H42" i="137"/>
  <c r="K42" i="137"/>
  <c r="D43" i="137"/>
  <c r="E43" i="137" s="1"/>
  <c r="H43" i="137"/>
  <c r="D44" i="137"/>
  <c r="E44" i="137" s="1"/>
  <c r="H44" i="137"/>
  <c r="D45" i="137"/>
  <c r="E45" i="137" s="1"/>
  <c r="H45" i="137"/>
  <c r="D46" i="137"/>
  <c r="E46" i="137" s="1"/>
  <c r="H46" i="137"/>
  <c r="D47" i="137"/>
  <c r="E47" i="137" s="1"/>
  <c r="H47" i="137"/>
  <c r="D48" i="137"/>
  <c r="E48" i="137" s="1"/>
  <c r="H48" i="137"/>
  <c r="D49" i="137"/>
  <c r="E49" i="137" s="1"/>
  <c r="H49" i="137"/>
  <c r="D50" i="137"/>
  <c r="E50" i="137" s="1"/>
  <c r="H50" i="137"/>
  <c r="D58" i="137"/>
  <c r="E58" i="137" s="1"/>
  <c r="D59" i="137"/>
  <c r="E59" i="137" s="1"/>
  <c r="H59" i="137"/>
  <c r="D60" i="137"/>
  <c r="E60" i="137" s="1"/>
  <c r="H60" i="137"/>
  <c r="D61" i="137"/>
  <c r="E61" i="137" s="1"/>
  <c r="H61" i="137"/>
  <c r="D62" i="137"/>
  <c r="E62" i="137" s="1"/>
  <c r="H62" i="137"/>
  <c r="C63" i="137"/>
  <c r="D63" i="137"/>
  <c r="H63" i="137"/>
  <c r="D64" i="137"/>
  <c r="E64" i="137"/>
  <c r="H64" i="137"/>
  <c r="C65" i="137"/>
  <c r="D65" i="137"/>
  <c r="H65" i="137"/>
  <c r="K65" i="137"/>
  <c r="E66" i="137"/>
  <c r="H66" i="137"/>
  <c r="D67" i="137"/>
  <c r="E67" i="137" s="1"/>
  <c r="H67" i="137"/>
  <c r="D68" i="137"/>
  <c r="E68" i="137" s="1"/>
  <c r="H68" i="137"/>
  <c r="D69" i="137"/>
  <c r="E69" i="137" s="1"/>
  <c r="E70" i="137"/>
  <c r="D71" i="137"/>
  <c r="E71" i="137" s="1"/>
  <c r="H71" i="137"/>
  <c r="D79" i="137"/>
  <c r="E79" i="137" s="1"/>
  <c r="H79" i="137"/>
  <c r="K79" i="137"/>
  <c r="D80" i="137"/>
  <c r="E80" i="137" s="1"/>
  <c r="H80" i="137"/>
  <c r="E81" i="137"/>
  <c r="H81" i="137"/>
  <c r="D82" i="137"/>
  <c r="E82" i="137"/>
  <c r="H82" i="137"/>
  <c r="D83" i="137"/>
  <c r="E83" i="137"/>
  <c r="H83" i="137"/>
  <c r="D84" i="137"/>
  <c r="E84" i="137" s="1"/>
  <c r="D85" i="137"/>
  <c r="E85" i="137" s="1"/>
  <c r="H85" i="137"/>
  <c r="E86" i="137"/>
  <c r="H86" i="137"/>
  <c r="E87" i="137"/>
  <c r="D88" i="137"/>
  <c r="E88" i="137"/>
  <c r="H88" i="137"/>
  <c r="D89" i="137"/>
  <c r="E89" i="137" s="1"/>
  <c r="H89" i="137"/>
  <c r="D90" i="137"/>
  <c r="E90" i="137"/>
  <c r="H90" i="137"/>
  <c r="D100" i="137"/>
  <c r="E100" i="137" s="1"/>
  <c r="K100" i="137"/>
  <c r="D102" i="137"/>
  <c r="E102" i="137"/>
  <c r="H102" i="137"/>
  <c r="E104" i="137"/>
  <c r="H104" i="137"/>
  <c r="D105" i="137"/>
  <c r="E105" i="137"/>
  <c r="H105" i="137"/>
  <c r="D106" i="137"/>
  <c r="E106" i="137" s="1"/>
  <c r="H106" i="137"/>
  <c r="K106" i="137"/>
  <c r="D107" i="137"/>
  <c r="E107" i="137" s="1"/>
  <c r="H107" i="137"/>
  <c r="K107" i="137"/>
  <c r="D108" i="137"/>
  <c r="E108" i="137" s="1"/>
  <c r="H108" i="137"/>
  <c r="K108" i="137"/>
  <c r="D109" i="137"/>
  <c r="E109" i="137"/>
  <c r="H109" i="137"/>
  <c r="D111" i="137"/>
  <c r="E111" i="137" s="1"/>
  <c r="H111" i="137"/>
  <c r="D112" i="137"/>
  <c r="E112" i="137"/>
  <c r="H112" i="137"/>
  <c r="C113" i="137"/>
  <c r="D113" i="137"/>
  <c r="E113" i="137" s="1"/>
  <c r="H113" i="137"/>
  <c r="D122" i="137"/>
  <c r="E122" i="137"/>
  <c r="H122" i="137"/>
  <c r="D124" i="137"/>
  <c r="E124" i="137"/>
  <c r="H124" i="137"/>
  <c r="K124" i="137"/>
  <c r="D125" i="137"/>
  <c r="E125" i="137" s="1"/>
  <c r="H125" i="137"/>
  <c r="D126" i="137"/>
  <c r="E126" i="137"/>
  <c r="H126" i="137"/>
  <c r="D128" i="137"/>
  <c r="E128" i="137"/>
  <c r="H128" i="137"/>
  <c r="D130" i="137"/>
  <c r="E130" i="137"/>
  <c r="H130" i="137"/>
  <c r="D131" i="137"/>
  <c r="E131" i="137"/>
  <c r="H131" i="137"/>
  <c r="D132" i="137"/>
  <c r="E132" i="137" s="1"/>
  <c r="H132" i="137"/>
  <c r="D133" i="137"/>
  <c r="E133" i="137"/>
  <c r="H133" i="137"/>
  <c r="K133" i="137"/>
  <c r="D135" i="137"/>
  <c r="E135" i="137"/>
  <c r="H135" i="137"/>
  <c r="D137" i="137"/>
  <c r="E137" i="137" s="1"/>
  <c r="H137" i="137"/>
  <c r="D146" i="137"/>
  <c r="E146" i="137"/>
  <c r="H146" i="137"/>
  <c r="D147" i="137"/>
  <c r="E147" i="137"/>
  <c r="H147" i="137"/>
  <c r="D148" i="137"/>
  <c r="E148" i="137" s="1"/>
  <c r="H148" i="137"/>
  <c r="D149" i="137"/>
  <c r="E149" i="137"/>
  <c r="H149" i="137"/>
  <c r="D151" i="137"/>
  <c r="E151" i="137" s="1"/>
  <c r="H151" i="137"/>
  <c r="E152" i="137"/>
  <c r="D153" i="137"/>
  <c r="E153" i="137" s="1"/>
  <c r="H153" i="137"/>
  <c r="D154" i="137"/>
  <c r="E154" i="137" s="1"/>
  <c r="H154" i="137"/>
  <c r="K154" i="137"/>
  <c r="D155" i="137"/>
  <c r="E155" i="137" s="1"/>
  <c r="H155" i="137"/>
  <c r="D156" i="137"/>
  <c r="E156" i="137" s="1"/>
  <c r="H156" i="137"/>
  <c r="D157" i="137"/>
  <c r="E157" i="137" s="1"/>
  <c r="H157" i="137"/>
  <c r="E159" i="137"/>
  <c r="H159" i="137"/>
  <c r="D168" i="137"/>
  <c r="E168" i="137" s="1"/>
  <c r="H168" i="137"/>
  <c r="D169" i="137"/>
  <c r="E169" i="137" s="1"/>
  <c r="H169" i="137"/>
  <c r="K169" i="137"/>
  <c r="D170" i="137"/>
  <c r="E170" i="137" s="1"/>
  <c r="H170" i="137"/>
  <c r="D171" i="137"/>
  <c r="E171" i="137" s="1"/>
  <c r="H171" i="137"/>
  <c r="D172" i="137"/>
  <c r="E172" i="137" s="1"/>
  <c r="H172" i="137"/>
  <c r="D173" i="137"/>
  <c r="E173" i="137" s="1"/>
  <c r="H173" i="137"/>
  <c r="E174" i="137"/>
  <c r="D175" i="137"/>
  <c r="E175" i="137" s="1"/>
  <c r="H175" i="137"/>
  <c r="D176" i="137"/>
  <c r="E176" i="137"/>
  <c r="D177" i="137"/>
  <c r="E177" i="137" s="1"/>
  <c r="H177" i="137"/>
  <c r="D178" i="137"/>
  <c r="E178" i="137" s="1"/>
  <c r="H178" i="137"/>
  <c r="D180" i="137"/>
  <c r="E180" i="137" s="1"/>
  <c r="D189" i="137"/>
  <c r="E189" i="137" s="1"/>
  <c r="H189" i="137"/>
  <c r="K189" i="137"/>
  <c r="D190" i="137"/>
  <c r="E190" i="137"/>
  <c r="H190" i="137"/>
  <c r="D191" i="137"/>
  <c r="E191" i="137"/>
  <c r="H191" i="137"/>
  <c r="D192" i="137"/>
  <c r="E192" i="137" s="1"/>
  <c r="H192" i="137"/>
  <c r="D193" i="137"/>
  <c r="E193" i="137"/>
  <c r="H193" i="137"/>
  <c r="C195" i="137"/>
  <c r="D195" i="137"/>
  <c r="H195" i="137"/>
  <c r="D196" i="137"/>
  <c r="E196" i="137" s="1"/>
  <c r="D197" i="137"/>
  <c r="E197" i="137" s="1"/>
  <c r="H197" i="137"/>
  <c r="D198" i="137"/>
  <c r="E198" i="137" s="1"/>
  <c r="H198" i="137"/>
  <c r="D200" i="137"/>
  <c r="E200" i="137" s="1"/>
  <c r="H200" i="137"/>
  <c r="D202" i="137"/>
  <c r="E202" i="137" s="1"/>
  <c r="H202" i="137"/>
  <c r="D203" i="137"/>
  <c r="E203" i="137" s="1"/>
  <c r="H203" i="137"/>
  <c r="D204" i="137"/>
  <c r="E204" i="137" s="1"/>
  <c r="H204" i="137"/>
  <c r="D213" i="137"/>
  <c r="E213" i="137" s="1"/>
  <c r="H213" i="137"/>
  <c r="D214" i="137"/>
  <c r="E214" i="137" s="1"/>
  <c r="H214" i="137"/>
  <c r="D216" i="137"/>
  <c r="E216" i="137" s="1"/>
  <c r="H216" i="137"/>
  <c r="K216" i="137"/>
  <c r="D217" i="137"/>
  <c r="E217" i="137" s="1"/>
  <c r="H217" i="137"/>
  <c r="K217" i="137"/>
  <c r="E218" i="137"/>
  <c r="H218" i="137"/>
  <c r="D219" i="137"/>
  <c r="E219" i="137"/>
  <c r="H219" i="137"/>
  <c r="K219" i="137"/>
  <c r="D220" i="137"/>
  <c r="E220" i="137"/>
  <c r="D221" i="137"/>
  <c r="E221" i="137" s="1"/>
  <c r="H221" i="137"/>
  <c r="C222" i="137"/>
  <c r="D222" i="137"/>
  <c r="E222" i="137" s="1"/>
  <c r="H222" i="137"/>
  <c r="D223" i="137"/>
  <c r="E223" i="137" s="1"/>
  <c r="H223" i="137"/>
  <c r="D225" i="137"/>
  <c r="E225" i="137" s="1"/>
  <c r="H225" i="137"/>
  <c r="D226" i="137"/>
  <c r="E226" i="137" s="1"/>
  <c r="H226" i="137"/>
  <c r="D228" i="137"/>
  <c r="E228" i="137" s="1"/>
  <c r="H228" i="137"/>
  <c r="E195" i="137" l="1"/>
  <c r="E63" i="137"/>
  <c r="D9" i="137"/>
  <c r="C9" i="137"/>
  <c r="E65" i="137"/>
  <c r="K9" i="137"/>
  <c r="H9" i="137"/>
  <c r="E9" i="137"/>
  <c r="E11" i="137"/>
  <c r="C9" i="136"/>
  <c r="D9" i="136"/>
  <c r="F9" i="136"/>
  <c r="G9" i="136"/>
  <c r="I9" i="136"/>
  <c r="J9" i="136"/>
  <c r="E10" i="136"/>
  <c r="H10" i="136"/>
  <c r="K10" i="136"/>
  <c r="E11" i="136"/>
  <c r="H11" i="136"/>
  <c r="K11" i="136"/>
  <c r="E12" i="136"/>
  <c r="H12" i="136"/>
  <c r="K12" i="136"/>
  <c r="E13" i="136"/>
  <c r="H13" i="136"/>
  <c r="K13" i="136"/>
  <c r="E15" i="136"/>
  <c r="H15" i="136"/>
  <c r="K15" i="136"/>
  <c r="E16" i="136"/>
  <c r="H16" i="136"/>
  <c r="K16" i="136"/>
  <c r="E17" i="136"/>
  <c r="H17" i="136"/>
  <c r="K17" i="136"/>
  <c r="E18" i="136"/>
  <c r="H18" i="136"/>
  <c r="K18" i="136"/>
  <c r="E19" i="136"/>
  <c r="H19" i="136"/>
  <c r="K19" i="136"/>
  <c r="E20" i="136"/>
  <c r="H20" i="136"/>
  <c r="K20" i="136"/>
  <c r="E21" i="136"/>
  <c r="H21" i="136"/>
  <c r="K21" i="136"/>
  <c r="E22" i="136"/>
  <c r="H22" i="136"/>
  <c r="K22" i="136"/>
  <c r="E23" i="136"/>
  <c r="H23" i="136"/>
  <c r="K23" i="136"/>
  <c r="E24" i="136"/>
  <c r="H24" i="136"/>
  <c r="K24" i="136"/>
  <c r="E25" i="136"/>
  <c r="H25" i="136"/>
  <c r="K25" i="136"/>
  <c r="E26" i="136"/>
  <c r="H26" i="136"/>
  <c r="K26" i="136"/>
  <c r="E27" i="136"/>
  <c r="H27" i="136"/>
  <c r="K27" i="136"/>
  <c r="E28" i="136"/>
  <c r="H28" i="136"/>
  <c r="K28" i="136"/>
  <c r="E29" i="136"/>
  <c r="H29" i="136"/>
  <c r="K29" i="136"/>
  <c r="E30" i="136"/>
  <c r="H30" i="136"/>
  <c r="K30" i="136"/>
  <c r="E31" i="136"/>
  <c r="H31" i="136"/>
  <c r="K31" i="136"/>
  <c r="E32" i="136"/>
  <c r="H32" i="136"/>
  <c r="K32" i="136"/>
  <c r="E33" i="136"/>
  <c r="H33" i="136"/>
  <c r="K33" i="136"/>
  <c r="E34" i="136"/>
  <c r="H34" i="136"/>
  <c r="K34" i="136"/>
  <c r="E42" i="136"/>
  <c r="H42" i="136"/>
  <c r="K42" i="136"/>
  <c r="E43" i="136"/>
  <c r="H43" i="136"/>
  <c r="K43" i="136"/>
  <c r="E44" i="136"/>
  <c r="H44" i="136"/>
  <c r="K44" i="136"/>
  <c r="E45" i="136"/>
  <c r="H45" i="136"/>
  <c r="K45" i="136"/>
  <c r="E46" i="136"/>
  <c r="H46" i="136"/>
  <c r="K46" i="136"/>
  <c r="E47" i="136"/>
  <c r="H47" i="136"/>
  <c r="K47" i="136"/>
  <c r="E48" i="136"/>
  <c r="H48" i="136"/>
  <c r="K48" i="136"/>
  <c r="E49" i="136"/>
  <c r="H49" i="136"/>
  <c r="K49" i="136"/>
  <c r="E50" i="136"/>
  <c r="H50" i="136"/>
  <c r="K50" i="136"/>
  <c r="E51" i="136"/>
  <c r="H51" i="136"/>
  <c r="K51" i="136"/>
  <c r="E52" i="136"/>
  <c r="H52" i="136"/>
  <c r="K52" i="136"/>
  <c r="E53" i="136"/>
  <c r="H53" i="136"/>
  <c r="K53" i="136"/>
  <c r="E54" i="136"/>
  <c r="H54" i="136"/>
  <c r="K54" i="136"/>
  <c r="E55" i="136"/>
  <c r="H55" i="136"/>
  <c r="K55" i="136"/>
  <c r="E56" i="136"/>
  <c r="H56" i="136"/>
  <c r="K56" i="136"/>
  <c r="E9" i="136" l="1"/>
  <c r="E67" i="136"/>
  <c r="E66" i="136"/>
  <c r="H9" i="136"/>
  <c r="D67" i="136" s="1"/>
  <c r="K9" i="136"/>
  <c r="C67" i="136" s="1"/>
  <c r="C9" i="135"/>
  <c r="D9" i="135"/>
  <c r="E10" i="135"/>
  <c r="E11" i="135"/>
  <c r="E12" i="135"/>
  <c r="E13" i="135"/>
  <c r="E14" i="135"/>
  <c r="E15" i="135"/>
  <c r="E16" i="135"/>
  <c r="E17" i="135"/>
  <c r="E18" i="135"/>
  <c r="E19" i="135"/>
  <c r="E20" i="135"/>
  <c r="E21" i="135"/>
  <c r="E22" i="135"/>
  <c r="E23" i="135"/>
  <c r="E24" i="135"/>
  <c r="E25" i="135"/>
  <c r="E26" i="135"/>
  <c r="E27" i="135"/>
  <c r="E28" i="135"/>
  <c r="E29" i="135"/>
  <c r="E30" i="135"/>
  <c r="E31" i="135"/>
  <c r="E32" i="135"/>
  <c r="E33" i="135"/>
  <c r="E34" i="135"/>
  <c r="E35" i="135"/>
  <c r="E36" i="135"/>
  <c r="E37" i="135"/>
  <c r="E38" i="135"/>
  <c r="E39" i="135"/>
  <c r="E40" i="135"/>
  <c r="E41" i="135"/>
  <c r="E42" i="135"/>
  <c r="E43" i="135"/>
  <c r="E44" i="135"/>
  <c r="E45" i="135"/>
  <c r="E46" i="135"/>
  <c r="E47" i="135"/>
  <c r="E48" i="135"/>
  <c r="E49" i="135"/>
  <c r="C9" i="134"/>
  <c r="F9" i="134"/>
  <c r="G9" i="134"/>
  <c r="I9" i="134"/>
  <c r="J9" i="134"/>
  <c r="D10" i="134"/>
  <c r="H10" i="134"/>
  <c r="K10" i="134"/>
  <c r="D11" i="134"/>
  <c r="E11" i="134"/>
  <c r="H11" i="134"/>
  <c r="K11" i="134"/>
  <c r="D12" i="134"/>
  <c r="E12" i="134" s="1"/>
  <c r="H12" i="134"/>
  <c r="K12" i="134"/>
  <c r="D13" i="134"/>
  <c r="E13" i="134"/>
  <c r="H13" i="134"/>
  <c r="K13" i="134"/>
  <c r="D14" i="134"/>
  <c r="E14" i="134" s="1"/>
  <c r="H14" i="134"/>
  <c r="D15" i="134"/>
  <c r="E15" i="134" s="1"/>
  <c r="H15" i="134"/>
  <c r="K15" i="134"/>
  <c r="D16" i="134"/>
  <c r="E16" i="134" s="1"/>
  <c r="H16" i="134"/>
  <c r="K16" i="134"/>
  <c r="K17" i="134"/>
  <c r="D18" i="134"/>
  <c r="E18" i="134"/>
  <c r="H18" i="134"/>
  <c r="K18" i="134"/>
  <c r="D19" i="134"/>
  <c r="E19" i="134" s="1"/>
  <c r="H19" i="134"/>
  <c r="K19" i="134"/>
  <c r="H20" i="134"/>
  <c r="K20" i="134"/>
  <c r="D21" i="134"/>
  <c r="E21" i="134" s="1"/>
  <c r="H21" i="134"/>
  <c r="K21" i="134"/>
  <c r="D22" i="134"/>
  <c r="E22" i="134" s="1"/>
  <c r="H22" i="134"/>
  <c r="K22" i="134"/>
  <c r="D23" i="134"/>
  <c r="E23" i="134" s="1"/>
  <c r="H23" i="134"/>
  <c r="K23" i="134"/>
  <c r="D24" i="134"/>
  <c r="E24" i="134"/>
  <c r="H24" i="134"/>
  <c r="K24" i="134"/>
  <c r="D25" i="134"/>
  <c r="E25" i="134" s="1"/>
  <c r="H25" i="134"/>
  <c r="K25" i="134"/>
  <c r="H26" i="134"/>
  <c r="K26" i="134"/>
  <c r="E27" i="134"/>
  <c r="H27" i="134"/>
  <c r="K27" i="134"/>
  <c r="D28" i="134"/>
  <c r="E28" i="134"/>
  <c r="H28" i="134"/>
  <c r="K28" i="134"/>
  <c r="K29" i="134"/>
  <c r="H30" i="134"/>
  <c r="K30" i="134"/>
  <c r="D31" i="134"/>
  <c r="E31" i="134"/>
  <c r="H31" i="134"/>
  <c r="K31" i="134"/>
  <c r="H32" i="134"/>
  <c r="K32" i="134"/>
  <c r="K33" i="134"/>
  <c r="D34" i="134"/>
  <c r="E34" i="134"/>
  <c r="H34" i="134"/>
  <c r="K34" i="134"/>
  <c r="H35" i="134"/>
  <c r="K35" i="134"/>
  <c r="D36" i="134"/>
  <c r="E36" i="134" s="1"/>
  <c r="H36" i="134"/>
  <c r="K36" i="134"/>
  <c r="D37" i="134"/>
  <c r="E37" i="134"/>
  <c r="H37" i="134"/>
  <c r="K37" i="134"/>
  <c r="H38" i="134"/>
  <c r="K38" i="134"/>
  <c r="D39" i="134"/>
  <c r="E39" i="134"/>
  <c r="H39" i="134"/>
  <c r="K39" i="134"/>
  <c r="H40" i="134"/>
  <c r="K40" i="134"/>
  <c r="D41" i="134"/>
  <c r="E41" i="134"/>
  <c r="H9" i="134" l="1"/>
  <c r="E9" i="135"/>
  <c r="D9" i="134"/>
  <c r="K9" i="134"/>
  <c r="D66" i="136"/>
  <c r="C66" i="136"/>
  <c r="E10" i="134"/>
  <c r="E9" i="134" s="1"/>
  <c r="C9" i="133"/>
  <c r="D9" i="133"/>
  <c r="E9" i="133" s="1"/>
  <c r="F9" i="133"/>
  <c r="G9" i="133"/>
  <c r="I9" i="133"/>
  <c r="J9" i="133"/>
  <c r="K9" i="133" s="1"/>
  <c r="F74" i="133" s="1"/>
  <c r="E10" i="133"/>
  <c r="H10" i="133"/>
  <c r="K10" i="133"/>
  <c r="E11" i="133"/>
  <c r="H11" i="133"/>
  <c r="K11" i="133"/>
  <c r="E12" i="133"/>
  <c r="P12" i="133"/>
  <c r="E13" i="133"/>
  <c r="H13" i="133"/>
  <c r="K13" i="133"/>
  <c r="H15" i="133"/>
  <c r="K15" i="133"/>
  <c r="H16" i="133"/>
  <c r="K16" i="133"/>
  <c r="E17" i="133"/>
  <c r="H17" i="133"/>
  <c r="K17" i="133"/>
  <c r="E18" i="133"/>
  <c r="H18" i="133"/>
  <c r="K18" i="133"/>
  <c r="E19" i="133"/>
  <c r="H19" i="133"/>
  <c r="K19" i="133"/>
  <c r="E20" i="133"/>
  <c r="H20" i="133"/>
  <c r="K20" i="133"/>
  <c r="H21" i="133"/>
  <c r="K21" i="133"/>
  <c r="E22" i="133"/>
  <c r="H22" i="133"/>
  <c r="K22" i="133"/>
  <c r="H23" i="133"/>
  <c r="K23" i="133"/>
  <c r="E24" i="133"/>
  <c r="H24" i="133"/>
  <c r="K24" i="133"/>
  <c r="H25" i="133"/>
  <c r="K25" i="133"/>
  <c r="E26" i="133"/>
  <c r="H26" i="133"/>
  <c r="K26" i="133"/>
  <c r="H27" i="133"/>
  <c r="K27" i="133"/>
  <c r="E28" i="133"/>
  <c r="H28" i="133"/>
  <c r="K28" i="133"/>
  <c r="H29" i="133"/>
  <c r="K29" i="133"/>
  <c r="E30" i="133"/>
  <c r="H30" i="133"/>
  <c r="K30" i="133"/>
  <c r="E31" i="133"/>
  <c r="H31" i="133"/>
  <c r="K31" i="133"/>
  <c r="E32" i="133"/>
  <c r="H32" i="133"/>
  <c r="K32" i="133"/>
  <c r="H33" i="133"/>
  <c r="K33" i="133"/>
  <c r="E34" i="133"/>
  <c r="H34" i="133"/>
  <c r="K34" i="133"/>
  <c r="H35" i="133"/>
  <c r="K35" i="133"/>
  <c r="E43" i="133"/>
  <c r="H43" i="133"/>
  <c r="K43" i="133"/>
  <c r="E44" i="133"/>
  <c r="H44" i="133"/>
  <c r="K44" i="133"/>
  <c r="E45" i="133"/>
  <c r="H45" i="133"/>
  <c r="K45" i="133"/>
  <c r="H46" i="133"/>
  <c r="K46" i="133"/>
  <c r="H47" i="133"/>
  <c r="K47" i="133"/>
  <c r="E48" i="133"/>
  <c r="H48" i="133"/>
  <c r="K48" i="133"/>
  <c r="H49" i="133"/>
  <c r="K49" i="133"/>
  <c r="H50" i="133"/>
  <c r="K50" i="133"/>
  <c r="E51" i="133"/>
  <c r="H51" i="133"/>
  <c r="K51" i="133"/>
  <c r="H53" i="133"/>
  <c r="K53" i="133"/>
  <c r="E54" i="133"/>
  <c r="H54" i="133"/>
  <c r="K54" i="133"/>
  <c r="E55" i="133"/>
  <c r="H9" i="133" l="1"/>
  <c r="G74" i="133"/>
  <c r="G73" i="133"/>
  <c r="H73" i="133"/>
  <c r="H74" i="133"/>
  <c r="F73" i="133"/>
  <c r="U8" i="132"/>
  <c r="C9" i="132"/>
  <c r="F9" i="132"/>
  <c r="G9" i="132"/>
  <c r="I9" i="132"/>
  <c r="J9" i="132"/>
  <c r="D10" i="132"/>
  <c r="E10" i="132"/>
  <c r="H10" i="132"/>
  <c r="K10" i="132"/>
  <c r="D11" i="132"/>
  <c r="E11" i="132"/>
  <c r="H11" i="132"/>
  <c r="K11" i="132"/>
  <c r="D12" i="132"/>
  <c r="E12" i="132" s="1"/>
  <c r="H12" i="132"/>
  <c r="K12" i="132"/>
  <c r="D13" i="132"/>
  <c r="E13" i="132" s="1"/>
  <c r="H13" i="132"/>
  <c r="K13" i="132"/>
  <c r="D14" i="132"/>
  <c r="E14" i="132" s="1"/>
  <c r="H14" i="132"/>
  <c r="K14" i="132"/>
  <c r="D15" i="132"/>
  <c r="E15" i="132" s="1"/>
  <c r="H15" i="132"/>
  <c r="K15" i="132"/>
  <c r="D16" i="132"/>
  <c r="E16" i="132" s="1"/>
  <c r="H16" i="132"/>
  <c r="K16" i="132"/>
  <c r="D17" i="132"/>
  <c r="E17" i="132" s="1"/>
  <c r="H17" i="132"/>
  <c r="K17" i="132"/>
  <c r="D18" i="132"/>
  <c r="E18" i="132" s="1"/>
  <c r="H18" i="132"/>
  <c r="K18" i="132"/>
  <c r="D19" i="132"/>
  <c r="E19" i="132" s="1"/>
  <c r="H19" i="132"/>
  <c r="K19" i="132"/>
  <c r="E20" i="132"/>
  <c r="H20" i="132"/>
  <c r="K20" i="132"/>
  <c r="D21" i="132"/>
  <c r="E21" i="132"/>
  <c r="H21" i="132"/>
  <c r="K21" i="132"/>
  <c r="D22" i="132"/>
  <c r="E22" i="132"/>
  <c r="H22" i="132"/>
  <c r="K22" i="132"/>
  <c r="D23" i="132"/>
  <c r="E23" i="132"/>
  <c r="H23" i="132"/>
  <c r="K23" i="132"/>
  <c r="D24" i="132"/>
  <c r="E24" i="132" s="1"/>
  <c r="H24" i="132"/>
  <c r="K24" i="132"/>
  <c r="D25" i="132"/>
  <c r="E25" i="132"/>
  <c r="H25" i="132"/>
  <c r="K25" i="132"/>
  <c r="D26" i="132"/>
  <c r="E26" i="132"/>
  <c r="H26" i="132"/>
  <c r="K26" i="132"/>
  <c r="D27" i="132"/>
  <c r="E27" i="132"/>
  <c r="H27" i="132"/>
  <c r="K27" i="132"/>
  <c r="D28" i="132"/>
  <c r="E28" i="132"/>
  <c r="H28" i="132"/>
  <c r="K28" i="132"/>
  <c r="E29" i="132"/>
  <c r="H29" i="132"/>
  <c r="K29" i="132"/>
  <c r="E30" i="132"/>
  <c r="H30" i="132"/>
  <c r="K30" i="132"/>
  <c r="D31" i="132"/>
  <c r="E31" i="132" s="1"/>
  <c r="H31" i="132"/>
  <c r="K31" i="132"/>
  <c r="E32" i="132"/>
  <c r="H32" i="132"/>
  <c r="K32" i="132"/>
  <c r="E33" i="132"/>
  <c r="H33" i="132"/>
  <c r="K33" i="132"/>
  <c r="D34" i="132"/>
  <c r="E34" i="132"/>
  <c r="H34" i="132"/>
  <c r="K34" i="132"/>
  <c r="D35" i="132"/>
  <c r="E35" i="132"/>
  <c r="H35" i="132"/>
  <c r="K35" i="132"/>
  <c r="D36" i="132"/>
  <c r="E36" i="132"/>
  <c r="H36" i="132"/>
  <c r="K36" i="132"/>
  <c r="D37" i="132"/>
  <c r="E37" i="132"/>
  <c r="H37" i="132"/>
  <c r="K37" i="132"/>
  <c r="E38" i="132"/>
  <c r="H38" i="132"/>
  <c r="K38" i="132"/>
  <c r="D39" i="132"/>
  <c r="E39" i="132" s="1"/>
  <c r="H39" i="132"/>
  <c r="K39" i="132"/>
  <c r="D40" i="132"/>
  <c r="E40" i="132" s="1"/>
  <c r="H40" i="132"/>
  <c r="K40" i="132"/>
  <c r="D41" i="132"/>
  <c r="E41" i="132" s="1"/>
  <c r="D9" i="132" l="1"/>
  <c r="K9" i="132"/>
  <c r="H9" i="132"/>
  <c r="P11" i="132"/>
  <c r="E9" i="132"/>
  <c r="C9" i="131"/>
  <c r="D9" i="131"/>
  <c r="F9" i="131"/>
  <c r="G9" i="131"/>
  <c r="I9" i="131"/>
  <c r="J9" i="131"/>
  <c r="E10" i="131"/>
  <c r="H10" i="131"/>
  <c r="K10" i="131"/>
  <c r="E11" i="131"/>
  <c r="H11" i="131"/>
  <c r="K11" i="131"/>
  <c r="E12" i="131"/>
  <c r="H12" i="131"/>
  <c r="K12" i="131"/>
  <c r="E13" i="131"/>
  <c r="H13" i="131"/>
  <c r="K13" i="131"/>
  <c r="E15" i="131"/>
  <c r="H15" i="131"/>
  <c r="K15" i="131"/>
  <c r="E16" i="131"/>
  <c r="H16" i="131"/>
  <c r="K16" i="131"/>
  <c r="E17" i="131"/>
  <c r="H17" i="131"/>
  <c r="K17" i="131"/>
  <c r="E18" i="131"/>
  <c r="H18" i="131"/>
  <c r="K18" i="131"/>
  <c r="H19" i="131"/>
  <c r="K19" i="131"/>
  <c r="E20" i="131"/>
  <c r="H20" i="131"/>
  <c r="K20" i="131"/>
  <c r="E21" i="131"/>
  <c r="H21" i="131"/>
  <c r="K21" i="131"/>
  <c r="E22" i="131"/>
  <c r="H22" i="131"/>
  <c r="K22" i="131"/>
  <c r="E23" i="131"/>
  <c r="H23" i="131"/>
  <c r="K23" i="131"/>
  <c r="E24" i="131"/>
  <c r="H24" i="131"/>
  <c r="K24" i="131"/>
  <c r="E25" i="131"/>
  <c r="H25" i="131"/>
  <c r="K25" i="131"/>
  <c r="H26" i="131"/>
  <c r="K26" i="131"/>
  <c r="E27" i="131"/>
  <c r="H27" i="131"/>
  <c r="K27" i="131"/>
  <c r="H28" i="131"/>
  <c r="K28" i="131"/>
  <c r="H29" i="131"/>
  <c r="K29" i="131"/>
  <c r="E30" i="131"/>
  <c r="H30" i="131"/>
  <c r="K30" i="131"/>
  <c r="E31" i="131"/>
  <c r="H31" i="131"/>
  <c r="K31" i="131"/>
  <c r="E32" i="131"/>
  <c r="H32" i="131"/>
  <c r="K32" i="131"/>
  <c r="E33" i="131"/>
  <c r="H33" i="131"/>
  <c r="K33" i="131"/>
  <c r="E34" i="131"/>
  <c r="H34" i="131"/>
  <c r="K34" i="131"/>
  <c r="H42" i="131"/>
  <c r="K42" i="131"/>
  <c r="E43" i="131"/>
  <c r="H43" i="131"/>
  <c r="K43" i="131"/>
  <c r="H44" i="131"/>
  <c r="K44" i="131"/>
  <c r="E45" i="131"/>
  <c r="H45" i="131"/>
  <c r="K45" i="131"/>
  <c r="H46" i="131"/>
  <c r="K46" i="131"/>
  <c r="E47" i="131"/>
  <c r="H47" i="131"/>
  <c r="K47" i="131"/>
  <c r="E48" i="131"/>
  <c r="H48" i="131"/>
  <c r="K48" i="131"/>
  <c r="H49" i="131"/>
  <c r="K49" i="131"/>
  <c r="E50" i="131"/>
  <c r="H50" i="131"/>
  <c r="K50" i="131"/>
  <c r="E51" i="131"/>
  <c r="H51" i="131"/>
  <c r="K51" i="131"/>
  <c r="E52" i="131"/>
  <c r="H52" i="131"/>
  <c r="K52" i="131"/>
  <c r="E53" i="131"/>
  <c r="H53" i="131"/>
  <c r="K53" i="131"/>
  <c r="E54" i="131"/>
  <c r="H54" i="131"/>
  <c r="K54" i="131"/>
  <c r="H55" i="131"/>
  <c r="K55" i="131"/>
  <c r="E56" i="131"/>
  <c r="H56" i="131"/>
  <c r="K56" i="131"/>
  <c r="K9" i="131" l="1"/>
  <c r="E80" i="131" s="1"/>
  <c r="H9" i="131"/>
  <c r="F80" i="131" s="1"/>
  <c r="E9" i="131"/>
  <c r="G79" i="131" s="1"/>
  <c r="F9" i="130"/>
  <c r="G9" i="130"/>
  <c r="H9" i="130"/>
  <c r="I9" i="130"/>
  <c r="K9" i="130" s="1"/>
  <c r="J9" i="130"/>
  <c r="D10" i="130"/>
  <c r="H10" i="130"/>
  <c r="K10" i="130"/>
  <c r="D11" i="130"/>
  <c r="H11" i="130"/>
  <c r="K11" i="130"/>
  <c r="D12" i="130"/>
  <c r="H12" i="130"/>
  <c r="K12" i="130"/>
  <c r="D13" i="130"/>
  <c r="H13" i="130"/>
  <c r="K13" i="130"/>
  <c r="D14" i="130"/>
  <c r="H14" i="130"/>
  <c r="K14" i="130"/>
  <c r="D15" i="130"/>
  <c r="H15" i="130"/>
  <c r="K15" i="130"/>
  <c r="D16" i="130"/>
  <c r="H16" i="130"/>
  <c r="K16" i="130"/>
  <c r="D17" i="130"/>
  <c r="H17" i="130"/>
  <c r="K17" i="130"/>
  <c r="D18" i="130"/>
  <c r="H18" i="130"/>
  <c r="K18" i="130"/>
  <c r="D19" i="130"/>
  <c r="H19" i="130"/>
  <c r="K19" i="130"/>
  <c r="D20" i="130"/>
  <c r="H20" i="130"/>
  <c r="K20" i="130"/>
  <c r="D21" i="130"/>
  <c r="H21" i="130"/>
  <c r="K21" i="130"/>
  <c r="D22" i="130"/>
  <c r="H22" i="130"/>
  <c r="K22" i="130"/>
  <c r="D23" i="130"/>
  <c r="H23" i="130"/>
  <c r="K23" i="130"/>
  <c r="D24" i="130"/>
  <c r="H24" i="130"/>
  <c r="K24" i="130"/>
  <c r="D25" i="130"/>
  <c r="H25" i="130"/>
  <c r="K25" i="130"/>
  <c r="D26" i="130"/>
  <c r="H26" i="130"/>
  <c r="K26" i="130"/>
  <c r="D27" i="130"/>
  <c r="H27" i="130"/>
  <c r="K27" i="130"/>
  <c r="C28" i="130"/>
  <c r="C9" i="130" s="1"/>
  <c r="D28" i="130"/>
  <c r="E28" i="130" s="1"/>
  <c r="E9" i="130" s="1"/>
  <c r="H28" i="130"/>
  <c r="K28" i="130"/>
  <c r="H29" i="130"/>
  <c r="K29" i="130"/>
  <c r="D30" i="130"/>
  <c r="H30" i="130"/>
  <c r="K30" i="130"/>
  <c r="C31" i="130"/>
  <c r="D31" i="130"/>
  <c r="E31" i="130" s="1"/>
  <c r="H31" i="130"/>
  <c r="K31" i="130"/>
  <c r="H32" i="130"/>
  <c r="K32" i="130"/>
  <c r="H33" i="130"/>
  <c r="K33" i="130"/>
  <c r="D34" i="130"/>
  <c r="H34" i="130"/>
  <c r="K34" i="130"/>
  <c r="D35" i="130"/>
  <c r="H35" i="130"/>
  <c r="K35" i="130"/>
  <c r="D36" i="130"/>
  <c r="H36" i="130"/>
  <c r="K36" i="130"/>
  <c r="D37" i="130"/>
  <c r="H37" i="130"/>
  <c r="K37" i="130"/>
  <c r="D38" i="130"/>
  <c r="H38" i="130"/>
  <c r="K38" i="130"/>
  <c r="D39" i="130"/>
  <c r="H39" i="130"/>
  <c r="K39" i="130"/>
  <c r="D40" i="130"/>
  <c r="H40" i="130"/>
  <c r="K40" i="130"/>
  <c r="D41" i="130"/>
  <c r="C9" i="129"/>
  <c r="D9" i="129"/>
  <c r="F9" i="129"/>
  <c r="G9" i="129"/>
  <c r="I9" i="129"/>
  <c r="E10" i="129"/>
  <c r="H10" i="129"/>
  <c r="K10" i="129"/>
  <c r="E11" i="129"/>
  <c r="H11" i="129"/>
  <c r="K11" i="129"/>
  <c r="E12" i="129"/>
  <c r="H12" i="129"/>
  <c r="K12" i="129"/>
  <c r="E13" i="129"/>
  <c r="H13" i="129"/>
  <c r="K13" i="129"/>
  <c r="E15" i="129"/>
  <c r="H15" i="129"/>
  <c r="K15" i="129"/>
  <c r="E16" i="129"/>
  <c r="H16" i="129"/>
  <c r="K16" i="129"/>
  <c r="E17" i="129"/>
  <c r="H17" i="129"/>
  <c r="K17" i="129"/>
  <c r="E18" i="129"/>
  <c r="H18" i="129"/>
  <c r="K18" i="129"/>
  <c r="E19" i="129"/>
  <c r="H19" i="129"/>
  <c r="K19" i="129"/>
  <c r="E20" i="129"/>
  <c r="H20" i="129"/>
  <c r="K20" i="129"/>
  <c r="E21" i="129"/>
  <c r="H21" i="129"/>
  <c r="K21" i="129"/>
  <c r="E22" i="129"/>
  <c r="H22" i="129"/>
  <c r="K22" i="129"/>
  <c r="E23" i="129"/>
  <c r="H23" i="129"/>
  <c r="K23" i="129"/>
  <c r="E24" i="129"/>
  <c r="H24" i="129"/>
  <c r="K24" i="129"/>
  <c r="E25" i="129"/>
  <c r="H25" i="129"/>
  <c r="K25" i="129"/>
  <c r="E26" i="129"/>
  <c r="H26" i="129"/>
  <c r="K26" i="129"/>
  <c r="E27" i="129"/>
  <c r="H27" i="129"/>
  <c r="K27" i="129"/>
  <c r="E28" i="129"/>
  <c r="H28" i="129"/>
  <c r="K28" i="129"/>
  <c r="E29" i="129"/>
  <c r="H29" i="129"/>
  <c r="K29" i="129"/>
  <c r="E30" i="129"/>
  <c r="H30" i="129"/>
  <c r="K30" i="129"/>
  <c r="E31" i="129"/>
  <c r="H31" i="129"/>
  <c r="K31" i="129"/>
  <c r="E32" i="129"/>
  <c r="H32" i="129"/>
  <c r="K32" i="129"/>
  <c r="E33" i="129"/>
  <c r="H33" i="129"/>
  <c r="K33" i="129"/>
  <c r="E34" i="129"/>
  <c r="H34" i="129"/>
  <c r="K34" i="129"/>
  <c r="E42" i="129"/>
  <c r="K42" i="129"/>
  <c r="E43" i="129"/>
  <c r="K43" i="129"/>
  <c r="E44" i="129"/>
  <c r="K44" i="129"/>
  <c r="E45" i="129"/>
  <c r="K45" i="129"/>
  <c r="E46" i="129"/>
  <c r="K46" i="129"/>
  <c r="E47" i="129"/>
  <c r="K47" i="129"/>
  <c r="E48" i="129"/>
  <c r="K48" i="129"/>
  <c r="E49" i="129"/>
  <c r="K49" i="129"/>
  <c r="E50" i="129"/>
  <c r="K50" i="129"/>
  <c r="E51" i="129"/>
  <c r="K51" i="129"/>
  <c r="E52" i="129"/>
  <c r="K52" i="129"/>
  <c r="E53" i="129"/>
  <c r="K53" i="129"/>
  <c r="E54" i="129"/>
  <c r="K54" i="129"/>
  <c r="E55" i="129"/>
  <c r="K55" i="129"/>
  <c r="E56" i="129"/>
  <c r="K56" i="129"/>
  <c r="S126" i="129"/>
  <c r="T126" i="129"/>
  <c r="U126" i="129"/>
  <c r="S127" i="129"/>
  <c r="T127" i="129"/>
  <c r="U127" i="129"/>
  <c r="K9" i="129" l="1"/>
  <c r="D9" i="130"/>
  <c r="H9" i="129"/>
  <c r="E79" i="131"/>
  <c r="F79" i="131"/>
  <c r="G80" i="131"/>
  <c r="E71" i="129"/>
  <c r="E9" i="129"/>
  <c r="G71" i="129" s="1"/>
  <c r="F70" i="129"/>
  <c r="F71" i="129"/>
  <c r="E70" i="129"/>
  <c r="C6" i="128"/>
  <c r="D6" i="128"/>
  <c r="E6" i="128"/>
  <c r="C9" i="128"/>
  <c r="D9" i="128"/>
  <c r="E9" i="128"/>
  <c r="C12" i="128"/>
  <c r="D12" i="128"/>
  <c r="E12" i="128"/>
  <c r="C13" i="128"/>
  <c r="C14" i="128"/>
  <c r="D15" i="128"/>
  <c r="E15" i="128"/>
  <c r="C18" i="128"/>
  <c r="D18" i="128"/>
  <c r="E18" i="128"/>
  <c r="D21" i="128"/>
  <c r="E21" i="128"/>
  <c r="C22" i="128"/>
  <c r="C21" i="128" s="1"/>
  <c r="C23" i="128"/>
  <c r="C24" i="128"/>
  <c r="D24" i="128"/>
  <c r="E24" i="128"/>
  <c r="C27" i="128"/>
  <c r="D27" i="128"/>
  <c r="E27" i="128"/>
  <c r="C10" i="127"/>
  <c r="E11" i="127"/>
  <c r="E12" i="127"/>
  <c r="E13" i="127"/>
  <c r="E14" i="127"/>
  <c r="E15" i="127"/>
  <c r="E16" i="127"/>
  <c r="E17" i="127"/>
  <c r="E18" i="127"/>
  <c r="E19" i="127"/>
  <c r="E20" i="127"/>
  <c r="E21" i="127"/>
  <c r="E22" i="127"/>
  <c r="E23" i="127"/>
  <c r="E24" i="127"/>
  <c r="E25" i="127"/>
  <c r="E26" i="127"/>
  <c r="E27" i="127"/>
  <c r="E28" i="127"/>
  <c r="E29" i="127"/>
  <c r="E30" i="127"/>
  <c r="E31" i="127"/>
  <c r="E32" i="127"/>
  <c r="E33" i="127"/>
  <c r="E34" i="127"/>
  <c r="E35" i="127"/>
  <c r="E36" i="127"/>
  <c r="E37" i="127"/>
  <c r="E38" i="127"/>
  <c r="E39" i="127"/>
  <c r="E40" i="127"/>
  <c r="E41" i="127"/>
  <c r="E42" i="127"/>
  <c r="E43" i="127"/>
  <c r="E44" i="127"/>
  <c r="C7" i="126"/>
  <c r="D7" i="126"/>
  <c r="E7" i="126"/>
  <c r="C10" i="126"/>
  <c r="D10" i="126"/>
  <c r="E10" i="126"/>
  <c r="C13" i="126"/>
  <c r="D13" i="126"/>
  <c r="E13" i="126"/>
  <c r="C16" i="126"/>
  <c r="D16" i="126"/>
  <c r="E16" i="126"/>
  <c r="D9" i="125"/>
  <c r="E9" i="125"/>
  <c r="F9" i="125"/>
  <c r="G9" i="125"/>
  <c r="H9" i="125"/>
  <c r="I9" i="125"/>
  <c r="C10" i="124"/>
  <c r="D10" i="124"/>
  <c r="F10" i="124"/>
  <c r="I10" i="124"/>
  <c r="L10" i="124"/>
  <c r="M10" i="124"/>
  <c r="J12" i="124"/>
  <c r="K12" i="124"/>
  <c r="K13" i="124"/>
  <c r="K14" i="124"/>
  <c r="K15" i="124"/>
  <c r="K16" i="124"/>
  <c r="J17" i="124"/>
  <c r="K17" i="124" s="1"/>
  <c r="J18" i="124"/>
  <c r="K18" i="124"/>
  <c r="K19" i="124"/>
  <c r="K21" i="124"/>
  <c r="K23" i="124"/>
  <c r="J24" i="124"/>
  <c r="K24" i="124" s="1"/>
  <c r="K26" i="124"/>
  <c r="K28" i="124"/>
  <c r="K37" i="124"/>
  <c r="J38" i="124"/>
  <c r="K38" i="124" s="1"/>
  <c r="K39" i="124"/>
  <c r="J40" i="124"/>
  <c r="K40" i="124" s="1"/>
  <c r="J41" i="124"/>
  <c r="K41" i="124" s="1"/>
  <c r="J43" i="124"/>
  <c r="K43" i="124" s="1"/>
  <c r="J44" i="124"/>
  <c r="K44" i="124" s="1"/>
  <c r="K45" i="124"/>
  <c r="J46" i="124"/>
  <c r="K46" i="124" s="1"/>
  <c r="K47" i="124"/>
  <c r="J48" i="124"/>
  <c r="K48" i="124"/>
  <c r="K49" i="124"/>
  <c r="J50" i="124"/>
  <c r="K50" i="124" s="1"/>
  <c r="K51" i="124"/>
  <c r="K53" i="124"/>
  <c r="K54" i="124"/>
  <c r="K55" i="124"/>
  <c r="K64" i="124"/>
  <c r="K65" i="124"/>
  <c r="K66" i="124"/>
  <c r="K67" i="124"/>
  <c r="K69" i="124"/>
  <c r="K70" i="124"/>
  <c r="K71" i="124"/>
  <c r="K72" i="124"/>
  <c r="K73" i="124"/>
  <c r="K74" i="124"/>
  <c r="K75" i="124"/>
  <c r="K76" i="124"/>
  <c r="K78" i="124"/>
  <c r="K79" i="124"/>
  <c r="K80" i="124"/>
  <c r="K81" i="124"/>
  <c r="K82" i="124"/>
  <c r="K91" i="124"/>
  <c r="K92" i="124"/>
  <c r="K93" i="124"/>
  <c r="K94" i="124"/>
  <c r="K95" i="124"/>
  <c r="K96" i="124"/>
  <c r="K97" i="124"/>
  <c r="K99" i="124"/>
  <c r="K100" i="124"/>
  <c r="K102" i="124"/>
  <c r="K103" i="124"/>
  <c r="K105" i="124"/>
  <c r="J106" i="124"/>
  <c r="K106" i="124" s="1"/>
  <c r="J107" i="124"/>
  <c r="K107" i="124" s="1"/>
  <c r="K108" i="124"/>
  <c r="K109" i="124"/>
  <c r="K110" i="124"/>
  <c r="K111" i="124"/>
  <c r="K121" i="124"/>
  <c r="K122" i="124"/>
  <c r="K124" i="124"/>
  <c r="K126" i="124"/>
  <c r="K127" i="124"/>
  <c r="K129" i="124"/>
  <c r="K130" i="124"/>
  <c r="K131" i="124"/>
  <c r="K132" i="124"/>
  <c r="K134" i="124"/>
  <c r="K135" i="124"/>
  <c r="K136" i="124"/>
  <c r="K137" i="124"/>
  <c r="K147" i="124"/>
  <c r="K148" i="124"/>
  <c r="K149" i="124"/>
  <c r="K150" i="124"/>
  <c r="K151" i="124"/>
  <c r="K153" i="124"/>
  <c r="K154" i="124"/>
  <c r="K155" i="124"/>
  <c r="K156" i="124"/>
  <c r="K158" i="124"/>
  <c r="K159" i="124"/>
  <c r="K160" i="124"/>
  <c r="K162" i="124"/>
  <c r="K163" i="124"/>
  <c r="K164" i="124"/>
  <c r="K172" i="124"/>
  <c r="K173" i="124"/>
  <c r="K175" i="124"/>
  <c r="K176" i="124"/>
  <c r="K177" i="124"/>
  <c r="K178" i="124"/>
  <c r="K179" i="124"/>
  <c r="K180" i="124"/>
  <c r="K181" i="124"/>
  <c r="K182" i="124"/>
  <c r="K183" i="124"/>
  <c r="K185" i="124"/>
  <c r="K186" i="124"/>
  <c r="K187" i="124"/>
  <c r="K189" i="124"/>
  <c r="K190" i="124"/>
  <c r="K191" i="124"/>
  <c r="K201" i="124"/>
  <c r="K202" i="124"/>
  <c r="K204" i="124"/>
  <c r="K205" i="124"/>
  <c r="K206" i="124"/>
  <c r="K207" i="124"/>
  <c r="K208" i="124"/>
  <c r="K209" i="124"/>
  <c r="K210" i="124"/>
  <c r="K211" i="124"/>
  <c r="K212" i="124"/>
  <c r="K213" i="124"/>
  <c r="K215" i="124"/>
  <c r="K216" i="124"/>
  <c r="K217" i="124"/>
  <c r="K218" i="124"/>
  <c r="K219" i="124"/>
  <c r="J229" i="124"/>
  <c r="K229" i="124" s="1"/>
  <c r="K230" i="124"/>
  <c r="K231" i="124"/>
  <c r="K232" i="124"/>
  <c r="K234" i="124"/>
  <c r="K235" i="124"/>
  <c r="K236" i="124"/>
  <c r="K237" i="124"/>
  <c r="K239" i="124"/>
  <c r="K240" i="124"/>
  <c r="K241" i="124"/>
  <c r="K242" i="124"/>
  <c r="K243" i="124"/>
  <c r="K244" i="124"/>
  <c r="K245" i="124"/>
  <c r="K254" i="124"/>
  <c r="K255" i="124"/>
  <c r="J256" i="124"/>
  <c r="K256" i="124" s="1"/>
  <c r="K258" i="124"/>
  <c r="K259" i="124"/>
  <c r="K260" i="124"/>
  <c r="K261" i="124"/>
  <c r="K263" i="124"/>
  <c r="K264" i="124"/>
  <c r="K265" i="124"/>
  <c r="K266" i="124"/>
  <c r="K268" i="124"/>
  <c r="K270" i="124"/>
  <c r="K271" i="124"/>
  <c r="K281" i="124"/>
  <c r="K282" i="124"/>
  <c r="K283" i="124"/>
  <c r="K284" i="124"/>
  <c r="K285" i="124"/>
  <c r="K286" i="124"/>
  <c r="K287" i="124"/>
  <c r="K289" i="124"/>
  <c r="K290" i="124"/>
  <c r="K291" i="124"/>
  <c r="K293" i="124"/>
  <c r="K294" i="124"/>
  <c r="K295" i="124"/>
  <c r="K296" i="124"/>
  <c r="K306" i="124"/>
  <c r="K307" i="124"/>
  <c r="K308" i="124"/>
  <c r="K309" i="124"/>
  <c r="K311" i="124"/>
  <c r="K312" i="124"/>
  <c r="K314" i="124"/>
  <c r="K315" i="124"/>
  <c r="J316" i="124"/>
  <c r="K316" i="124" s="1"/>
  <c r="K317" i="124"/>
  <c r="K318" i="124"/>
  <c r="K328" i="124"/>
  <c r="K329" i="124"/>
  <c r="K330" i="124"/>
  <c r="K331" i="124"/>
  <c r="K333" i="124"/>
  <c r="K334" i="124"/>
  <c r="K335" i="124"/>
  <c r="E10" i="127" l="1"/>
  <c r="N10" i="124"/>
  <c r="G70" i="129"/>
  <c r="J10" i="124"/>
  <c r="K10" i="124" s="1"/>
  <c r="K298" i="123"/>
  <c r="H298" i="123"/>
  <c r="E298" i="123"/>
  <c r="K297" i="123"/>
  <c r="H297" i="123"/>
  <c r="E297" i="123"/>
  <c r="K296" i="123"/>
  <c r="H296" i="123"/>
  <c r="E296" i="123"/>
  <c r="K295" i="123"/>
  <c r="H295" i="123"/>
  <c r="E295" i="123"/>
  <c r="N292" i="123"/>
  <c r="H291" i="123"/>
  <c r="E291" i="123"/>
  <c r="K290" i="123"/>
  <c r="H290" i="123"/>
  <c r="E290" i="123"/>
  <c r="K289" i="123"/>
  <c r="H289" i="123"/>
  <c r="E289" i="123"/>
  <c r="K288" i="123"/>
  <c r="H288" i="123"/>
  <c r="K287" i="123"/>
  <c r="E287" i="123"/>
  <c r="H286" i="123"/>
  <c r="E286" i="123"/>
  <c r="K285" i="123"/>
  <c r="H285" i="123"/>
  <c r="K284" i="123"/>
  <c r="H284" i="123"/>
  <c r="K282" i="123"/>
  <c r="E282" i="123"/>
  <c r="K281" i="123"/>
  <c r="E281" i="123"/>
  <c r="K280" i="123"/>
  <c r="H280" i="123"/>
  <c r="E280" i="123"/>
  <c r="N271" i="123"/>
  <c r="K271" i="123"/>
  <c r="E271" i="123"/>
  <c r="N270" i="123"/>
  <c r="K270" i="123"/>
  <c r="H270" i="123"/>
  <c r="E270" i="123"/>
  <c r="K269" i="123"/>
  <c r="E269" i="123"/>
  <c r="K267" i="123"/>
  <c r="H267" i="123"/>
  <c r="K266" i="123"/>
  <c r="H266" i="123"/>
  <c r="E266" i="123"/>
  <c r="K265" i="123"/>
  <c r="H265" i="123"/>
  <c r="K264" i="123"/>
  <c r="H264" i="123"/>
  <c r="H262" i="123"/>
  <c r="E262" i="123"/>
  <c r="H261" i="123"/>
  <c r="E261" i="123"/>
  <c r="H260" i="123"/>
  <c r="E260" i="123"/>
  <c r="H259" i="123"/>
  <c r="H258" i="123"/>
  <c r="E258" i="123"/>
  <c r="K257" i="123"/>
  <c r="H257" i="123"/>
  <c r="K256" i="123"/>
  <c r="H256" i="123"/>
  <c r="K255" i="123"/>
  <c r="K254" i="123"/>
  <c r="H254" i="123"/>
  <c r="E254" i="123"/>
  <c r="K244" i="123"/>
  <c r="E244" i="123"/>
  <c r="K243" i="123"/>
  <c r="H243" i="123"/>
  <c r="K242" i="123"/>
  <c r="H242" i="123"/>
  <c r="E242" i="123"/>
  <c r="K241" i="123"/>
  <c r="H241" i="123"/>
  <c r="E241" i="123"/>
  <c r="K240" i="123"/>
  <c r="E240" i="123"/>
  <c r="K239" i="123"/>
  <c r="K238" i="123"/>
  <c r="E238" i="123"/>
  <c r="K237" i="123"/>
  <c r="E237" i="123"/>
  <c r="K236" i="123"/>
  <c r="H236" i="123"/>
  <c r="E236" i="123"/>
  <c r="K234" i="123"/>
  <c r="K233" i="123"/>
  <c r="E233" i="123"/>
  <c r="K232" i="123"/>
  <c r="H232" i="123"/>
  <c r="E232" i="123"/>
  <c r="K231" i="123"/>
  <c r="H231" i="123"/>
  <c r="E231" i="123"/>
  <c r="K230" i="123"/>
  <c r="H230" i="123"/>
  <c r="E230" i="123"/>
  <c r="N220" i="123"/>
  <c r="K220" i="123"/>
  <c r="E220" i="123"/>
  <c r="K219" i="123"/>
  <c r="H219" i="123"/>
  <c r="K218" i="123"/>
  <c r="H218" i="123"/>
  <c r="H217" i="123"/>
  <c r="K216" i="123"/>
  <c r="H216" i="123"/>
  <c r="K215" i="123"/>
  <c r="H215" i="123"/>
  <c r="K214" i="123"/>
  <c r="H214" i="123"/>
  <c r="N212" i="123"/>
  <c r="K212" i="123"/>
  <c r="K211" i="123"/>
  <c r="K210" i="123"/>
  <c r="E210" i="123"/>
  <c r="K209" i="123"/>
  <c r="H209" i="123"/>
  <c r="E209" i="123"/>
  <c r="N208" i="123"/>
  <c r="K208" i="123"/>
  <c r="E208" i="123"/>
  <c r="H206" i="123"/>
  <c r="E206" i="123"/>
  <c r="K205" i="123"/>
  <c r="H205" i="123"/>
  <c r="E205" i="123"/>
  <c r="K204" i="123"/>
  <c r="H204" i="123"/>
  <c r="K194" i="123"/>
  <c r="E194" i="123"/>
  <c r="K193" i="123"/>
  <c r="E193" i="123"/>
  <c r="K192" i="123"/>
  <c r="E192" i="123"/>
  <c r="K191" i="123"/>
  <c r="E191" i="123"/>
  <c r="K190" i="123"/>
  <c r="E190" i="123"/>
  <c r="K188" i="123"/>
  <c r="E188" i="123"/>
  <c r="K187" i="123"/>
  <c r="H187" i="123"/>
  <c r="E187" i="123"/>
  <c r="K185" i="123"/>
  <c r="H185" i="123"/>
  <c r="K184" i="123"/>
  <c r="E184" i="123"/>
  <c r="K183" i="123"/>
  <c r="E183" i="123"/>
  <c r="K182" i="123"/>
  <c r="N179" i="123"/>
  <c r="K179" i="123"/>
  <c r="E179" i="123"/>
  <c r="K178" i="123"/>
  <c r="H178" i="123"/>
  <c r="E178" i="123"/>
  <c r="K177" i="123"/>
  <c r="E177" i="123"/>
  <c r="K168" i="123"/>
  <c r="H168" i="123"/>
  <c r="E168" i="123"/>
  <c r="K167" i="123"/>
  <c r="E167" i="123"/>
  <c r="K166" i="123"/>
  <c r="E166" i="123"/>
  <c r="K165" i="123"/>
  <c r="E165" i="123"/>
  <c r="K163" i="123"/>
  <c r="E163" i="123"/>
  <c r="K162" i="123"/>
  <c r="E162" i="123"/>
  <c r="K161" i="123"/>
  <c r="E161" i="123"/>
  <c r="K159" i="123"/>
  <c r="H159" i="123"/>
  <c r="E159" i="123"/>
  <c r="K158" i="123"/>
  <c r="H158" i="123"/>
  <c r="E158" i="123"/>
  <c r="K157" i="123"/>
  <c r="H157" i="123"/>
  <c r="E157" i="123"/>
  <c r="K156" i="123"/>
  <c r="E155" i="123"/>
  <c r="K153" i="123"/>
  <c r="H153" i="123"/>
  <c r="K152" i="123"/>
  <c r="H152" i="123"/>
  <c r="E152" i="123"/>
  <c r="K151" i="123"/>
  <c r="H151" i="123"/>
  <c r="E151" i="123"/>
  <c r="M150" i="123"/>
  <c r="N150" i="123" s="1"/>
  <c r="K150" i="123"/>
  <c r="H150" i="123"/>
  <c r="E150" i="123"/>
  <c r="N140" i="123"/>
  <c r="K140" i="123"/>
  <c r="E140" i="123"/>
  <c r="K139" i="123"/>
  <c r="H139" i="123"/>
  <c r="E139" i="123"/>
  <c r="K138" i="123"/>
  <c r="H138" i="123"/>
  <c r="E138" i="123"/>
  <c r="K137" i="123"/>
  <c r="H137" i="123"/>
  <c r="E137" i="123"/>
  <c r="K135" i="123"/>
  <c r="E135" i="123"/>
  <c r="K134" i="123"/>
  <c r="H134" i="123"/>
  <c r="E134" i="123"/>
  <c r="K133" i="123"/>
  <c r="H133" i="123"/>
  <c r="E133" i="123"/>
  <c r="K132" i="123"/>
  <c r="H132" i="123"/>
  <c r="E132" i="123"/>
  <c r="K130" i="123"/>
  <c r="E130" i="123"/>
  <c r="K129" i="123"/>
  <c r="H129" i="123"/>
  <c r="E129" i="123"/>
  <c r="K128" i="123"/>
  <c r="H128" i="123"/>
  <c r="E128" i="123"/>
  <c r="K127" i="123"/>
  <c r="H127" i="123"/>
  <c r="E127" i="123"/>
  <c r="K126" i="123"/>
  <c r="H126" i="123"/>
  <c r="E126" i="123"/>
  <c r="K125" i="123"/>
  <c r="H125" i="123"/>
  <c r="E125" i="123"/>
  <c r="K123" i="123"/>
  <c r="E123" i="123"/>
  <c r="K122" i="123"/>
  <c r="H122" i="123"/>
  <c r="E122" i="123"/>
  <c r="K113" i="123"/>
  <c r="H113" i="123"/>
  <c r="E113" i="123"/>
  <c r="K112" i="123"/>
  <c r="H112" i="123"/>
  <c r="E112" i="123"/>
  <c r="K111" i="123"/>
  <c r="E111" i="123"/>
  <c r="K110" i="123"/>
  <c r="H110" i="123"/>
  <c r="E110" i="123"/>
  <c r="K108" i="123"/>
  <c r="E108" i="123"/>
  <c r="K107" i="123"/>
  <c r="H107" i="123"/>
  <c r="K106" i="123"/>
  <c r="H106" i="123"/>
  <c r="K105" i="123"/>
  <c r="H105" i="123"/>
  <c r="E105" i="123"/>
  <c r="K104" i="123"/>
  <c r="H104" i="123"/>
  <c r="E104" i="123"/>
  <c r="K103" i="123"/>
  <c r="K102" i="123"/>
  <c r="E102" i="123"/>
  <c r="K101" i="123"/>
  <c r="H101" i="123"/>
  <c r="E101" i="123"/>
  <c r="K100" i="123"/>
  <c r="H100" i="123"/>
  <c r="E100" i="123"/>
  <c r="K98" i="123"/>
  <c r="E98" i="123"/>
  <c r="K97" i="123"/>
  <c r="E97" i="123"/>
  <c r="K96" i="123"/>
  <c r="E96" i="123"/>
  <c r="K87" i="123"/>
  <c r="E87" i="123"/>
  <c r="K86" i="123"/>
  <c r="E86" i="123"/>
  <c r="K85" i="123"/>
  <c r="E85" i="123"/>
  <c r="K83" i="123"/>
  <c r="E83" i="123"/>
  <c r="N82" i="123"/>
  <c r="K82" i="123"/>
  <c r="H82" i="123"/>
  <c r="E82" i="123"/>
  <c r="K81" i="123"/>
  <c r="E81" i="123"/>
  <c r="K80" i="123"/>
  <c r="E80" i="123"/>
  <c r="K79" i="123"/>
  <c r="H79" i="123"/>
  <c r="E79" i="123"/>
  <c r="K78" i="123"/>
  <c r="E78" i="123"/>
  <c r="N77" i="123"/>
  <c r="K77" i="123"/>
  <c r="H77" i="123"/>
  <c r="E77" i="123"/>
  <c r="N75" i="123"/>
  <c r="K75" i="123"/>
  <c r="E75" i="123"/>
  <c r="K74" i="123"/>
  <c r="H74" i="123"/>
  <c r="E74" i="123"/>
  <c r="K73" i="123"/>
  <c r="H73" i="123"/>
  <c r="E73" i="123"/>
  <c r="K72" i="123"/>
  <c r="H72" i="123"/>
  <c r="E72" i="123"/>
  <c r="K71" i="123"/>
  <c r="H71" i="123"/>
  <c r="K70" i="123"/>
  <c r="H70" i="123"/>
  <c r="E68" i="123"/>
  <c r="K58" i="123"/>
  <c r="K57" i="123"/>
  <c r="H57" i="123"/>
  <c r="K56" i="123"/>
  <c r="E54" i="123"/>
  <c r="E53" i="123"/>
  <c r="E52" i="123"/>
  <c r="K51" i="123"/>
  <c r="H51" i="123"/>
  <c r="E51" i="123"/>
  <c r="K50" i="123"/>
  <c r="H50" i="123"/>
  <c r="E50" i="123"/>
  <c r="K48" i="123"/>
  <c r="H48" i="123"/>
  <c r="E48" i="123"/>
  <c r="K47" i="123"/>
  <c r="H47" i="123"/>
  <c r="E47" i="123"/>
  <c r="K46" i="123"/>
  <c r="H46" i="123"/>
  <c r="E46" i="123"/>
  <c r="K45" i="123"/>
  <c r="H45" i="123"/>
  <c r="E45" i="123"/>
  <c r="K44" i="123"/>
  <c r="H44" i="123"/>
  <c r="E44" i="123"/>
  <c r="K43" i="123"/>
  <c r="H43" i="123"/>
  <c r="E43" i="123"/>
  <c r="K42" i="123"/>
  <c r="H42" i="123"/>
  <c r="E42" i="123"/>
  <c r="K41" i="123"/>
  <c r="H41" i="123"/>
  <c r="E41" i="123"/>
  <c r="K40" i="123"/>
  <c r="H40" i="123"/>
  <c r="E40" i="123"/>
  <c r="K39" i="123"/>
  <c r="H39" i="123"/>
  <c r="E39" i="123"/>
  <c r="K38" i="123"/>
  <c r="H38" i="123"/>
  <c r="E38" i="123"/>
  <c r="K29" i="123"/>
  <c r="H29" i="123"/>
  <c r="E29" i="123"/>
  <c r="N28" i="123"/>
  <c r="K28" i="123"/>
  <c r="H28" i="123"/>
  <c r="E28" i="123"/>
  <c r="N26" i="123"/>
  <c r="K26" i="123"/>
  <c r="K25" i="123"/>
  <c r="H25" i="123"/>
  <c r="K24" i="123"/>
  <c r="N22" i="123"/>
  <c r="K21" i="123"/>
  <c r="H21" i="123"/>
  <c r="K19" i="123"/>
  <c r="K18" i="123"/>
  <c r="K16" i="123"/>
  <c r="K15" i="123"/>
  <c r="H15" i="123"/>
  <c r="K14" i="123"/>
  <c r="K13" i="123"/>
  <c r="K12" i="123"/>
  <c r="L10" i="123"/>
  <c r="J10" i="123"/>
  <c r="I10" i="123"/>
  <c r="G10" i="123"/>
  <c r="F10" i="123"/>
  <c r="D10" i="123"/>
  <c r="C10" i="123"/>
  <c r="K10" i="123" l="1"/>
  <c r="H10" i="123"/>
  <c r="E10" i="123"/>
  <c r="M10" i="123"/>
  <c r="N10" i="123" s="1"/>
  <c r="E18" i="122"/>
  <c r="D18" i="122"/>
  <c r="C18" i="122"/>
  <c r="E15" i="122"/>
  <c r="D15" i="122"/>
  <c r="C15" i="122"/>
  <c r="E12" i="122"/>
  <c r="D12" i="122"/>
  <c r="C12" i="122"/>
  <c r="E9" i="122"/>
  <c r="D9" i="122"/>
  <c r="C9" i="122"/>
  <c r="E6" i="122"/>
  <c r="D6" i="122"/>
  <c r="C20" i="100"/>
  <c r="C15" i="100" s="1"/>
  <c r="C16" i="100"/>
  <c r="C9" i="97" l="1"/>
  <c r="C11" i="106" l="1"/>
  <c r="D11" i="106"/>
  <c r="D10" i="106" s="1"/>
  <c r="F11" i="106"/>
  <c r="F10" i="106" s="1"/>
  <c r="G11" i="106"/>
  <c r="G10" i="106" s="1"/>
  <c r="I11" i="106"/>
  <c r="I10" i="106" s="1"/>
  <c r="J11" i="106"/>
  <c r="J10" i="106" s="1"/>
  <c r="K11" i="106"/>
  <c r="L11" i="106"/>
  <c r="L10" i="106" s="1"/>
  <c r="M11" i="106"/>
  <c r="M10" i="106" s="1"/>
  <c r="E12" i="106"/>
  <c r="H12" i="106"/>
  <c r="K12" i="106"/>
  <c r="N12" i="106"/>
  <c r="E13" i="106"/>
  <c r="H13" i="106"/>
  <c r="K13" i="106"/>
  <c r="N13" i="106"/>
  <c r="E14" i="106"/>
  <c r="H14" i="106"/>
  <c r="K14" i="106"/>
  <c r="N14" i="106"/>
  <c r="E15" i="106"/>
  <c r="H15" i="106"/>
  <c r="K15" i="106"/>
  <c r="N15" i="106"/>
  <c r="E16" i="106"/>
  <c r="H16" i="106"/>
  <c r="K16" i="106"/>
  <c r="N16" i="106"/>
  <c r="E17" i="106"/>
  <c r="H17" i="106"/>
  <c r="K17" i="106"/>
  <c r="N17" i="106"/>
  <c r="E18" i="106"/>
  <c r="H18" i="106"/>
  <c r="K18" i="106"/>
  <c r="N18" i="106"/>
  <c r="E19" i="106"/>
  <c r="H19" i="106"/>
  <c r="K19" i="106"/>
  <c r="N19" i="106"/>
  <c r="E20" i="106"/>
  <c r="H20" i="106"/>
  <c r="K20" i="106"/>
  <c r="N20" i="106"/>
  <c r="E21" i="106"/>
  <c r="H21" i="106"/>
  <c r="K21" i="106"/>
  <c r="N21" i="106"/>
  <c r="E22" i="106"/>
  <c r="H22" i="106"/>
  <c r="K22" i="106"/>
  <c r="N22" i="106"/>
  <c r="E23" i="106"/>
  <c r="H23" i="106"/>
  <c r="K23" i="106"/>
  <c r="N23" i="106"/>
  <c r="E24" i="106"/>
  <c r="H24" i="106"/>
  <c r="K24" i="106"/>
  <c r="N24" i="106"/>
  <c r="E25" i="106"/>
  <c r="H25" i="106"/>
  <c r="K25" i="106"/>
  <c r="N25" i="106"/>
  <c r="E26" i="106"/>
  <c r="H26" i="106"/>
  <c r="K26" i="106"/>
  <c r="N26" i="106"/>
  <c r="E27" i="106"/>
  <c r="H27" i="106"/>
  <c r="K27" i="106"/>
  <c r="N27" i="106"/>
  <c r="E28" i="106"/>
  <c r="H28" i="106"/>
  <c r="K28" i="106"/>
  <c r="N28" i="106"/>
  <c r="E29" i="106"/>
  <c r="H29" i="106"/>
  <c r="K29" i="106"/>
  <c r="N29" i="106"/>
  <c r="E30" i="106"/>
  <c r="H30" i="106"/>
  <c r="K30" i="106"/>
  <c r="N30" i="106"/>
  <c r="E31" i="106"/>
  <c r="H31" i="106"/>
  <c r="K31" i="106"/>
  <c r="N31" i="106"/>
  <c r="E32" i="106"/>
  <c r="H32" i="106"/>
  <c r="K32" i="106"/>
  <c r="N32" i="106"/>
  <c r="E33" i="106"/>
  <c r="H33" i="106"/>
  <c r="K33" i="106"/>
  <c r="N33" i="106"/>
  <c r="E34" i="106"/>
  <c r="H34" i="106"/>
  <c r="K34" i="106"/>
  <c r="N34" i="106"/>
  <c r="E35" i="106"/>
  <c r="H35" i="106"/>
  <c r="K35" i="106"/>
  <c r="N35" i="106"/>
  <c r="E36" i="106"/>
  <c r="H36" i="106"/>
  <c r="K36" i="106"/>
  <c r="N36" i="106"/>
  <c r="E37" i="106"/>
  <c r="H37" i="106"/>
  <c r="K37" i="106"/>
  <c r="N37" i="106"/>
  <c r="E38" i="106"/>
  <c r="H38" i="106"/>
  <c r="K38" i="106"/>
  <c r="N38" i="106"/>
  <c r="E39" i="106"/>
  <c r="H39" i="106"/>
  <c r="K39" i="106"/>
  <c r="N39" i="106"/>
  <c r="E40" i="106"/>
  <c r="H40" i="106"/>
  <c r="K40" i="106"/>
  <c r="N40" i="106"/>
  <c r="E41" i="106"/>
  <c r="H41" i="106"/>
  <c r="K41" i="106"/>
  <c r="N41" i="106"/>
  <c r="E42" i="106"/>
  <c r="H42" i="106"/>
  <c r="K42" i="106"/>
  <c r="N42" i="106"/>
  <c r="E43" i="106"/>
  <c r="H43" i="106"/>
  <c r="K43" i="106"/>
  <c r="N43" i="106"/>
  <c r="E44" i="106"/>
  <c r="H44" i="106"/>
  <c r="K44" i="106"/>
  <c r="N44" i="106"/>
  <c r="G10" i="105"/>
  <c r="G9" i="105" s="1"/>
  <c r="H10" i="105"/>
  <c r="I10" i="105" s="1"/>
  <c r="I11" i="105"/>
  <c r="I12" i="105"/>
  <c r="I13" i="105"/>
  <c r="I14" i="105"/>
  <c r="I15" i="105"/>
  <c r="I16" i="105"/>
  <c r="I17" i="105"/>
  <c r="I18" i="105"/>
  <c r="I19" i="105"/>
  <c r="I20" i="105"/>
  <c r="I21" i="105"/>
  <c r="I22" i="105"/>
  <c r="I23" i="105"/>
  <c r="I24" i="105"/>
  <c r="I25" i="105"/>
  <c r="I26" i="105"/>
  <c r="I27" i="105"/>
  <c r="I28" i="105"/>
  <c r="I29" i="105"/>
  <c r="I30" i="105"/>
  <c r="I31" i="105"/>
  <c r="I32" i="105"/>
  <c r="I33" i="105"/>
  <c r="I34" i="105"/>
  <c r="I35" i="105"/>
  <c r="I36" i="105"/>
  <c r="I37" i="105"/>
  <c r="I38" i="105"/>
  <c r="I39" i="105"/>
  <c r="I40" i="105"/>
  <c r="I41" i="105"/>
  <c r="I42" i="105"/>
  <c r="I43" i="105"/>
  <c r="K10" i="106" l="1"/>
  <c r="I9" i="105"/>
  <c r="E11" i="106"/>
  <c r="E10" i="106" s="1"/>
  <c r="H9" i="105"/>
  <c r="C10" i="106"/>
  <c r="N11" i="106"/>
  <c r="N10" i="106" s="1"/>
  <c r="H11" i="106"/>
  <c r="H10" i="106" s="1"/>
  <c r="G13" i="104"/>
  <c r="H13" i="104"/>
  <c r="I13" i="104"/>
  <c r="G14" i="104"/>
  <c r="G10" i="104" s="1"/>
  <c r="H14" i="104"/>
  <c r="H10" i="104" s="1"/>
  <c r="I14" i="104"/>
  <c r="I10" i="104" s="1"/>
  <c r="G15" i="104"/>
  <c r="G11" i="104" s="1"/>
  <c r="H15" i="104"/>
  <c r="H11" i="104" s="1"/>
  <c r="I15" i="104"/>
  <c r="I11" i="104" s="1"/>
  <c r="G16" i="104"/>
  <c r="H16" i="104"/>
  <c r="I16" i="104"/>
  <c r="G20" i="104"/>
  <c r="H20" i="104"/>
  <c r="I20" i="104"/>
  <c r="H24" i="104"/>
  <c r="G28" i="104"/>
  <c r="H28" i="104"/>
  <c r="I28" i="104"/>
  <c r="G32" i="104"/>
  <c r="H32" i="104"/>
  <c r="I33" i="104"/>
  <c r="I32" i="104" s="1"/>
  <c r="G36" i="104"/>
  <c r="H36" i="104"/>
  <c r="I36" i="104"/>
  <c r="G40" i="104"/>
  <c r="H40" i="104"/>
  <c r="I40" i="104"/>
  <c r="G44" i="104"/>
  <c r="H44" i="104"/>
  <c r="I44" i="104"/>
  <c r="G54" i="104"/>
  <c r="H54" i="104"/>
  <c r="I54" i="104"/>
  <c r="H58" i="104"/>
  <c r="I58" i="104"/>
  <c r="G62" i="104"/>
  <c r="H62" i="104"/>
  <c r="I62" i="104"/>
  <c r="H66" i="104"/>
  <c r="G70" i="104"/>
  <c r="H70" i="104"/>
  <c r="I70" i="104"/>
  <c r="G74" i="104"/>
  <c r="H74" i="104"/>
  <c r="I74" i="104"/>
  <c r="G78" i="104"/>
  <c r="H78" i="104"/>
  <c r="I78" i="104"/>
  <c r="G82" i="104"/>
  <c r="H82" i="104"/>
  <c r="I82" i="104"/>
  <c r="G86" i="104"/>
  <c r="H86" i="104"/>
  <c r="I86" i="104"/>
  <c r="G90" i="104"/>
  <c r="H90" i="104"/>
  <c r="I90" i="104"/>
  <c r="G100" i="104"/>
  <c r="H100" i="104"/>
  <c r="I100" i="104"/>
  <c r="G104" i="104"/>
  <c r="H104" i="104"/>
  <c r="I104" i="104"/>
  <c r="G108" i="104"/>
  <c r="H108" i="104"/>
  <c r="I108" i="104"/>
  <c r="G112" i="104"/>
  <c r="H112" i="104"/>
  <c r="I112" i="104"/>
  <c r="G116" i="104"/>
  <c r="H116" i="104"/>
  <c r="I116" i="104"/>
  <c r="G120" i="104"/>
  <c r="H120" i="104"/>
  <c r="I120" i="104"/>
  <c r="G124" i="104"/>
  <c r="H124" i="104"/>
  <c r="I124" i="104"/>
  <c r="G128" i="104"/>
  <c r="H128" i="104"/>
  <c r="I128" i="104"/>
  <c r="G132" i="104"/>
  <c r="H132" i="104"/>
  <c r="I132" i="104"/>
  <c r="G136" i="104"/>
  <c r="H136" i="104"/>
  <c r="I136" i="104"/>
  <c r="G140" i="104"/>
  <c r="H140" i="104"/>
  <c r="I140" i="104"/>
  <c r="G148" i="104"/>
  <c r="H148" i="104"/>
  <c r="I148" i="104"/>
  <c r="I9" i="104" l="1"/>
  <c r="I12" i="104"/>
  <c r="I8" i="104" s="1"/>
  <c r="H9" i="104"/>
  <c r="H12" i="104"/>
  <c r="H8" i="104" s="1"/>
  <c r="G12" i="104"/>
  <c r="G8" i="104" s="1"/>
  <c r="G9" i="104"/>
  <c r="J43" i="103"/>
  <c r="J42" i="103"/>
  <c r="J41" i="103"/>
  <c r="J40" i="103"/>
  <c r="J39" i="103"/>
  <c r="J38" i="103"/>
  <c r="J37" i="103"/>
  <c r="J36" i="103"/>
  <c r="J35" i="103"/>
  <c r="J34" i="103"/>
  <c r="J33" i="103"/>
  <c r="J32" i="103"/>
  <c r="J31" i="103"/>
  <c r="J30" i="103"/>
  <c r="J29" i="103"/>
  <c r="J28" i="103"/>
  <c r="J27" i="103"/>
  <c r="J26" i="103"/>
  <c r="J25" i="103"/>
  <c r="J24" i="103"/>
  <c r="J23" i="103"/>
  <c r="J22" i="103"/>
  <c r="J21" i="103"/>
  <c r="J20" i="103"/>
  <c r="J19" i="103"/>
  <c r="J18" i="103"/>
  <c r="J17" i="103"/>
  <c r="J16" i="103"/>
  <c r="J15" i="103"/>
  <c r="J14" i="103"/>
  <c r="J13" i="103"/>
  <c r="J12" i="103"/>
  <c r="J11" i="103"/>
  <c r="J10" i="103"/>
  <c r="J9" i="103" s="1"/>
  <c r="I10" i="103"/>
  <c r="H10" i="103"/>
  <c r="H9" i="103" s="1"/>
  <c r="G10" i="103"/>
  <c r="G9" i="103" s="1"/>
  <c r="I9" i="103"/>
  <c r="G10" i="102" l="1"/>
  <c r="G9" i="102" s="1"/>
  <c r="H10" i="102"/>
  <c r="H9" i="102" s="1"/>
  <c r="I10" i="102"/>
  <c r="J10" i="102" s="1"/>
  <c r="J11" i="102"/>
  <c r="J12" i="102"/>
  <c r="J13" i="102"/>
  <c r="J14" i="102"/>
  <c r="J15" i="102"/>
  <c r="J16" i="102"/>
  <c r="J17" i="102"/>
  <c r="J18" i="102"/>
  <c r="J19" i="102"/>
  <c r="J20" i="102"/>
  <c r="J21" i="102"/>
  <c r="J22" i="102"/>
  <c r="J23" i="102"/>
  <c r="J24" i="102"/>
  <c r="J25" i="102"/>
  <c r="J26" i="102"/>
  <c r="J27" i="102"/>
  <c r="J28" i="102"/>
  <c r="J29" i="102"/>
  <c r="J30" i="102"/>
  <c r="J31" i="102"/>
  <c r="J32" i="102"/>
  <c r="J33" i="102"/>
  <c r="J34" i="102"/>
  <c r="J35" i="102"/>
  <c r="J36" i="102"/>
  <c r="J37" i="102"/>
  <c r="J38" i="102"/>
  <c r="J39" i="102"/>
  <c r="J40" i="102"/>
  <c r="J41" i="102"/>
  <c r="J42" i="102"/>
  <c r="J43" i="102"/>
  <c r="C9" i="101"/>
  <c r="C10" i="101"/>
  <c r="D10" i="101"/>
  <c r="D9" i="101" s="1"/>
  <c r="E10" i="101"/>
  <c r="E9" i="101" s="1"/>
  <c r="F11" i="101"/>
  <c r="F12" i="101"/>
  <c r="F13" i="101"/>
  <c r="F14" i="101"/>
  <c r="F15" i="101"/>
  <c r="F16" i="101"/>
  <c r="F17" i="101"/>
  <c r="F18" i="101"/>
  <c r="F19" i="101"/>
  <c r="F20" i="101"/>
  <c r="F21" i="101"/>
  <c r="F22" i="101"/>
  <c r="F23" i="101"/>
  <c r="F24" i="101"/>
  <c r="F25" i="101"/>
  <c r="F26" i="101"/>
  <c r="F27" i="101"/>
  <c r="F28" i="101"/>
  <c r="F29" i="101"/>
  <c r="F30" i="101"/>
  <c r="F31" i="101"/>
  <c r="F32" i="101"/>
  <c r="F33" i="101"/>
  <c r="F34" i="101"/>
  <c r="F35" i="101"/>
  <c r="F36" i="101"/>
  <c r="F37" i="101"/>
  <c r="F38" i="101"/>
  <c r="F39" i="101"/>
  <c r="F40" i="101"/>
  <c r="F41" i="101"/>
  <c r="C11" i="100"/>
  <c r="C6" i="100" s="1"/>
  <c r="C26" i="100"/>
  <c r="G9" i="20"/>
  <c r="F9" i="20" s="1"/>
  <c r="F10" i="99"/>
  <c r="F9" i="99" s="1"/>
  <c r="G10" i="99"/>
  <c r="G9" i="99" s="1"/>
  <c r="H11" i="99"/>
  <c r="H12" i="99"/>
  <c r="H13" i="99"/>
  <c r="H14" i="99"/>
  <c r="H15" i="99"/>
  <c r="H16" i="99"/>
  <c r="H17" i="99"/>
  <c r="H18" i="99"/>
  <c r="H19" i="99"/>
  <c r="H20" i="99"/>
  <c r="H21" i="99"/>
  <c r="H22" i="99"/>
  <c r="H23" i="99"/>
  <c r="H24" i="99"/>
  <c r="H25" i="99"/>
  <c r="H26" i="99"/>
  <c r="H27" i="99"/>
  <c r="H28" i="99"/>
  <c r="H29" i="99"/>
  <c r="H30" i="99"/>
  <c r="H31" i="99"/>
  <c r="H32" i="99"/>
  <c r="H33" i="99"/>
  <c r="H34" i="99"/>
  <c r="H35" i="99"/>
  <c r="H36" i="99"/>
  <c r="H37" i="99"/>
  <c r="H38" i="99"/>
  <c r="H39" i="99"/>
  <c r="H40" i="99"/>
  <c r="H41" i="99"/>
  <c r="H42" i="99"/>
  <c r="H43" i="99"/>
  <c r="F9" i="98"/>
  <c r="G9" i="98"/>
  <c r="H10" i="98"/>
  <c r="H11" i="98"/>
  <c r="H12" i="98"/>
  <c r="H13" i="98"/>
  <c r="H14" i="98"/>
  <c r="H15" i="98"/>
  <c r="H16" i="98"/>
  <c r="H17" i="98"/>
  <c r="H18" i="98"/>
  <c r="H19" i="98"/>
  <c r="H20" i="98"/>
  <c r="H21" i="98"/>
  <c r="H22" i="98"/>
  <c r="H23" i="98"/>
  <c r="H24" i="98"/>
  <c r="H25" i="98"/>
  <c r="H26" i="98"/>
  <c r="H27" i="98"/>
  <c r="H28" i="98"/>
  <c r="H29" i="98"/>
  <c r="H30" i="98"/>
  <c r="H31" i="98"/>
  <c r="H32" i="98"/>
  <c r="H33" i="98"/>
  <c r="H34" i="98"/>
  <c r="H35" i="98"/>
  <c r="H36" i="98"/>
  <c r="H37" i="98"/>
  <c r="H38" i="98"/>
  <c r="H39" i="98"/>
  <c r="H40" i="98"/>
  <c r="H41" i="98"/>
  <c r="H42" i="98"/>
  <c r="H43" i="98"/>
  <c r="E43" i="97"/>
  <c r="E42" i="97"/>
  <c r="E41" i="97"/>
  <c r="E40" i="97"/>
  <c r="E39" i="97"/>
  <c r="E38" i="97"/>
  <c r="E37" i="97"/>
  <c r="E36" i="97"/>
  <c r="E35" i="97"/>
  <c r="E34" i="97"/>
  <c r="E33" i="97"/>
  <c r="E32" i="97"/>
  <c r="E31" i="97"/>
  <c r="E30" i="97"/>
  <c r="E29" i="97"/>
  <c r="E28" i="97"/>
  <c r="E27" i="97"/>
  <c r="E26" i="97"/>
  <c r="E25" i="97"/>
  <c r="E24" i="97"/>
  <c r="E23" i="97"/>
  <c r="E22" i="97"/>
  <c r="E21" i="97"/>
  <c r="E20" i="97"/>
  <c r="E19" i="97"/>
  <c r="E18" i="97"/>
  <c r="E17" i="97"/>
  <c r="E16" i="97"/>
  <c r="E15" i="97"/>
  <c r="E14" i="97"/>
  <c r="E13" i="97"/>
  <c r="E12" i="97"/>
  <c r="E11" i="97"/>
  <c r="E10" i="97"/>
  <c r="D9" i="97"/>
  <c r="J9" i="102" l="1"/>
  <c r="I9" i="102"/>
  <c r="H10" i="99"/>
  <c r="H9" i="99" s="1"/>
  <c r="F10" i="101"/>
  <c r="F9" i="101" s="1"/>
  <c r="H9" i="98"/>
  <c r="Z29" i="89" l="1"/>
  <c r="E18" i="89"/>
  <c r="D18" i="89"/>
  <c r="C18" i="89"/>
  <c r="E15" i="89"/>
  <c r="D15" i="89"/>
  <c r="C15" i="89"/>
  <c r="E12" i="89"/>
  <c r="D12" i="89"/>
  <c r="C12" i="89"/>
  <c r="E9" i="89"/>
  <c r="D9" i="89"/>
  <c r="C9" i="89"/>
  <c r="E6" i="89"/>
  <c r="D6" i="89"/>
  <c r="E15" i="88"/>
  <c r="D15" i="88"/>
  <c r="C15" i="88"/>
  <c r="E12" i="88"/>
  <c r="D12" i="88"/>
  <c r="C12" i="88"/>
  <c r="E9" i="88"/>
  <c r="D9" i="88"/>
  <c r="C9" i="88"/>
  <c r="E6" i="88"/>
  <c r="D6" i="88"/>
  <c r="E18" i="82"/>
  <c r="H18" i="82"/>
  <c r="K18" i="82"/>
  <c r="N18" i="82"/>
  <c r="R18" i="82"/>
  <c r="E19" i="82"/>
  <c r="H19" i="82"/>
  <c r="K19" i="82"/>
  <c r="N19" i="82"/>
  <c r="N234" i="82"/>
  <c r="K234" i="82"/>
  <c r="H234" i="82"/>
  <c r="N233" i="82"/>
  <c r="K233" i="82"/>
  <c r="H233" i="82"/>
  <c r="E233" i="82"/>
  <c r="N231" i="82"/>
  <c r="K231" i="82"/>
  <c r="N230" i="82"/>
  <c r="K230" i="82"/>
  <c r="H230" i="82"/>
  <c r="E230" i="82"/>
  <c r="N229" i="82"/>
  <c r="K229" i="82"/>
  <c r="H229" i="82"/>
  <c r="E229" i="82"/>
  <c r="N228" i="82"/>
  <c r="K228" i="82"/>
  <c r="H228" i="82"/>
  <c r="E228" i="82"/>
  <c r="N226" i="82"/>
  <c r="K226" i="82"/>
  <c r="H226" i="82"/>
  <c r="E226" i="82"/>
  <c r="N225" i="82"/>
  <c r="K225" i="82"/>
  <c r="H225" i="82"/>
  <c r="E225" i="82"/>
  <c r="N224" i="82"/>
  <c r="K224" i="82"/>
  <c r="H224" i="82"/>
  <c r="E224" i="82"/>
  <c r="N223" i="82"/>
  <c r="K223" i="82"/>
  <c r="H223" i="82"/>
  <c r="E223" i="82"/>
  <c r="N222" i="82"/>
  <c r="K222" i="82"/>
  <c r="H222" i="82"/>
  <c r="E222" i="82"/>
  <c r="N213" i="82"/>
  <c r="K213" i="82"/>
  <c r="H213" i="82"/>
  <c r="E213" i="82"/>
  <c r="N212" i="82"/>
  <c r="K212" i="82"/>
  <c r="H212" i="82"/>
  <c r="E212" i="82"/>
  <c r="N210" i="82"/>
  <c r="K210" i="82"/>
  <c r="H210" i="82"/>
  <c r="E210" i="82"/>
  <c r="N209" i="82"/>
  <c r="K209" i="82"/>
  <c r="H209" i="82"/>
  <c r="E209" i="82"/>
  <c r="N208" i="82"/>
  <c r="K208" i="82"/>
  <c r="H208" i="82"/>
  <c r="E208" i="82"/>
  <c r="N207" i="82"/>
  <c r="K207" i="82"/>
  <c r="H207" i="82"/>
  <c r="E207" i="82"/>
  <c r="N205" i="82"/>
  <c r="K205" i="82"/>
  <c r="H205" i="82"/>
  <c r="E205" i="82"/>
  <c r="N204" i="82"/>
  <c r="K204" i="82"/>
  <c r="H204" i="82"/>
  <c r="E204" i="82"/>
  <c r="N203" i="82"/>
  <c r="K203" i="82"/>
  <c r="H203" i="82"/>
  <c r="E203" i="82"/>
  <c r="N202" i="82"/>
  <c r="K202" i="82"/>
  <c r="H202" i="82"/>
  <c r="E202" i="82"/>
  <c r="N200" i="82"/>
  <c r="K200" i="82"/>
  <c r="H200" i="82"/>
  <c r="E200" i="82"/>
  <c r="N199" i="82"/>
  <c r="K199" i="82"/>
  <c r="H199" i="82"/>
  <c r="E199" i="82"/>
  <c r="N198" i="82"/>
  <c r="K198" i="82"/>
  <c r="H198" i="82"/>
  <c r="E198" i="82"/>
  <c r="N189" i="82"/>
  <c r="K189" i="82"/>
  <c r="H189" i="82"/>
  <c r="E189" i="82"/>
  <c r="N188" i="82"/>
  <c r="K188" i="82"/>
  <c r="H188" i="82"/>
  <c r="E188" i="82"/>
  <c r="N187" i="82"/>
  <c r="K187" i="82"/>
  <c r="H187" i="82"/>
  <c r="E187" i="82"/>
  <c r="N186" i="82"/>
  <c r="K186" i="82"/>
  <c r="H186" i="82"/>
  <c r="E186" i="82"/>
  <c r="N185" i="82"/>
  <c r="K185" i="82"/>
  <c r="H185" i="82"/>
  <c r="E185" i="82"/>
  <c r="N184" i="82"/>
  <c r="K184" i="82"/>
  <c r="H184" i="82"/>
  <c r="E184" i="82"/>
  <c r="N183" i="82"/>
  <c r="K183" i="82"/>
  <c r="H183" i="82"/>
  <c r="E183" i="82"/>
  <c r="N181" i="82"/>
  <c r="K181" i="82"/>
  <c r="H181" i="82"/>
  <c r="E181" i="82"/>
  <c r="N180" i="82"/>
  <c r="K180" i="82"/>
  <c r="H180" i="82"/>
  <c r="E180" i="82"/>
  <c r="N178" i="82"/>
  <c r="K178" i="82"/>
  <c r="H178" i="82"/>
  <c r="E178" i="82"/>
  <c r="N176" i="82"/>
  <c r="K176" i="82"/>
  <c r="H176" i="82"/>
  <c r="E176" i="82"/>
  <c r="N175" i="82"/>
  <c r="K175" i="82"/>
  <c r="H175" i="82"/>
  <c r="E175" i="82"/>
  <c r="N174" i="82"/>
  <c r="K174" i="82"/>
  <c r="H174" i="82"/>
  <c r="E174" i="82"/>
  <c r="N173" i="82"/>
  <c r="K173" i="82"/>
  <c r="H173" i="82"/>
  <c r="E173" i="82"/>
  <c r="N164" i="82"/>
  <c r="K164" i="82"/>
  <c r="H164" i="82"/>
  <c r="E164" i="82"/>
  <c r="N163" i="82"/>
  <c r="K163" i="82"/>
  <c r="H163" i="82"/>
  <c r="E163" i="82"/>
  <c r="N162" i="82"/>
  <c r="K162" i="82"/>
  <c r="H162" i="82"/>
  <c r="E162" i="82"/>
  <c r="N161" i="82"/>
  <c r="K161" i="82"/>
  <c r="H161" i="82"/>
  <c r="E161" i="82"/>
  <c r="N159" i="82"/>
  <c r="K159" i="82"/>
  <c r="H159" i="82"/>
  <c r="E159" i="82"/>
  <c r="N158" i="82"/>
  <c r="K158" i="82"/>
  <c r="H158" i="82"/>
  <c r="E158" i="82"/>
  <c r="N157" i="82"/>
  <c r="K157" i="82"/>
  <c r="H157" i="82"/>
  <c r="E157" i="82"/>
  <c r="N155" i="82"/>
  <c r="K155" i="82"/>
  <c r="H155" i="82"/>
  <c r="E155" i="82"/>
  <c r="N154" i="82"/>
  <c r="K154" i="82"/>
  <c r="H154" i="82"/>
  <c r="E154" i="82"/>
  <c r="N153" i="82"/>
  <c r="K153" i="82"/>
  <c r="H153" i="82"/>
  <c r="E153" i="82"/>
  <c r="N152" i="82"/>
  <c r="K152" i="82"/>
  <c r="H152" i="82"/>
  <c r="E152" i="82"/>
  <c r="N151" i="82"/>
  <c r="K151" i="82"/>
  <c r="H151" i="82"/>
  <c r="E151" i="82"/>
  <c r="N150" i="82"/>
  <c r="K150" i="82"/>
  <c r="H150" i="82"/>
  <c r="E150" i="82"/>
  <c r="N149" i="82"/>
  <c r="K149" i="82"/>
  <c r="H149" i="82"/>
  <c r="E149" i="82"/>
  <c r="N141" i="82"/>
  <c r="K141" i="82"/>
  <c r="H141" i="82"/>
  <c r="E141" i="82"/>
  <c r="N140" i="82"/>
  <c r="J140" i="82"/>
  <c r="K140" i="82" s="1"/>
  <c r="H140" i="82"/>
  <c r="E140" i="82"/>
  <c r="N139" i="82"/>
  <c r="K139" i="82"/>
  <c r="H139" i="82"/>
  <c r="E139" i="82"/>
  <c r="N138" i="82"/>
  <c r="K138" i="82"/>
  <c r="H138" i="82"/>
  <c r="E138" i="82"/>
  <c r="N136" i="82"/>
  <c r="K136" i="82"/>
  <c r="H136" i="82"/>
  <c r="E136" i="82"/>
  <c r="N135" i="82"/>
  <c r="K135" i="82"/>
  <c r="H135" i="82"/>
  <c r="E135" i="82"/>
  <c r="N134" i="82"/>
  <c r="K134" i="82"/>
  <c r="H134" i="82"/>
  <c r="E134" i="82"/>
  <c r="N133" i="82"/>
  <c r="K133" i="82"/>
  <c r="H133" i="82"/>
  <c r="E133" i="82"/>
  <c r="N131" i="82"/>
  <c r="K131" i="82"/>
  <c r="H131" i="82"/>
  <c r="E131" i="82"/>
  <c r="N130" i="82"/>
  <c r="K130" i="82"/>
  <c r="H130" i="82"/>
  <c r="E130" i="82"/>
  <c r="N129" i="82"/>
  <c r="K129" i="82"/>
  <c r="H129" i="82"/>
  <c r="E129" i="82"/>
  <c r="N128" i="82"/>
  <c r="K128" i="82"/>
  <c r="H128" i="82"/>
  <c r="E128" i="82"/>
  <c r="N127" i="82"/>
  <c r="K127" i="82"/>
  <c r="H127" i="82"/>
  <c r="E127" i="82"/>
  <c r="N118" i="82"/>
  <c r="K118" i="82"/>
  <c r="H118" i="82"/>
  <c r="E118" i="82"/>
  <c r="N117" i="82"/>
  <c r="K117" i="82"/>
  <c r="H117" i="82"/>
  <c r="E117" i="82"/>
  <c r="N116" i="82"/>
  <c r="K116" i="82"/>
  <c r="H116" i="82"/>
  <c r="E116" i="82"/>
  <c r="N115" i="82"/>
  <c r="K115" i="82"/>
  <c r="H115" i="82"/>
  <c r="E115" i="82"/>
  <c r="N114" i="82"/>
  <c r="K114" i="82"/>
  <c r="H114" i="82"/>
  <c r="E114" i="82"/>
  <c r="N113" i="82"/>
  <c r="K113" i="82"/>
  <c r="H113" i="82"/>
  <c r="E113" i="82"/>
  <c r="N112" i="82"/>
  <c r="K112" i="82"/>
  <c r="H112" i="82"/>
  <c r="E112" i="82"/>
  <c r="N111" i="82"/>
  <c r="K111" i="82"/>
  <c r="H111" i="82"/>
  <c r="E111" i="82"/>
  <c r="N110" i="82"/>
  <c r="K110" i="82"/>
  <c r="H110" i="82"/>
  <c r="E110" i="82"/>
  <c r="N109" i="82"/>
  <c r="K109" i="82"/>
  <c r="H109" i="82"/>
  <c r="E109" i="82"/>
  <c r="N107" i="82"/>
  <c r="K107" i="82"/>
  <c r="H107" i="82"/>
  <c r="E107" i="82"/>
  <c r="N105" i="82"/>
  <c r="K105" i="82"/>
  <c r="H105" i="82"/>
  <c r="E105" i="82"/>
  <c r="N104" i="82"/>
  <c r="K104" i="82"/>
  <c r="H104" i="82"/>
  <c r="E104" i="82"/>
  <c r="N103" i="82"/>
  <c r="K103" i="82"/>
  <c r="H103" i="82"/>
  <c r="E103" i="82"/>
  <c r="N102" i="82"/>
  <c r="N101" i="82"/>
  <c r="K101" i="82"/>
  <c r="H101" i="82"/>
  <c r="E101" i="82"/>
  <c r="N93" i="82"/>
  <c r="K93" i="82"/>
  <c r="H93" i="82"/>
  <c r="E93" i="82"/>
  <c r="N92" i="82"/>
  <c r="K92" i="82"/>
  <c r="H92" i="82"/>
  <c r="E92" i="82"/>
  <c r="N90" i="82"/>
  <c r="K90" i="82"/>
  <c r="H90" i="82"/>
  <c r="N89" i="82"/>
  <c r="K89" i="82"/>
  <c r="H89" i="82"/>
  <c r="E89" i="82"/>
  <c r="N88" i="82"/>
  <c r="K88" i="82"/>
  <c r="H88" i="82"/>
  <c r="E88" i="82"/>
  <c r="N87" i="82"/>
  <c r="K87" i="82"/>
  <c r="H87" i="82"/>
  <c r="E87" i="82"/>
  <c r="N86" i="82"/>
  <c r="K86" i="82"/>
  <c r="H86" i="82"/>
  <c r="E86" i="82"/>
  <c r="N85" i="82"/>
  <c r="K85" i="82"/>
  <c r="H85" i="82"/>
  <c r="E85" i="82"/>
  <c r="N84" i="82"/>
  <c r="K84" i="82"/>
  <c r="H84" i="82"/>
  <c r="E84" i="82"/>
  <c r="N83" i="82"/>
  <c r="K83" i="82"/>
  <c r="H83" i="82"/>
  <c r="E83" i="82"/>
  <c r="N82" i="82"/>
  <c r="K82" i="82"/>
  <c r="H82" i="82"/>
  <c r="E82" i="82"/>
  <c r="N80" i="82"/>
  <c r="K80" i="82"/>
  <c r="H80" i="82"/>
  <c r="E80" i="82"/>
  <c r="N79" i="82"/>
  <c r="K79" i="82"/>
  <c r="H79" i="82"/>
  <c r="E79" i="82"/>
  <c r="N78" i="82"/>
  <c r="K78" i="82"/>
  <c r="H78" i="82"/>
  <c r="E78" i="82"/>
  <c r="N77" i="82"/>
  <c r="K77" i="82"/>
  <c r="H77" i="82"/>
  <c r="E77" i="82"/>
  <c r="N76" i="82"/>
  <c r="K76" i="82"/>
  <c r="H76" i="82"/>
  <c r="E76" i="82"/>
  <c r="N74" i="82"/>
  <c r="K74" i="82"/>
  <c r="H74" i="82"/>
  <c r="E74" i="82"/>
  <c r="N73" i="82"/>
  <c r="K73" i="82"/>
  <c r="H73" i="82"/>
  <c r="E73" i="82"/>
  <c r="N72" i="82"/>
  <c r="K72" i="82"/>
  <c r="H72" i="82"/>
  <c r="E72" i="82"/>
  <c r="N70" i="82"/>
  <c r="K70" i="82"/>
  <c r="H70" i="82"/>
  <c r="E70" i="82"/>
  <c r="N69" i="82"/>
  <c r="J69" i="82"/>
  <c r="K69" i="82" s="1"/>
  <c r="H69" i="82"/>
  <c r="E69" i="82"/>
  <c r="N68" i="82"/>
  <c r="K68" i="82"/>
  <c r="H68" i="82"/>
  <c r="E68" i="82"/>
  <c r="N67" i="82"/>
  <c r="K67" i="82"/>
  <c r="H67" i="82"/>
  <c r="E67" i="82"/>
  <c r="N65" i="82"/>
  <c r="K65" i="82"/>
  <c r="H65" i="82"/>
  <c r="E65" i="82"/>
  <c r="N64" i="82"/>
  <c r="K64" i="82"/>
  <c r="H64" i="82"/>
  <c r="E64" i="82"/>
  <c r="N63" i="82"/>
  <c r="K63" i="82"/>
  <c r="H63" i="82"/>
  <c r="E63" i="82"/>
  <c r="N62" i="82"/>
  <c r="K62" i="82"/>
  <c r="H62" i="82"/>
  <c r="E62" i="82"/>
  <c r="N61" i="82"/>
  <c r="K61" i="82"/>
  <c r="H61" i="82"/>
  <c r="E61" i="82"/>
  <c r="N59" i="82"/>
  <c r="K59" i="82"/>
  <c r="H59" i="82"/>
  <c r="E59" i="82"/>
  <c r="N58" i="82"/>
  <c r="K58" i="82"/>
  <c r="H58" i="82"/>
  <c r="E58" i="82"/>
  <c r="N50" i="82"/>
  <c r="K50" i="82"/>
  <c r="H50" i="82"/>
  <c r="E50" i="82"/>
  <c r="N49" i="82"/>
  <c r="K49" i="82"/>
  <c r="H49" i="82"/>
  <c r="E49" i="82"/>
  <c r="N48" i="82"/>
  <c r="H48" i="82"/>
  <c r="E48" i="82"/>
  <c r="N47" i="82"/>
  <c r="K47" i="82"/>
  <c r="H47" i="82"/>
  <c r="E47" i="82"/>
  <c r="N46" i="82"/>
  <c r="K46" i="82"/>
  <c r="H46" i="82"/>
  <c r="E46" i="82"/>
  <c r="N45" i="82"/>
  <c r="K45" i="82"/>
  <c r="H45" i="82"/>
  <c r="E45" i="82"/>
  <c r="N44" i="82"/>
  <c r="K44" i="82"/>
  <c r="H44" i="82"/>
  <c r="E44" i="82"/>
  <c r="N42" i="82"/>
  <c r="K42" i="82"/>
  <c r="H42" i="82"/>
  <c r="E42" i="82"/>
  <c r="N41" i="82"/>
  <c r="K41" i="82"/>
  <c r="H41" i="82"/>
  <c r="E41" i="82"/>
  <c r="N39" i="82"/>
  <c r="K39" i="82"/>
  <c r="H39" i="82"/>
  <c r="E39" i="82"/>
  <c r="N38" i="82"/>
  <c r="K38" i="82"/>
  <c r="H38" i="82"/>
  <c r="E38" i="82"/>
  <c r="N37" i="82"/>
  <c r="K37" i="82"/>
  <c r="H37" i="82"/>
  <c r="E37" i="82"/>
  <c r="N36" i="82"/>
  <c r="K36" i="82"/>
  <c r="H36" i="82"/>
  <c r="E36" i="82"/>
  <c r="N34" i="82"/>
  <c r="K34" i="82"/>
  <c r="H34" i="82"/>
  <c r="E34" i="82"/>
  <c r="N33" i="82"/>
  <c r="K33" i="82"/>
  <c r="H33" i="82"/>
  <c r="E33" i="82"/>
  <c r="N32" i="82"/>
  <c r="K32" i="82"/>
  <c r="H32" i="82"/>
  <c r="E32" i="82"/>
  <c r="Q31" i="82"/>
  <c r="N31" i="82"/>
  <c r="K31" i="82"/>
  <c r="H31" i="82"/>
  <c r="E31" i="82"/>
  <c r="N30" i="82"/>
  <c r="K30" i="82"/>
  <c r="H30" i="82"/>
  <c r="E30" i="82"/>
  <c r="N29" i="82"/>
  <c r="K29" i="82"/>
  <c r="H29" i="82"/>
  <c r="E29" i="82"/>
  <c r="N28" i="82"/>
  <c r="K28" i="82"/>
  <c r="H28" i="82"/>
  <c r="E28" i="82"/>
  <c r="N26" i="82"/>
  <c r="K26" i="82"/>
  <c r="H26" i="82"/>
  <c r="E26" i="82"/>
  <c r="N25" i="82"/>
  <c r="K25" i="82"/>
  <c r="H25" i="82"/>
  <c r="E25" i="82"/>
  <c r="N24" i="82"/>
  <c r="K24" i="82"/>
  <c r="H24" i="82"/>
  <c r="E24" i="82"/>
  <c r="N22" i="82"/>
  <c r="K22" i="82"/>
  <c r="H22" i="82"/>
  <c r="E22" i="82"/>
  <c r="N21" i="82"/>
  <c r="K21" i="82"/>
  <c r="H21" i="82"/>
  <c r="E21" i="82"/>
  <c r="K20" i="82"/>
  <c r="N16" i="82"/>
  <c r="K16" i="82"/>
  <c r="E16" i="82"/>
  <c r="N15" i="82"/>
  <c r="K15" i="82"/>
  <c r="H15" i="82"/>
  <c r="E15" i="82"/>
  <c r="N14" i="82"/>
  <c r="K14" i="82"/>
  <c r="E14" i="82"/>
  <c r="N13" i="82"/>
  <c r="K13" i="82"/>
  <c r="E13" i="82"/>
  <c r="N12" i="82"/>
  <c r="J12" i="82"/>
  <c r="K12" i="82" s="1"/>
  <c r="E12" i="82"/>
  <c r="M10" i="82"/>
  <c r="L10" i="82"/>
  <c r="G10" i="82"/>
  <c r="F10" i="82"/>
  <c r="D10" i="82"/>
  <c r="C10" i="82"/>
  <c r="N10" i="82" l="1"/>
  <c r="H10" i="82"/>
  <c r="E10" i="82"/>
  <c r="J10" i="82"/>
  <c r="K10" i="82" s="1"/>
  <c r="H9" i="51" l="1"/>
  <c r="B22" i="76" l="1"/>
  <c r="A22" i="76"/>
  <c r="B19" i="76"/>
  <c r="A19" i="76"/>
  <c r="A4" i="76"/>
  <c r="A14" i="76"/>
  <c r="A15" i="76"/>
  <c r="A8" i="76"/>
  <c r="A9" i="76"/>
  <c r="A7" i="76" l="1"/>
  <c r="A13" i="76"/>
  <c r="G9" i="51" l="1"/>
  <c r="F43" i="20" l="1"/>
  <c r="F12" i="20"/>
  <c r="F13" i="20"/>
  <c r="F14" i="20"/>
  <c r="F15" i="20"/>
  <c r="F16" i="20"/>
  <c r="F17" i="20"/>
  <c r="F18" i="20"/>
  <c r="F19" i="20"/>
  <c r="F20" i="20"/>
  <c r="F21" i="20"/>
  <c r="F22" i="20"/>
  <c r="F23" i="20"/>
  <c r="F24" i="20"/>
  <c r="F25" i="20"/>
  <c r="F26" i="20"/>
  <c r="F27" i="20"/>
  <c r="F28" i="20"/>
  <c r="F29" i="20"/>
  <c r="F30" i="20"/>
  <c r="F31" i="20"/>
  <c r="F32" i="20"/>
  <c r="F33" i="20"/>
  <c r="F34" i="20"/>
  <c r="F35" i="20"/>
  <c r="F36" i="20"/>
  <c r="F37" i="20"/>
  <c r="F38" i="20"/>
  <c r="F39" i="20"/>
  <c r="F40" i="20"/>
  <c r="F41" i="20"/>
  <c r="F42" i="20"/>
  <c r="F11" i="20"/>
  <c r="F10" i="20"/>
  <c r="M53" i="23" l="1"/>
  <c r="Q84" i="23" l="1"/>
  <c r="R84" i="23"/>
  <c r="R62" i="23"/>
  <c r="Q72" i="23"/>
  <c r="Q83" i="23"/>
  <c r="R83" i="23"/>
  <c r="R76" i="23"/>
  <c r="Q95" i="23"/>
  <c r="R95" i="23"/>
  <c r="Q63" i="23"/>
  <c r="R63" i="23"/>
  <c r="R94" i="23"/>
  <c r="Q94" i="23"/>
  <c r="Q77" i="23"/>
  <c r="R77" i="23"/>
  <c r="Q81" i="23"/>
  <c r="R81" i="23"/>
  <c r="Q79" i="23"/>
  <c r="R79" i="23"/>
  <c r="Q62" i="23"/>
  <c r="Q67" i="23"/>
  <c r="R67" i="23"/>
  <c r="R72" i="23"/>
  <c r="Q27" i="23"/>
  <c r="S27" i="23" s="1"/>
  <c r="R71" i="23"/>
  <c r="S71" i="23" s="1"/>
  <c r="Q75" i="23"/>
  <c r="R75" i="23"/>
  <c r="Q98" i="23"/>
  <c r="R98" i="23"/>
  <c r="Q65" i="23"/>
  <c r="R65" i="23"/>
  <c r="R64" i="23"/>
  <c r="S64" i="23" s="1"/>
  <c r="Q66" i="23"/>
  <c r="R66" i="23"/>
  <c r="Q78" i="23"/>
  <c r="R78" i="23"/>
  <c r="Q30" i="23"/>
  <c r="Q74" i="23"/>
  <c r="R74" i="23"/>
  <c r="Q73" i="23"/>
  <c r="R73" i="23"/>
  <c r="Q61" i="23"/>
  <c r="R61" i="23"/>
  <c r="Q93" i="23"/>
  <c r="R93" i="23"/>
  <c r="Q96" i="23"/>
  <c r="R96" i="23"/>
  <c r="Q54" i="23"/>
  <c r="S54" i="23" s="1"/>
  <c r="Q91" i="23"/>
  <c r="R91" i="23"/>
  <c r="Q82" i="23"/>
  <c r="R82" i="23"/>
  <c r="Q70" i="23"/>
  <c r="R70" i="23"/>
  <c r="Q85" i="23"/>
  <c r="R85" i="23"/>
  <c r="Q97" i="23"/>
  <c r="R97" i="23"/>
  <c r="Q58" i="23"/>
  <c r="S58" i="23" s="1"/>
  <c r="Q42" i="23"/>
  <c r="S42" i="23" s="1"/>
  <c r="Q69" i="23"/>
  <c r="R69" i="23"/>
  <c r="Q80" i="23"/>
  <c r="R80" i="23"/>
  <c r="Q68" i="23"/>
  <c r="R68" i="23"/>
  <c r="Q92" i="23"/>
  <c r="R92" i="23"/>
  <c r="Q76" i="23"/>
  <c r="Q60" i="23"/>
  <c r="R60" i="23"/>
  <c r="M56" i="23"/>
  <c r="M57" i="23"/>
  <c r="M58" i="23"/>
  <c r="M59" i="23"/>
  <c r="M55" i="23"/>
  <c r="M54" i="23"/>
  <c r="S75" i="23"/>
  <c r="S83" i="23"/>
  <c r="S94" i="23"/>
  <c r="M11" i="23"/>
  <c r="M12" i="23"/>
  <c r="M13" i="23"/>
  <c r="M14" i="23"/>
  <c r="M15" i="23"/>
  <c r="M16" i="23"/>
  <c r="M18" i="23"/>
  <c r="M19" i="23"/>
  <c r="M20" i="23"/>
  <c r="M22" i="23"/>
  <c r="M23" i="23"/>
  <c r="M24" i="23"/>
  <c r="M25" i="23"/>
  <c r="M26" i="23"/>
  <c r="M27" i="23"/>
  <c r="M28" i="23"/>
  <c r="M29" i="23"/>
  <c r="M30" i="23"/>
  <c r="M32" i="23"/>
  <c r="M33" i="23"/>
  <c r="M34" i="23"/>
  <c r="M35" i="23"/>
  <c r="M36" i="23"/>
  <c r="M37" i="23"/>
  <c r="M38" i="23"/>
  <c r="M39" i="23"/>
  <c r="M40" i="23"/>
  <c r="M41" i="23"/>
  <c r="M42" i="23"/>
  <c r="M43" i="23"/>
  <c r="M44" i="23"/>
  <c r="M45" i="23"/>
  <c r="M46" i="23"/>
  <c r="M47" i="23"/>
  <c r="M10" i="23"/>
  <c r="M9" i="23"/>
  <c r="S20" i="23"/>
  <c r="S21" i="23"/>
  <c r="S24" i="23"/>
  <c r="S30" i="23"/>
  <c r="K8" i="23"/>
  <c r="L8" i="23"/>
  <c r="S68" i="23" l="1"/>
  <c r="S67" i="23"/>
  <c r="S98" i="23"/>
  <c r="S97" i="23"/>
  <c r="S62" i="23"/>
  <c r="S91" i="23"/>
  <c r="S95" i="23"/>
  <c r="S72" i="23"/>
  <c r="S81" i="23"/>
  <c r="S73" i="23"/>
  <c r="S93" i="23"/>
  <c r="S69" i="23"/>
  <c r="S70" i="23"/>
  <c r="S92" i="23"/>
  <c r="S84" i="23"/>
  <c r="S60" i="23"/>
  <c r="S85" i="23"/>
  <c r="S76" i="23"/>
  <c r="S61" i="23"/>
  <c r="S79" i="23"/>
  <c r="S66" i="23"/>
  <c r="S96" i="23"/>
  <c r="S74" i="23"/>
  <c r="S65" i="23"/>
  <c r="S77" i="23"/>
  <c r="S80" i="23"/>
  <c r="S82" i="23"/>
  <c r="S78" i="23"/>
  <c r="S63" i="23"/>
  <c r="R8" i="23"/>
  <c r="Y13" i="23" s="1"/>
  <c r="M8" i="23"/>
  <c r="S8" i="23" l="1"/>
  <c r="Q8" i="23"/>
  <c r="X13" i="23" s="1"/>
  <c r="E9" i="97"/>
</calcChain>
</file>

<file path=xl/sharedStrings.xml><?xml version="1.0" encoding="utf-8"?>
<sst xmlns="http://schemas.openxmlformats.org/spreadsheetml/2006/main" count="9902" uniqueCount="2275">
  <si>
    <t>مجموع</t>
  </si>
  <si>
    <t>شماره</t>
  </si>
  <si>
    <t>دخترانه</t>
  </si>
  <si>
    <t>1-2</t>
  </si>
  <si>
    <t>دختر</t>
  </si>
  <si>
    <t>2-2</t>
  </si>
  <si>
    <t>پسر</t>
  </si>
  <si>
    <t>ذکور</t>
  </si>
  <si>
    <t>اناث</t>
  </si>
  <si>
    <t xml:space="preserve">مجموع </t>
  </si>
  <si>
    <t xml:space="preserve">اناث  </t>
  </si>
  <si>
    <t>شاخص</t>
  </si>
  <si>
    <t>زن</t>
  </si>
  <si>
    <t>مرد</t>
  </si>
  <si>
    <t>هر دو جنس</t>
  </si>
  <si>
    <t>ځاځی میدان</t>
  </si>
  <si>
    <t>ْْ</t>
  </si>
  <si>
    <t>ولایت</t>
  </si>
  <si>
    <t>کابل</t>
  </si>
  <si>
    <t>لوگر</t>
  </si>
  <si>
    <t>بغلان</t>
  </si>
  <si>
    <t>بامیان</t>
  </si>
  <si>
    <t>غور</t>
  </si>
  <si>
    <t>دایکندی</t>
  </si>
  <si>
    <t>بادغیس</t>
  </si>
  <si>
    <t>هرات</t>
  </si>
  <si>
    <t>کاپیسا</t>
  </si>
  <si>
    <t>پروان</t>
  </si>
  <si>
    <t>ننگرهار</t>
  </si>
  <si>
    <t>لغمان</t>
  </si>
  <si>
    <t>پنجشیر</t>
  </si>
  <si>
    <t>غزنی</t>
  </si>
  <si>
    <t>پکتیکا</t>
  </si>
  <si>
    <t>پکتیا</t>
  </si>
  <si>
    <t>خوست</t>
  </si>
  <si>
    <t>نورستان</t>
  </si>
  <si>
    <t>بدخشان</t>
  </si>
  <si>
    <t>تخار</t>
  </si>
  <si>
    <t>کندز</t>
  </si>
  <si>
    <t>سمنگان</t>
  </si>
  <si>
    <t>بلخ</t>
  </si>
  <si>
    <t>سرپل</t>
  </si>
  <si>
    <t>ارزگان</t>
  </si>
  <si>
    <t>...</t>
  </si>
  <si>
    <t>زابل</t>
  </si>
  <si>
    <t>کندهار</t>
  </si>
  <si>
    <t>جوزجان</t>
  </si>
  <si>
    <t>فاریاب</t>
  </si>
  <si>
    <t>هلمند</t>
  </si>
  <si>
    <t>فراه</t>
  </si>
  <si>
    <t>نیمروز</t>
  </si>
  <si>
    <t>پوهنتون / موسسه</t>
  </si>
  <si>
    <t>هردو جنس</t>
  </si>
  <si>
    <t>پوهنځی</t>
  </si>
  <si>
    <t>-</t>
  </si>
  <si>
    <t xml:space="preserve">پوهنځی </t>
  </si>
  <si>
    <t>…</t>
  </si>
  <si>
    <t xml:space="preserve"> </t>
  </si>
  <si>
    <t xml:space="preserve">کابل </t>
  </si>
  <si>
    <t xml:space="preserve">فراه </t>
  </si>
  <si>
    <t xml:space="preserve"> فیصدی دختران</t>
  </si>
  <si>
    <t xml:space="preserve">هر دو جنس </t>
  </si>
  <si>
    <t>ولا یت</t>
  </si>
  <si>
    <t xml:space="preserve">ولایت </t>
  </si>
  <si>
    <t xml:space="preserve">نسبت </t>
  </si>
  <si>
    <t>مختلط</t>
  </si>
  <si>
    <t>پسرانه</t>
  </si>
  <si>
    <t xml:space="preserve">پروان   </t>
  </si>
  <si>
    <t xml:space="preserve">لوگر   </t>
  </si>
  <si>
    <t>Nooristan</t>
  </si>
  <si>
    <t>Total</t>
  </si>
  <si>
    <t xml:space="preserve">Primary  </t>
  </si>
  <si>
    <t xml:space="preserve"> موسسه</t>
  </si>
  <si>
    <t>معلم</t>
  </si>
  <si>
    <t>شاگرد</t>
  </si>
  <si>
    <t>مکتب</t>
  </si>
  <si>
    <t>منبع: وزارت معا رف</t>
  </si>
  <si>
    <t>فارغ التحصیل</t>
  </si>
  <si>
    <t xml:space="preserve"> استاد</t>
  </si>
  <si>
    <t>محصل</t>
  </si>
  <si>
    <t xml:space="preserve">شاخص </t>
  </si>
  <si>
    <t xml:space="preserve">تعداد لیلیه </t>
  </si>
  <si>
    <t>فیصدی زن</t>
  </si>
  <si>
    <t>جدول 4-13: تعداد مدارس، شاگردان، جدیدالشمولان، فارغان، معلمان و کارمندان تعلیمات دینی به تفکیک سال (باب / نفر)</t>
  </si>
  <si>
    <t>1400</t>
  </si>
  <si>
    <t>نسوان</t>
  </si>
  <si>
    <t>جدول 4-11: تعداد مکاتب، شاگردان و معلمان تعلیمات عمومی خصوصی به تفکیک  نوع مکتب، ولایت و سال (باب / نفر)</t>
  </si>
  <si>
    <t>1-1</t>
  </si>
  <si>
    <t>2-1</t>
  </si>
  <si>
    <t>2</t>
  </si>
  <si>
    <t>Indicator</t>
  </si>
  <si>
    <t>Primary</t>
  </si>
  <si>
    <t>Lower secondary</t>
  </si>
  <si>
    <t>Upper secondary</t>
  </si>
  <si>
    <t>Private schools</t>
  </si>
  <si>
    <t>Private education teachers</t>
  </si>
  <si>
    <t>Private islamic education students</t>
  </si>
  <si>
    <t xml:space="preserve">Province </t>
  </si>
  <si>
    <t>Girl</t>
  </si>
  <si>
    <t>Boy</t>
  </si>
  <si>
    <t>Both Sex</t>
  </si>
  <si>
    <t>Kabul</t>
  </si>
  <si>
    <t>Kapisa</t>
  </si>
  <si>
    <t>Parwan</t>
  </si>
  <si>
    <t>Logar</t>
  </si>
  <si>
    <t xml:space="preserve">Nangarhar </t>
  </si>
  <si>
    <t xml:space="preserve">Laghman </t>
  </si>
  <si>
    <t>Panjsher</t>
  </si>
  <si>
    <t xml:space="preserve">Baghlan </t>
  </si>
  <si>
    <t>Bamyan</t>
  </si>
  <si>
    <t>Ghazni</t>
  </si>
  <si>
    <t>Paktika</t>
  </si>
  <si>
    <t>Paktya</t>
  </si>
  <si>
    <t>Khost</t>
  </si>
  <si>
    <t xml:space="preserve">Nooristan </t>
  </si>
  <si>
    <t xml:space="preserve">Badakhshan </t>
  </si>
  <si>
    <t xml:space="preserve">Takhar </t>
  </si>
  <si>
    <t xml:space="preserve">Kunduz </t>
  </si>
  <si>
    <t xml:space="preserve">Samangan </t>
  </si>
  <si>
    <t xml:space="preserve">Balkh </t>
  </si>
  <si>
    <t xml:space="preserve">Sar-e-pul </t>
  </si>
  <si>
    <t>Ghor</t>
  </si>
  <si>
    <t>Daykundi</t>
  </si>
  <si>
    <t>Urozgan</t>
  </si>
  <si>
    <t xml:space="preserve">Zabul </t>
  </si>
  <si>
    <t xml:space="preserve">Kandahar </t>
  </si>
  <si>
    <t xml:space="preserve">Jawzjan </t>
  </si>
  <si>
    <t xml:space="preserve">Faryab </t>
  </si>
  <si>
    <t xml:space="preserve">Helmand </t>
  </si>
  <si>
    <t>Badghis</t>
  </si>
  <si>
    <t>Herat</t>
  </si>
  <si>
    <t>Farah</t>
  </si>
  <si>
    <t xml:space="preserve">Nimroz </t>
  </si>
  <si>
    <t>Female</t>
  </si>
  <si>
    <t>Male</t>
  </si>
  <si>
    <t xml:space="preserve">Kabul </t>
  </si>
  <si>
    <t xml:space="preserve">Source: Ministry of Education              </t>
  </si>
  <si>
    <t>Student</t>
  </si>
  <si>
    <t>Teacher</t>
  </si>
  <si>
    <t>Province</t>
  </si>
  <si>
    <t>Mixed</t>
  </si>
  <si>
    <t>Girl's</t>
  </si>
  <si>
    <t>Boy's</t>
  </si>
  <si>
    <t>Nangarhar</t>
  </si>
  <si>
    <t>Laghman</t>
  </si>
  <si>
    <t>Baghlan</t>
  </si>
  <si>
    <t xml:space="preserve">Bamyan  </t>
  </si>
  <si>
    <t>Badakhshan</t>
  </si>
  <si>
    <t>Takhar</t>
  </si>
  <si>
    <t>Kunduz</t>
  </si>
  <si>
    <t>Samangan</t>
  </si>
  <si>
    <t>Balkh</t>
  </si>
  <si>
    <t>Sar-e-Pul</t>
  </si>
  <si>
    <t>Zabul</t>
  </si>
  <si>
    <t>Kandahar</t>
  </si>
  <si>
    <t>Jawzjan</t>
  </si>
  <si>
    <t>Faryab</t>
  </si>
  <si>
    <t>Helmand</t>
  </si>
  <si>
    <t>Nimroz</t>
  </si>
  <si>
    <t>Source: Ministry of education</t>
  </si>
  <si>
    <t>Source: Ministry of Education</t>
  </si>
  <si>
    <t>Table 4-7: Number of Government Lower Secondary Schools by type of School, Province and Year ( Unit)</t>
  </si>
  <si>
    <t xml:space="preserve"> Female</t>
  </si>
  <si>
    <t xml:space="preserve"> Male</t>
  </si>
  <si>
    <t xml:space="preserve">Herat </t>
  </si>
  <si>
    <t>School</t>
  </si>
  <si>
    <t xml:space="preserve">Kapisa </t>
  </si>
  <si>
    <t>Sar- e- pul</t>
  </si>
  <si>
    <t>Teaher</t>
  </si>
  <si>
    <t>Table 4-12: Number of Students, Graduates and Teachers in Government In-Service Training Institutions by Sex and Year (Person )</t>
  </si>
  <si>
    <t>Institution</t>
  </si>
  <si>
    <t>Graduate</t>
  </si>
  <si>
    <t>Sayd Jamal-u-Din teacher training</t>
  </si>
  <si>
    <t>Qara Bagh teacher training</t>
  </si>
  <si>
    <t>Kapisa teacher training</t>
  </si>
  <si>
    <t>Parwan teacher training</t>
  </si>
  <si>
    <t>Ghorband teacher training</t>
  </si>
  <si>
    <t>Bagram teacher training</t>
  </si>
  <si>
    <t>Wardak teacher training</t>
  </si>
  <si>
    <t>Logar teacher training</t>
  </si>
  <si>
    <t>Nangarhar teacher training</t>
  </si>
  <si>
    <t>Nangarhar Nazyan teacher training</t>
  </si>
  <si>
    <t>Nangarhar Ghani Khil teacher training</t>
  </si>
  <si>
    <t>Laghman teacher training</t>
  </si>
  <si>
    <t>Laghman Qarghaye teacher training</t>
  </si>
  <si>
    <t>Panjshir teacher training</t>
  </si>
  <si>
    <t>Baghlan teacher training</t>
  </si>
  <si>
    <t>Bamyan teacher training</t>
  </si>
  <si>
    <t>Ghazni teacher training</t>
  </si>
  <si>
    <t>Jaghory Ghazni teacher training</t>
  </si>
  <si>
    <t>Paktika teacher training</t>
  </si>
  <si>
    <t>Paktia teacher training</t>
  </si>
  <si>
    <t>Khost teacher training</t>
  </si>
  <si>
    <t>Kunarha teacher training</t>
  </si>
  <si>
    <t>Kunar Khas teacher training</t>
  </si>
  <si>
    <t>Nooristan teacher training</t>
  </si>
  <si>
    <t>Badakhshan teacher training</t>
  </si>
  <si>
    <t xml:space="preserve">Table 4-12:... </t>
  </si>
  <si>
    <t>Sheghnan Badakhshan teacher training</t>
  </si>
  <si>
    <t>Darwaz Badakhshan teacher training</t>
  </si>
  <si>
    <t>Takhar teacher training</t>
  </si>
  <si>
    <t>Kunduz teacher training</t>
  </si>
  <si>
    <t>Samangan teacher training</t>
  </si>
  <si>
    <t>Balkh teacher training</t>
  </si>
  <si>
    <t>Sar-e -Pul teacher training</t>
  </si>
  <si>
    <t>Ghor teacher training</t>
  </si>
  <si>
    <t>Daykundi teacher training</t>
  </si>
  <si>
    <t>Urozgan teacher training</t>
  </si>
  <si>
    <t>Zabul teacher training</t>
  </si>
  <si>
    <t>Kandahar teacher training</t>
  </si>
  <si>
    <t>Jawzjan teacher training</t>
  </si>
  <si>
    <t>Faryab teacher training</t>
  </si>
  <si>
    <t>Andkhoy Faryab teacher training</t>
  </si>
  <si>
    <t>Helmand teacher training</t>
  </si>
  <si>
    <t>Badghis teacher training</t>
  </si>
  <si>
    <t>Herat teacher training</t>
  </si>
  <si>
    <t>Shindand Herat teacher training</t>
  </si>
  <si>
    <t>Farah teacher training</t>
  </si>
  <si>
    <t>Nimroz teacher training</t>
  </si>
  <si>
    <t>Kabul in service training</t>
  </si>
  <si>
    <t>Kapisa in service training</t>
  </si>
  <si>
    <t>Parwan in service training</t>
  </si>
  <si>
    <t>Wardak in service training</t>
  </si>
  <si>
    <t>Logar in service training</t>
  </si>
  <si>
    <t>Nangarhar in service training</t>
  </si>
  <si>
    <t>Laghman in service training</t>
  </si>
  <si>
    <t>Panjshir in service training</t>
  </si>
  <si>
    <t>Baghlan in service training</t>
  </si>
  <si>
    <t>Bamyan in service training</t>
  </si>
  <si>
    <t xml:space="preserve"> Ghazni in service training</t>
  </si>
  <si>
    <t>Paktika in service training</t>
  </si>
  <si>
    <t>Paktia in service training</t>
  </si>
  <si>
    <t>Khost in service training</t>
  </si>
  <si>
    <t>Kunarha in service training</t>
  </si>
  <si>
    <t>Nooristan in service training</t>
  </si>
  <si>
    <t>Badakhshan in service training</t>
  </si>
  <si>
    <t>Takhar in service training</t>
  </si>
  <si>
    <t>Kunduz in service training</t>
  </si>
  <si>
    <t>Samangan in service training</t>
  </si>
  <si>
    <t>Balkh in service training</t>
  </si>
  <si>
    <t>Sar-e -Pul in service training</t>
  </si>
  <si>
    <t>Ghor in service training</t>
  </si>
  <si>
    <t>Daykundi in service training</t>
  </si>
  <si>
    <t>Jawzjan in service training</t>
  </si>
  <si>
    <t>Faryab in service training</t>
  </si>
  <si>
    <t>Helmand in service training</t>
  </si>
  <si>
    <t>Badghis in service training</t>
  </si>
  <si>
    <t>Kandahar in service training</t>
  </si>
  <si>
    <t>Urozgan in service training</t>
  </si>
  <si>
    <t>Zabul in service training</t>
  </si>
  <si>
    <t>Herat in service training</t>
  </si>
  <si>
    <t>Farah in service training</t>
  </si>
  <si>
    <t>Nimroz in service training</t>
  </si>
  <si>
    <t xml:space="preserve">محصل </t>
  </si>
  <si>
    <t>نجلي</t>
  </si>
  <si>
    <t>هلک</t>
  </si>
  <si>
    <t>دواړه جنسونه</t>
  </si>
  <si>
    <t>Islamic schools</t>
  </si>
  <si>
    <t>Memorize of Quran</t>
  </si>
  <si>
    <t>Darul Uloom</t>
  </si>
  <si>
    <t>Islamic education schools students</t>
  </si>
  <si>
    <t>Memorize of Quran students</t>
  </si>
  <si>
    <t>Islamic education schools  new students</t>
  </si>
  <si>
    <t xml:space="preserve">Islamic education schools graduates  </t>
  </si>
  <si>
    <t>Memorize of Quran graduates</t>
  </si>
  <si>
    <t>Administrative personnel</t>
  </si>
  <si>
    <t>2021</t>
  </si>
  <si>
    <t>literacy courses</t>
  </si>
  <si>
    <t>Teachers</t>
  </si>
  <si>
    <t>2020</t>
  </si>
  <si>
    <t>2019</t>
  </si>
  <si>
    <t>Number of  professional and vocational high schools</t>
  </si>
  <si>
    <t xml:space="preserve">Number of Institutions </t>
  </si>
  <si>
    <t xml:space="preserve"> Private</t>
  </si>
  <si>
    <t>Total of Graduates</t>
  </si>
  <si>
    <t>Total of Teachers</t>
  </si>
  <si>
    <t xml:space="preserve"> محصل</t>
  </si>
  <si>
    <t xml:space="preserve"> Teacher</t>
  </si>
  <si>
    <t>ښځينه</t>
  </si>
  <si>
    <t>نارينه</t>
  </si>
  <si>
    <t xml:space="preserve"> Inmate</t>
  </si>
  <si>
    <t xml:space="preserve">No.of Dormitorie                 </t>
  </si>
  <si>
    <t xml:space="preserve"> Both Sex</t>
  </si>
  <si>
    <t>مرد/ نارينه Male</t>
  </si>
  <si>
    <t>زن/ ښځينه Female</t>
  </si>
  <si>
    <t xml:space="preserve">Source: Ministry of Education         </t>
  </si>
  <si>
    <t>Institute</t>
  </si>
  <si>
    <t xml:space="preserve">Total </t>
  </si>
  <si>
    <t>Civil aviation institute</t>
  </si>
  <si>
    <t>Professional trade institute</t>
  </si>
  <si>
    <t>Mechanic institute, Kabul</t>
  </si>
  <si>
    <t>Afghan technology institute</t>
  </si>
  <si>
    <t>Construction &amp; geodesy institute</t>
  </si>
  <si>
    <t xml:space="preserve">Management &amp; econominc institute, Kabul </t>
  </si>
  <si>
    <t>Computer technology  institute</t>
  </si>
  <si>
    <t>Sport institute</t>
  </si>
  <si>
    <t>Journalism institute</t>
  </si>
  <si>
    <t>Multi-field institute, Khak-e-Jabar</t>
  </si>
  <si>
    <t>Multi-field institute, Surubi</t>
  </si>
  <si>
    <t>Multi-field institute, Deh Sabz</t>
  </si>
  <si>
    <t>Multi-field institute, Qarabagh</t>
  </si>
  <si>
    <t>Multi-field institute, Kalakan</t>
  </si>
  <si>
    <t xml:space="preserve">Multi-field institute, Nijrab  </t>
  </si>
  <si>
    <t xml:space="preserve">Vocational agriculture institute,Tagab   </t>
  </si>
  <si>
    <t>Multi-field institute, Bagram</t>
  </si>
  <si>
    <t xml:space="preserve">Multi-field institute, Jaghatu     </t>
  </si>
  <si>
    <t>Multi-field institute, Jalrez</t>
  </si>
  <si>
    <t>Agriculture &amp; veterinary institute, Logar</t>
  </si>
  <si>
    <t>Multi-field institute ,Azra</t>
  </si>
  <si>
    <t>Technical vocational institute, Aska mina Nangarhar</t>
  </si>
  <si>
    <t xml:space="preserve">Multi-field Institute,Dushi </t>
  </si>
  <si>
    <t xml:space="preserve"> Agriculture &amp; veterinary institute, Baghlan jadid</t>
  </si>
  <si>
    <t xml:space="preserve">Mechanical institute,Pul-e- Khumri   </t>
  </si>
  <si>
    <t xml:space="preserve">Management &amp; accounting institute, Baghlan-e- Jadeed   </t>
  </si>
  <si>
    <t>Multi-field institute, Khinjan</t>
  </si>
  <si>
    <t>Multi-field institute, Nahreen</t>
  </si>
  <si>
    <t xml:space="preserve">Vocational agriculture institute, Panjab  </t>
  </si>
  <si>
    <t xml:space="preserve">Vocational agriculture institute,Yakawlang  </t>
  </si>
  <si>
    <t>Multi-field institute, Jaghuri</t>
  </si>
  <si>
    <t xml:space="preserve">Multi-field Institute, Sharan </t>
  </si>
  <si>
    <t>Management &amp; accounting institute, Sharan</t>
  </si>
  <si>
    <t xml:space="preserve">Women multi-field institute, Gardiz </t>
  </si>
  <si>
    <t>Multi-field institute, Samkani</t>
  </si>
  <si>
    <t>Vocational agriculture institute, Dara-e-pech</t>
  </si>
  <si>
    <t>Vocational agriculture  institute, kishm</t>
  </si>
  <si>
    <t>Agriculture &amp; veterinary institute, Baharak</t>
  </si>
  <si>
    <t xml:space="preserve">Management &amp; accounting institute, Baharak    </t>
  </si>
  <si>
    <t>Vocational agriculture institute, Darayim</t>
  </si>
  <si>
    <t>Vocational agriculture institute,Yawan</t>
  </si>
  <si>
    <t xml:space="preserve">Agriculture &amp; veterinary institute, Farkhar  </t>
  </si>
  <si>
    <t>Vocational agriculture institute, Rustaq</t>
  </si>
  <si>
    <t>Women multi-field institute, Chighcheran</t>
  </si>
  <si>
    <t>Multi-field institute ,Lal Sarjangal</t>
  </si>
  <si>
    <t>Agriculture &amp; veterinary institute, Khadir</t>
  </si>
  <si>
    <t>Agriculture vocational institute, Maiwand</t>
  </si>
  <si>
    <t>Vocational agriculture institute, Qala now</t>
  </si>
  <si>
    <t xml:space="preserve">Ustad Kamaludin Behzad institute    </t>
  </si>
  <si>
    <t xml:space="preserve">Multi-field institute, Karukh </t>
  </si>
  <si>
    <t xml:space="preserve"> شاملین</t>
  </si>
  <si>
    <t xml:space="preserve">  ړ</t>
  </si>
  <si>
    <t>نوت: ارقام سال های 1399 و 1400 تا زمان نشراین سالنامه در دسترس قرار نگرفته است.   يادښت: د دې احصاييوي کالنۍ د نشر تر وخته پورې  1399 او1400 کال ارقام د پوهنې وزارت  لخوا نه دي رسېدلي.</t>
  </si>
  <si>
    <t>Note: The data for 2020 &amp; 2021 have not been reported by the Ministry of Education untile the publishing of this yearbook.</t>
  </si>
  <si>
    <t xml:space="preserve"> جدول 4-3: تعداد معلمان مکاتب تعلیمات عمومی دولتی به تفکیک جنس، ولایت و سال  (نفر)</t>
  </si>
  <si>
    <t>1400    2021</t>
  </si>
  <si>
    <t xml:space="preserve">Kabul university  </t>
  </si>
  <si>
    <t>Kabul polytechnic university</t>
  </si>
  <si>
    <t xml:space="preserve">Education university  </t>
  </si>
  <si>
    <t>Kabul university of medical sceinces</t>
  </si>
  <si>
    <t>Al Beroni  university - Kapisa</t>
  </si>
  <si>
    <t>Parwan university</t>
  </si>
  <si>
    <t xml:space="preserve">Nangarhar university </t>
  </si>
  <si>
    <t>Laghman university</t>
  </si>
  <si>
    <t>Baghlan university</t>
  </si>
  <si>
    <t xml:space="preserve">Bamyan university </t>
  </si>
  <si>
    <t>Ghazni  university</t>
  </si>
  <si>
    <t xml:space="preserve">Ghazni technical engineering university </t>
  </si>
  <si>
    <t>Paktia  university</t>
  </si>
  <si>
    <t xml:space="preserve">Shaikh Zayed university - Khost    </t>
  </si>
  <si>
    <t xml:space="preserve">Sayed Jamaluddin afghani  university - Kunar </t>
  </si>
  <si>
    <t>Badakhshan university</t>
  </si>
  <si>
    <t>Takhar university</t>
  </si>
  <si>
    <t>Kunduz university</t>
  </si>
  <si>
    <t xml:space="preserve">Balkh  university </t>
  </si>
  <si>
    <t xml:space="preserve">Kandahar university   </t>
  </si>
  <si>
    <t xml:space="preserve">Afghanistan agriculture sciences national  university-Kandahar </t>
  </si>
  <si>
    <t>Jawzjan university</t>
  </si>
  <si>
    <t>Faryab university</t>
  </si>
  <si>
    <t xml:space="preserve">Herat university </t>
  </si>
  <si>
    <t>Total Students</t>
  </si>
  <si>
    <t>Logar higher education institution</t>
  </si>
  <si>
    <t>Panjshir higher education institution</t>
  </si>
  <si>
    <t>Paktika higher education institution</t>
  </si>
  <si>
    <t>Samangan higher education institution</t>
  </si>
  <si>
    <t>Sar- e pul higher education institution</t>
  </si>
  <si>
    <t>Ghor higher education institution</t>
  </si>
  <si>
    <t>Daykundi  higher education institution</t>
  </si>
  <si>
    <t>Urozgan higher education institution</t>
  </si>
  <si>
    <t>Zabul higher education institution</t>
  </si>
  <si>
    <t>Helmand higher education institution</t>
  </si>
  <si>
    <t>Badghis higher education institution</t>
  </si>
  <si>
    <t>Farah higher education institution</t>
  </si>
  <si>
    <t>Nooristan higher education institution</t>
  </si>
  <si>
    <t>Nimrooz higher education institution</t>
  </si>
  <si>
    <t>Faculty</t>
  </si>
  <si>
    <t xml:space="preserve">Faculty of law   </t>
  </si>
  <si>
    <t>Faculty of science</t>
  </si>
  <si>
    <t>Faculty of literature</t>
  </si>
  <si>
    <t>Faculty of engineering</t>
  </si>
  <si>
    <t xml:space="preserve">Faculty of psychology </t>
  </si>
  <si>
    <t xml:space="preserve">Faculty of agriculture </t>
  </si>
  <si>
    <t xml:space="preserve">Faculty of economics </t>
  </si>
  <si>
    <t>Faculty of  pharmacy</t>
  </si>
  <si>
    <t>Faculty of  veterinary</t>
  </si>
  <si>
    <t xml:space="preserve">Faculty of geology </t>
  </si>
  <si>
    <t xml:space="preserve">Faculty of arts  </t>
  </si>
  <si>
    <t xml:space="preserve">Faculty of journalism </t>
  </si>
  <si>
    <t>Faculty of social science</t>
  </si>
  <si>
    <t>Faculty of  theology</t>
  </si>
  <si>
    <t xml:space="preserve">Faculty of  education </t>
  </si>
  <si>
    <t>Faculty of construction</t>
  </si>
  <si>
    <t xml:space="preserve">Faculty of electromechanic </t>
  </si>
  <si>
    <t xml:space="preserve">Faculty of sports </t>
  </si>
  <si>
    <t xml:space="preserve">Medical faculties (provinces)    </t>
  </si>
  <si>
    <t xml:space="preserve">Faculty of public health    </t>
  </si>
  <si>
    <t>Faculty of  medical treatment (center)</t>
  </si>
  <si>
    <t>Faculty of stomatology</t>
  </si>
  <si>
    <t>Faculty of  nursing (center)</t>
  </si>
  <si>
    <t>Faculty of  health amendment (center)</t>
  </si>
  <si>
    <t xml:space="preserve">Faculty of geology &amp; mine </t>
  </si>
  <si>
    <t>Faculty of chemical technology</t>
  </si>
  <si>
    <t>Faculty of computer science</t>
  </si>
  <si>
    <t>Faculty of specialized education</t>
  </si>
  <si>
    <t>Faculty of communication &amp; information technology</t>
  </si>
  <si>
    <t xml:space="preserve">Faculty of menagement and policy </t>
  </si>
  <si>
    <t xml:space="preserve">Faculty of environment  </t>
  </si>
  <si>
    <t>Education university</t>
  </si>
  <si>
    <t xml:space="preserve">Al Beroni university-Kapisa </t>
  </si>
  <si>
    <t>Ghazni university</t>
  </si>
  <si>
    <t>Paktia university</t>
  </si>
  <si>
    <t xml:space="preserve">Medical  faculties ( provinces)    </t>
  </si>
  <si>
    <t xml:space="preserve">Faculty of public health   </t>
  </si>
  <si>
    <t xml:space="preserve">Faculty of stomatology           </t>
  </si>
  <si>
    <t>Faculty of  nursing (center )</t>
  </si>
  <si>
    <t>Faculty of  health amendment ( center )</t>
  </si>
  <si>
    <t xml:space="preserve">Al Beroni  university-Kapisa </t>
  </si>
  <si>
    <t>Parwan  university</t>
  </si>
  <si>
    <t>Laghman  university</t>
  </si>
  <si>
    <t>Baghlan  university</t>
  </si>
  <si>
    <t xml:space="preserve">Bamyan  university </t>
  </si>
  <si>
    <t>Ghazni technical university</t>
  </si>
  <si>
    <t>Logar  higher education institution</t>
  </si>
  <si>
    <t>Daykundi higher education institution</t>
  </si>
  <si>
    <t xml:space="preserve">Faculty of sport </t>
  </si>
  <si>
    <t xml:space="preserve">Faculty of stomatology   </t>
  </si>
  <si>
    <t xml:space="preserve">Faculty of menagement and palicy </t>
  </si>
  <si>
    <t xml:space="preserve">Al Beroni university-kapisa </t>
  </si>
  <si>
    <t xml:space="preserve">Balkh university </t>
  </si>
  <si>
    <t xml:space="preserve">Afghanistan agriculture sciences national university-Kandahar </t>
  </si>
  <si>
    <t>Samangan higher institution education</t>
  </si>
  <si>
    <t xml:space="preserve">Kabul university      </t>
  </si>
  <si>
    <t xml:space="preserve">Kabul polytechnic university   </t>
  </si>
  <si>
    <t>Al Beroni  university - kapisa</t>
  </si>
  <si>
    <t xml:space="preserve">Parwan university   </t>
  </si>
  <si>
    <t xml:space="preserve">Nangarhar university    </t>
  </si>
  <si>
    <t xml:space="preserve">Laghman university   </t>
  </si>
  <si>
    <t xml:space="preserve">Baghlan university   </t>
  </si>
  <si>
    <t xml:space="preserve">Bamyan university    </t>
  </si>
  <si>
    <t xml:space="preserve">Ghazni university   </t>
  </si>
  <si>
    <t xml:space="preserve">Ghazni technical engineering university    </t>
  </si>
  <si>
    <t xml:space="preserve">Paktia  university   </t>
  </si>
  <si>
    <t xml:space="preserve">Badakhshan university   </t>
  </si>
  <si>
    <t xml:space="preserve">Takhar university   </t>
  </si>
  <si>
    <t xml:space="preserve">Kunduz  university   </t>
  </si>
  <si>
    <t xml:space="preserve">Balkh university   </t>
  </si>
  <si>
    <t xml:space="preserve">Kandahar university    </t>
  </si>
  <si>
    <t xml:space="preserve">National university    of agriculture technology of afghanistan-Kandahar </t>
  </si>
  <si>
    <t xml:space="preserve">Jawzjan university   </t>
  </si>
  <si>
    <t xml:space="preserve">Faryab university   </t>
  </si>
  <si>
    <t xml:space="preserve">Herat university    </t>
  </si>
  <si>
    <t>Logar higher education</t>
  </si>
  <si>
    <t>Panjshir higher education</t>
  </si>
  <si>
    <t>Paktika higher education</t>
  </si>
  <si>
    <t>Samangan higher education</t>
  </si>
  <si>
    <t>Sar - e - pul  higher education</t>
  </si>
  <si>
    <t>Ghor higher education</t>
  </si>
  <si>
    <t>Daykundi  higher education</t>
  </si>
  <si>
    <t>Urozgan higher education</t>
  </si>
  <si>
    <t>Zabul  higher education</t>
  </si>
  <si>
    <t>Helmand higher education</t>
  </si>
  <si>
    <t>Badghis higher education</t>
  </si>
  <si>
    <t>Farah higher education</t>
  </si>
  <si>
    <t>Nooristan  higher education</t>
  </si>
  <si>
    <t>Nimrooz  higher education</t>
  </si>
  <si>
    <t>Darul Uloom Students</t>
  </si>
  <si>
    <t>Darul Uloom Graduates</t>
  </si>
  <si>
    <t>Islamic schools Teachers</t>
  </si>
  <si>
    <t>Darul Uloom Teachers</t>
  </si>
  <si>
    <t xml:space="preserve"> د 4- 3 جدول: د عمومي زده‌کړو په دولتي ښوونځيو کې د ښونکو شمېر د جنس، ولایت او کال په تو پیر(نفر) </t>
  </si>
  <si>
    <t xml:space="preserve">Institutions </t>
  </si>
  <si>
    <t>Students</t>
  </si>
  <si>
    <t>Graduates</t>
  </si>
  <si>
    <t>Table 4-3: Number of Teachers in Government General Education Schools by Province, Sex and Year (Person)</t>
  </si>
  <si>
    <t>New students enrolled</t>
  </si>
  <si>
    <t>Multi-field institute ,Mohmmad Agha</t>
  </si>
  <si>
    <t>Multi felied institute, Ishkashim</t>
  </si>
  <si>
    <t>Women multi-field institute, Taloqan</t>
  </si>
  <si>
    <t>Sajjadia Technical &amp; vocational institute</t>
  </si>
  <si>
    <t>Herat university</t>
  </si>
  <si>
    <t>Complete specialization institute</t>
  </si>
  <si>
    <t>دواړه جنسونه هر دو جنس</t>
  </si>
  <si>
    <t xml:space="preserve">  فارغ شوي   فارغ التحصیل    </t>
  </si>
  <si>
    <t xml:space="preserve">  شمېر / شماره </t>
  </si>
  <si>
    <t xml:space="preserve">دواړه جنسونه هر دو جنس   </t>
  </si>
  <si>
    <t xml:space="preserve">    ښځينه    زن      </t>
  </si>
  <si>
    <t xml:space="preserve">نارينه  مرد   </t>
  </si>
  <si>
    <t xml:space="preserve"> ټول / مجموع </t>
  </si>
  <si>
    <t>د سیدجمال الدین دښوونکي روزنه / تربیۀ معلم سیدجمال الدین</t>
  </si>
  <si>
    <t xml:space="preserve">د کابل د قره باغ دښوونکي روزنه/ تربیه معلم قره باغ کابل </t>
  </si>
  <si>
    <t xml:space="preserve"> د کاپیسا د ښوونکي روزنه / تربیۀ معلم کاپیسا</t>
  </si>
  <si>
    <t>د پروان د ښوونکي روزنه / تربیۀ معلم پروان</t>
  </si>
  <si>
    <t>دغوربند د ښوونکي روزنه / تربیه معلم غوربند</t>
  </si>
  <si>
    <t>د بګرام د ښوونکي روزنه / تربیه معلم بگرام</t>
  </si>
  <si>
    <t xml:space="preserve"> د وردګ د ښوونکي روزنه / تربیۀ معلم وردک</t>
  </si>
  <si>
    <t xml:space="preserve"> د لوګر د ښوونکي روزنه/ تربیۀ معلم لوگر</t>
  </si>
  <si>
    <t xml:space="preserve"> د ننګرهار د ښوونکي روزنه / تربیۀ معلم ننگرهار</t>
  </si>
  <si>
    <t xml:space="preserve"> د ننګرهارد نازیان د ښوونکي روزنه / تربیۀ معلم نازیان ننگرهار</t>
  </si>
  <si>
    <t xml:space="preserve">د ننګرهارد غني خیل  د ښوونکي روزنه / تربیۀ معلم غنی خیل ننگرهار </t>
  </si>
  <si>
    <t xml:space="preserve">د لغمان د ښوونکي روزنه / تربیۀ معلم لغمان </t>
  </si>
  <si>
    <t>د لغمان د قرغه یي د ښوونکي روزنه / تربیۀ معلم قرغه یی لغمان</t>
  </si>
  <si>
    <t>د پنجشېر د ښوونکي روزنه / تربیۀ معلم پنجشیر</t>
  </si>
  <si>
    <t>د بامیان د ښوونکي روزنه / تربیۀ معلم بامیان</t>
  </si>
  <si>
    <t xml:space="preserve"> د بغلان د ښوونکي روزنه / تربیۀ معلم بغلان </t>
  </si>
  <si>
    <t xml:space="preserve">د غزني د ښوونکي روزنه / تربیۀ معلم غزنی </t>
  </si>
  <si>
    <t>د غزني د جاغوري د ښوونکي روزنه / تربیۀ معلم جاغوری غزنی</t>
  </si>
  <si>
    <t>د پکتیکا د ښوونکي روزنه / تربیۀ معلم پکتیکا</t>
  </si>
  <si>
    <t xml:space="preserve">د پکتیا د ښوونکي روزنه / تربیۀ معلم پکتیا </t>
  </si>
  <si>
    <t xml:space="preserve"> د خوست د ښوونکي روزنه/ تربیۀ معلم خوست</t>
  </si>
  <si>
    <t xml:space="preserve">د کونړونو د ښوونکي روزنه / تربیۀ معلم کنرها </t>
  </si>
  <si>
    <t xml:space="preserve">د خاص کونړ د ښوونکي روزنه / تربیۀ معلم خاص کنر </t>
  </si>
  <si>
    <t xml:space="preserve"> د نورستان د ښوونکي روزنه / تربیۀ معلم نورستان</t>
  </si>
  <si>
    <t xml:space="preserve"> د بدخشان د ښوونکي روزنه/ تربیۀ معلم بدخشان</t>
  </si>
  <si>
    <t xml:space="preserve"> د بدخشان د شغنان د ښوونکي روزنه / تربیۀ معلم شغنان بدخشان </t>
  </si>
  <si>
    <t xml:space="preserve">د بدخشان د درواز د ښوونکي روزنه / تربیۀ معلم درواز بدخشان </t>
  </si>
  <si>
    <t xml:space="preserve"> د تخار د ښوونکي روزنه / تربیۀ معلم تخار</t>
  </si>
  <si>
    <t>د کندوز د ښوونکي روزنه / تربیۀ معلم کندز</t>
  </si>
  <si>
    <t xml:space="preserve">د سمنګان د ښوونکي روزنه / تربیۀ معلم سمنگان </t>
  </si>
  <si>
    <t xml:space="preserve"> د سرپل د ښوونکي روزنه / تربیۀ معلم سرپل</t>
  </si>
  <si>
    <t>د غور دښوونکي روزنه  / تربیۀ معلم غور</t>
  </si>
  <si>
    <t>د ډایکنډي د ښوونکي روزنه / تربیۀ معلم دایکندی</t>
  </si>
  <si>
    <t xml:space="preserve">د ارزګان د ښوونکي روزنه / تربیۀ معلم ارزگان </t>
  </si>
  <si>
    <t xml:space="preserve"> د زابل د ښوونکي روزنه / تربیۀ معلم زابل</t>
  </si>
  <si>
    <t xml:space="preserve"> د کندهار د ښوونکي روزنه / تربیۀ معلم کندهار </t>
  </si>
  <si>
    <t>د جوزجان د ښوونکي روزنه / تربیۀ معلم جوزجان</t>
  </si>
  <si>
    <t>د فاریاب د ښوونکي روزنه / تربیۀ معلم فاریاب</t>
  </si>
  <si>
    <t xml:space="preserve">فارغ شوي   فارغ التحصیل     </t>
  </si>
  <si>
    <t>د فاریاب د اندخوی د ښوونکي روزنه / تربیۀ معلم اندخوي  فارياب</t>
  </si>
  <si>
    <t xml:space="preserve"> د هلمند د ښوونکي روزنه / تربیۀ معلم هلمند</t>
  </si>
  <si>
    <t>د بادغیس د ښوونکي روزنه / تربیۀ معلم بادغیس</t>
  </si>
  <si>
    <t xml:space="preserve"> د هرات دښوونکي روزنه / تربیۀ معلم هرات</t>
  </si>
  <si>
    <t xml:space="preserve"> د هرات د شیندند د ښوونکي روزنه / تربیۀ معلم شیندندهرات</t>
  </si>
  <si>
    <t xml:space="preserve"> د فراه د ښوونکي روزنه / تربیۀ معلم فراه </t>
  </si>
  <si>
    <t>د نيمروز د ښوونکي روزنه / تربیۀ معلم نیمروز</t>
  </si>
  <si>
    <t>د کابل د خدمت دنني دوري دښوونکي روزنه / حوزۀ های داخل خدمت کابل</t>
  </si>
  <si>
    <t xml:space="preserve"> د کاپیسا د خدمت دنني دوري دښوونکي روزنه / حوزۀ های داخل خدمت کاپیسا</t>
  </si>
  <si>
    <t xml:space="preserve"> د پروان د خدمت دنني دوري دښوونکي روزنه / حوزۀ های داخل خدمت پروان </t>
  </si>
  <si>
    <t xml:space="preserve">د وردګ د خدمت دنني دوري دښوونکي روزنه / حوزۀ های داخل خدمت وردک  </t>
  </si>
  <si>
    <t>د لوګر د خدمت دنني دوري دښوونکي روزنه / حوزۀ های داخل خدمت لوگر</t>
  </si>
  <si>
    <t>د لغمان  د خدمت دنني دوري دښوونکي روزنه / حوزۀ های داخل خدمت لغمان</t>
  </si>
  <si>
    <t xml:space="preserve">د پنجشېر د خدمت دنني دوري دښوونکي روزنه / حوزۀ های داخل خدمت پنجشیر </t>
  </si>
  <si>
    <t xml:space="preserve">د ننګرهارد خدمت دنني دوري دښوونکي روزنه / حوزۀ های داخل خدمت ننگرهار </t>
  </si>
  <si>
    <t xml:space="preserve">د بغلان د خدمت دنني دوري دښوونکي روزنه / حوزۀ های داخل خدمت بغلان </t>
  </si>
  <si>
    <t xml:space="preserve">د بامیان د خدمت دنني دوري دښوونکي روزنه / حوزۀ های داخل خدمت بامیان </t>
  </si>
  <si>
    <t>د غزني د خدمت دنني دوري دښوونکي روزنه / حوزۀ های داخل خدمت غزنی</t>
  </si>
  <si>
    <t xml:space="preserve"> د پکتیکا  د خدمت دنني دوري دښوونکي روزنه / حوزۀ های داخل خدمت پکتیکا</t>
  </si>
  <si>
    <t xml:space="preserve"> د پکتیا  د خدمت دنني دوري دښوونکي روزنه / حوزۀ های داخل خدمت پکتیا  </t>
  </si>
  <si>
    <t>د خوست د خدمت دنني دوري دښوونکي روزنه / حوزۀ های داخل خدمت خوست</t>
  </si>
  <si>
    <t xml:space="preserve"> د کونړ د خدمت دنني دوري دښوونکي روزنه / حوزۀ های داخل خدمت کنرها </t>
  </si>
  <si>
    <t>د نورستان د خدمت دنني دوري دښوونکي روزنه / حوزۀ های داخل خدمت نورستان</t>
  </si>
  <si>
    <t>د بدخشان د خدمت دنني دوري دښوونکي روزنه / حوزۀ های داخل خدمت بدخشان</t>
  </si>
  <si>
    <t>د تخار د خدمت دنني دوري دښوونکي روزنه / حوزۀ های داخل خدمت تخار</t>
  </si>
  <si>
    <t>د کندوز د خدمت دنني دوري دښوونکي روزنه / حوزۀ های داخل خدمت کندز</t>
  </si>
  <si>
    <t xml:space="preserve">د سمنګان  د خدمت دنني دوري دښوونکي روزنه / حوزۀ های داخل خدمت سمنگان </t>
  </si>
  <si>
    <t xml:space="preserve"> د بلخ  د خدمت دنني دوري دښوونکي روزنه/ حوزۀ های داخل خدمت بلخ </t>
  </si>
  <si>
    <t>د سرپل د خدمت دنني دوري دښوونکي روزنه / حوزۀ های داخل خدمت سرپل</t>
  </si>
  <si>
    <t xml:space="preserve">د غور  د خدمت دنني دوري دښوونکي روزنه / حوزۀ های داخل خدمت غور  </t>
  </si>
  <si>
    <t>د ډایکنډی  د خدمت دنني دوري دښوونکي روزنه / حوزۀ های داخل خدمت دایکندی</t>
  </si>
  <si>
    <t>د جوزجان  د خدمت دنني دوري دښوونکي روزنه / حوزۀ های داخل خدمت جوزجان</t>
  </si>
  <si>
    <t xml:space="preserve">   فارغ شوي    فارغ التحصیل  </t>
  </si>
  <si>
    <t xml:space="preserve">شمېر / شماره </t>
  </si>
  <si>
    <t xml:space="preserve">د 4-12 جدول دوام:…     ادامه جدول 4-12: …      </t>
  </si>
  <si>
    <t xml:space="preserve">د 4-12 جدول دوام:…     ادامه جدول 4-12: …  </t>
  </si>
  <si>
    <t>د هلمند  د خدمت دنني دوري دښوونکي روزنه / حوزۀ های داخل خدمت هلمند</t>
  </si>
  <si>
    <t xml:space="preserve"> د بادغیس  د خدمت دنني دوري دښوونکي روزنه / حوزۀ های داخل خدمت بادغیس</t>
  </si>
  <si>
    <t>د کندهار  د خدمت دنني دوري دښوونکي روزنه / حوزۀ های داخل خدمت کندهار</t>
  </si>
  <si>
    <t>د ارزګان  د خدمت دنني دوري دښوونکي روزنه / حوزۀ های داخل خدمت ارزگان</t>
  </si>
  <si>
    <t>د زابل  د خدمت دنني دوري دښوونکي روزنه / حوزۀ های داخل خدمت زابل</t>
  </si>
  <si>
    <t>د هرات  د خدمت دنني دوري دښوونکي روزنه / حوزۀ های داخل خدمت هرات</t>
  </si>
  <si>
    <t xml:space="preserve">د فراه د خدمت دنني دوري دښوونکي روزنه / حوزۀ های داخل خدمت  فراه </t>
  </si>
  <si>
    <t>د نيمروز د خدمت دنني دوري دښوونکي روزنه / حوزۀ های داخل خدمت  نیمروز</t>
  </si>
  <si>
    <t xml:space="preserve">سرچینه: د پوهنې وزارت      منبع : وزارت معارف    </t>
  </si>
  <si>
    <t>د فاریاب  د خدمت دنني دوري دښوونکي روزنه / حوزۀ های داخل خدمت فاریاب</t>
  </si>
  <si>
    <t>نارينه مرد</t>
  </si>
  <si>
    <t xml:space="preserve">          نوي شامل شوي        جدیدالشمول</t>
  </si>
  <si>
    <t xml:space="preserve">   ښځينه  زن   </t>
  </si>
  <si>
    <t xml:space="preserve">Male نارینه / ذکور  </t>
  </si>
  <si>
    <t xml:space="preserve">   ښځينه / اناث Female     </t>
  </si>
  <si>
    <t xml:space="preserve">Education university   </t>
  </si>
  <si>
    <t>New Enrolled - Students</t>
  </si>
  <si>
    <t xml:space="preserve">    نارينه   مرد</t>
  </si>
  <si>
    <t xml:space="preserve">   نارينه   مرد</t>
  </si>
  <si>
    <t>Panjshir</t>
  </si>
  <si>
    <t>Enrolled Students  in grade one</t>
  </si>
  <si>
    <t>̶</t>
  </si>
  <si>
    <t xml:space="preserve">   </t>
  </si>
  <si>
    <t>Total of New Enrolled - Students</t>
  </si>
  <si>
    <t xml:space="preserve"> Total</t>
  </si>
  <si>
    <t>جدول 4-12:تعداد محصلان، فارغ التحصیلان و استادان موسسات دولتی تربیۀ معلم و حوزۀ های داخل خدمت  به تفکیک جنس (نفر)</t>
  </si>
  <si>
    <t>1-1-1</t>
  </si>
  <si>
    <t>1-1-2</t>
  </si>
  <si>
    <t>2-1-1</t>
  </si>
  <si>
    <t>1.1.1</t>
  </si>
  <si>
    <t>1.1.2</t>
  </si>
  <si>
    <t>1.1.3</t>
  </si>
  <si>
    <t>2-1-2</t>
  </si>
  <si>
    <t>1-3</t>
  </si>
  <si>
    <t>2.1.1</t>
  </si>
  <si>
    <t>2.1.2</t>
  </si>
  <si>
    <t>2.1.3</t>
  </si>
  <si>
    <t>3-1</t>
  </si>
  <si>
    <t>5</t>
  </si>
  <si>
    <t>7</t>
  </si>
  <si>
    <t>8</t>
  </si>
  <si>
    <t>1-2-1</t>
  </si>
  <si>
    <t>2-2-1</t>
  </si>
  <si>
    <t>1.2.1</t>
  </si>
  <si>
    <t>1.2.2</t>
  </si>
  <si>
    <t>1.2.3</t>
  </si>
  <si>
    <t>2-3</t>
  </si>
  <si>
    <t>3-3</t>
  </si>
  <si>
    <t>9</t>
  </si>
  <si>
    <t>3-2</t>
  </si>
  <si>
    <t>No</t>
  </si>
  <si>
    <t>2.1</t>
  </si>
  <si>
    <t>3.1</t>
  </si>
  <si>
    <t>1.2</t>
  </si>
  <si>
    <t>1.3</t>
  </si>
  <si>
    <t>2.2</t>
  </si>
  <si>
    <t>2.3</t>
  </si>
  <si>
    <t>3.2</t>
  </si>
  <si>
    <t>3.3</t>
  </si>
  <si>
    <t>4.1</t>
  </si>
  <si>
    <t>4.2</t>
  </si>
  <si>
    <t>4.3</t>
  </si>
  <si>
    <t>5.1</t>
  </si>
  <si>
    <t>5.2</t>
  </si>
  <si>
    <t>5.3</t>
  </si>
  <si>
    <t xml:space="preserve">د 4-12 جدول: د ښوونکي روزني دولتی مؤسسي او د خدمت  دنني حوزې زده کوونکي، فارغ شوي او استادان شمېر د جنس په توپیر (نفر) </t>
  </si>
  <si>
    <t xml:space="preserve"> د بلخ د ښوونکي روزنه/ تربیۀ معلم بلخ</t>
  </si>
  <si>
    <t xml:space="preserve">Male نارینه / مرد  </t>
  </si>
  <si>
    <t xml:space="preserve">ښځينه / زن Femal     </t>
  </si>
  <si>
    <t xml:space="preserve">ارقام سال 1400 </t>
  </si>
  <si>
    <t xml:space="preserve">شاگردان تعلیمات اسلامی ( دولتی وخصوصی) </t>
  </si>
  <si>
    <t xml:space="preserve"> شاگردان تعلیمات عمومی (دولتی وخصوصی)</t>
  </si>
  <si>
    <t xml:space="preserve">تعداد مکاتب تعلیمات عمومی  دولتی وخصوصی </t>
  </si>
  <si>
    <t>ذکوز</t>
  </si>
  <si>
    <t>تعداد پوهنتون های دولتی وخصوصی</t>
  </si>
  <si>
    <t>محصلین تعلیمات پوهنتون های دولتی وخصوصی</t>
  </si>
  <si>
    <t>معلمین تعلیمات عمومی دولتی وخصوصی</t>
  </si>
  <si>
    <t>معلمین تعلیمات اسلامی دولتی وخصوصی</t>
  </si>
  <si>
    <t>استادان پوهنتون های دولتی وخصوصی</t>
  </si>
  <si>
    <t xml:space="preserve">تعداد پوهنون ها، محصلین واستادان تحصیلات عالی دولتی وخصوصی </t>
  </si>
  <si>
    <t>میدان وردک</t>
  </si>
  <si>
    <t>Maidan Wardak</t>
  </si>
  <si>
    <t>MaidanWardak higher education</t>
  </si>
  <si>
    <t>Maidan Wardak higher education institution</t>
  </si>
  <si>
    <t xml:space="preserve"> Graduate, 2021 Educational Year</t>
  </si>
  <si>
    <t xml:space="preserve"> Afghan  International university  </t>
  </si>
  <si>
    <t>Multi felied institute, Shoghnan</t>
  </si>
  <si>
    <t>Vocational agriculture  institute, Dasht -e- Qala</t>
  </si>
  <si>
    <t>Multi-field institute, Khost</t>
  </si>
  <si>
    <t xml:space="preserve">Technical &amp; vocational institute, Nili </t>
  </si>
  <si>
    <t>Niro pishgam technical vocational institute</t>
  </si>
  <si>
    <t>Noumber of vocational schools</t>
  </si>
  <si>
    <t>2-2-2</t>
  </si>
  <si>
    <t>1-2-2</t>
  </si>
  <si>
    <t>2.2.1</t>
  </si>
  <si>
    <t>2.2.2</t>
  </si>
  <si>
    <t>2.2.3</t>
  </si>
  <si>
    <t>Afghan students abroad (Iran , Pakistan, Tajikistan &amp; India)</t>
  </si>
  <si>
    <t>Vocational schools students</t>
  </si>
  <si>
    <t>Vocational schools teachers</t>
  </si>
  <si>
    <t xml:space="preserve">ټول‌/ مجموع </t>
  </si>
  <si>
    <t xml:space="preserve">مرد  </t>
  </si>
  <si>
    <t xml:space="preserve">زن </t>
  </si>
  <si>
    <t xml:space="preserve">ښځينه </t>
  </si>
  <si>
    <t xml:space="preserve">دواړه جنسونه  </t>
  </si>
  <si>
    <t xml:space="preserve">زده‌کوونکي         </t>
  </si>
  <si>
    <t xml:space="preserve"> ښوونکې     </t>
  </si>
  <si>
    <t xml:space="preserve">معلم  </t>
  </si>
  <si>
    <t xml:space="preserve">متعلم </t>
  </si>
  <si>
    <t>ټول‌/ مجموع</t>
  </si>
  <si>
    <t xml:space="preserve">پسرانه </t>
  </si>
  <si>
    <t xml:space="preserve">ټول       </t>
  </si>
  <si>
    <t xml:space="preserve">د هلکانو      </t>
  </si>
  <si>
    <t xml:space="preserve">د نجونو  </t>
  </si>
  <si>
    <t xml:space="preserve">ګډ      </t>
  </si>
  <si>
    <t xml:space="preserve">دواړه جنسونه     </t>
  </si>
  <si>
    <t xml:space="preserve">هلک               </t>
  </si>
  <si>
    <t xml:space="preserve">نجلي          </t>
  </si>
  <si>
    <t xml:space="preserve">ټول           </t>
  </si>
  <si>
    <t xml:space="preserve">د هلکانو       </t>
  </si>
  <si>
    <t xml:space="preserve">د نجونو       </t>
  </si>
  <si>
    <t xml:space="preserve">ګډ           </t>
  </si>
  <si>
    <t xml:space="preserve"> پسر </t>
  </si>
  <si>
    <t xml:space="preserve">نجلي            </t>
  </si>
  <si>
    <t xml:space="preserve">هلک           </t>
  </si>
  <si>
    <t xml:space="preserve">دواړه جنسونه       </t>
  </si>
  <si>
    <t xml:space="preserve">ټول              </t>
  </si>
  <si>
    <t xml:space="preserve">دختر </t>
  </si>
  <si>
    <t xml:space="preserve">نجلي           </t>
  </si>
  <si>
    <t xml:space="preserve">هلک            </t>
  </si>
  <si>
    <t xml:space="preserve">مکتب </t>
  </si>
  <si>
    <t>متعلم</t>
  </si>
  <si>
    <t xml:space="preserve">ښوونځي </t>
  </si>
  <si>
    <t xml:space="preserve">ښوونکي        </t>
  </si>
  <si>
    <t>نوع مکتب</t>
  </si>
  <si>
    <t>د ښوونځي ډول</t>
  </si>
  <si>
    <t xml:space="preserve"> ټول‌/ مجموع </t>
  </si>
  <si>
    <t xml:space="preserve">ښځينه‌/ زن </t>
  </si>
  <si>
    <t xml:space="preserve"> انسټیټوټ‌/‌انستیتوت </t>
  </si>
  <si>
    <t xml:space="preserve">سرچینه: د تخنیکي او مسلکي زده‌کړو اداره او د ملکي هوايي چلند اداره‌/‌منبع: اداره تعلیمات تخنیکی و مسلکی و هوانوردی ملکی </t>
  </si>
  <si>
    <t>Deaf Institute</t>
  </si>
  <si>
    <t>Multi-field institute, Nirkh</t>
  </si>
  <si>
    <t>Multi-field institute, Patab Helmand</t>
  </si>
  <si>
    <t xml:space="preserve">Vocational &amp;Agriculture institute, Dana-e-Ghoari  </t>
  </si>
  <si>
    <t xml:space="preserve">Multi felied institute,Yeftal </t>
  </si>
  <si>
    <t>Multi-field institute, Imam Saheb</t>
  </si>
  <si>
    <t>Agriculture  institute, Nawai Barakzai</t>
  </si>
  <si>
    <t>Afghan international university</t>
  </si>
  <si>
    <t>Nimruz higher education institution</t>
  </si>
  <si>
    <t>Note: The literacy courses supervisor data for  2022 have not been reported  until the publishing of this yearbook.</t>
  </si>
  <si>
    <t xml:space="preserve"> يادښت: د دې احصاييوي کالنۍ د نشر تر وخته پورې د سـواد د زده‌کړو دکورسونو سوپروایزانو د 1401 کال ارقام نه دي رسېدلي/ یاداشت: ارقام  سوپرویزان کورسهای سواد آموزی سال 1401 تا زمان نشراین سالنامه در دسترس قرار نگرفته است.  </t>
  </si>
  <si>
    <t>Muslim english literature vocational institute</t>
  </si>
  <si>
    <t>Hamkam vocational education institute</t>
  </si>
  <si>
    <t>Danish Afghanistan institute</t>
  </si>
  <si>
    <t>2022-23</t>
  </si>
  <si>
    <t>2021-22</t>
  </si>
  <si>
    <t xml:space="preserve">شمېره/ شماره  </t>
  </si>
  <si>
    <t xml:space="preserve">شمېره/ شماره   </t>
  </si>
  <si>
    <t>کونړ/ کنر</t>
  </si>
  <si>
    <t xml:space="preserve">کاپیسا </t>
  </si>
  <si>
    <t xml:space="preserve"> Ratio</t>
  </si>
  <si>
    <t xml:space="preserve">           نجلي             دختر </t>
  </si>
  <si>
    <t>3-1-1</t>
  </si>
  <si>
    <t>3-2-1</t>
  </si>
  <si>
    <t>3-1-2</t>
  </si>
  <si>
    <t>3-2-2</t>
  </si>
  <si>
    <t>1-5</t>
  </si>
  <si>
    <t>2-5</t>
  </si>
  <si>
    <t>1-4</t>
  </si>
  <si>
    <t>2-4</t>
  </si>
  <si>
    <t>3-4</t>
  </si>
  <si>
    <t>3-5</t>
  </si>
  <si>
    <t xml:space="preserve">          نویو شامل شوي        جدیدالشمول</t>
  </si>
  <si>
    <r>
      <t xml:space="preserve"> د </t>
    </r>
    <r>
      <rPr>
        <b/>
        <sz val="10"/>
        <rFont val="B Nazanin"/>
        <charset val="178"/>
      </rPr>
      <t>1400</t>
    </r>
    <r>
      <rPr>
        <b/>
        <sz val="10"/>
        <rFont val="Times New Roman"/>
        <family val="1"/>
      </rPr>
      <t xml:space="preserve"> تحصیلی کال فارغ شویو  فارغ التحصیل سال تحصیلی </t>
    </r>
    <r>
      <rPr>
        <b/>
        <sz val="10"/>
        <rFont val="B Nazanin"/>
        <charset val="178"/>
      </rPr>
      <t>1400</t>
    </r>
  </si>
  <si>
    <r>
      <t xml:space="preserve"> د </t>
    </r>
    <r>
      <rPr>
        <sz val="12"/>
        <rFont val="B Nazanin"/>
        <charset val="178"/>
      </rPr>
      <t xml:space="preserve">4-17 </t>
    </r>
    <r>
      <rPr>
        <sz val="12"/>
        <rFont val="Times New Roman"/>
        <family val="1"/>
      </rPr>
      <t xml:space="preserve">جدول دوام:.../ ادامه جدول </t>
    </r>
    <r>
      <rPr>
        <sz val="12"/>
        <rFont val="B Nazanin"/>
        <charset val="178"/>
      </rPr>
      <t>4-17:</t>
    </r>
    <r>
      <rPr>
        <sz val="12"/>
        <rFont val="Times New Roman"/>
        <family val="1"/>
      </rPr>
      <t xml:space="preserve"> ...            </t>
    </r>
  </si>
  <si>
    <r>
      <t xml:space="preserve"> د</t>
    </r>
    <r>
      <rPr>
        <sz val="12"/>
        <rFont val="B Nazanin"/>
        <charset val="178"/>
      </rPr>
      <t xml:space="preserve"> 4-17 </t>
    </r>
    <r>
      <rPr>
        <sz val="12"/>
        <rFont val="Times New Roman"/>
        <family val="1"/>
      </rPr>
      <t xml:space="preserve">جدول دوام:.../ ادامه جدول </t>
    </r>
    <r>
      <rPr>
        <sz val="12"/>
        <rFont val="B Nazanin"/>
        <charset val="178"/>
      </rPr>
      <t>4-17:</t>
    </r>
    <r>
      <rPr>
        <sz val="12"/>
        <rFont val="Times New Roman"/>
        <family val="1"/>
      </rPr>
      <t xml:space="preserve"> ...            </t>
    </r>
  </si>
  <si>
    <r>
      <t xml:space="preserve"> د </t>
    </r>
    <r>
      <rPr>
        <sz val="12"/>
        <rFont val="B Nazanin"/>
        <charset val="178"/>
      </rPr>
      <t>4-17</t>
    </r>
    <r>
      <rPr>
        <sz val="12"/>
        <rFont val="Times New Roman"/>
        <family val="1"/>
      </rPr>
      <t xml:space="preserve"> جدول دوام:.../ ادامه جدول </t>
    </r>
    <r>
      <rPr>
        <sz val="12"/>
        <rFont val="B Nazanin"/>
        <charset val="178"/>
      </rPr>
      <t>4-17:</t>
    </r>
    <r>
      <rPr>
        <sz val="12"/>
        <rFont val="Times New Roman"/>
        <family val="1"/>
      </rPr>
      <t xml:space="preserve"> ...            </t>
    </r>
  </si>
  <si>
    <r>
      <t xml:space="preserve"> د</t>
    </r>
    <r>
      <rPr>
        <sz val="12"/>
        <rFont val="B Nazanin"/>
        <charset val="178"/>
      </rPr>
      <t xml:space="preserve"> 4-17</t>
    </r>
    <r>
      <rPr>
        <sz val="12"/>
        <rFont val="Times New Roman"/>
        <family val="1"/>
      </rPr>
      <t xml:space="preserve"> جدول دوام:.../ ادامه جدول </t>
    </r>
    <r>
      <rPr>
        <sz val="12"/>
        <rFont val="B Nazanin"/>
        <charset val="178"/>
      </rPr>
      <t xml:space="preserve">4-17: </t>
    </r>
    <r>
      <rPr>
        <sz val="12"/>
        <rFont val="Times New Roman"/>
        <family val="1"/>
      </rPr>
      <t xml:space="preserve">...            </t>
    </r>
  </si>
  <si>
    <r>
      <t xml:space="preserve"> د</t>
    </r>
    <r>
      <rPr>
        <sz val="12"/>
        <rFont val="B Nazanin"/>
        <charset val="178"/>
      </rPr>
      <t xml:space="preserve"> 4-17 </t>
    </r>
    <r>
      <rPr>
        <sz val="12"/>
        <rFont val="Times New Roman"/>
        <family val="1"/>
      </rPr>
      <t>جدول دوام:.../ ادامه جدول</t>
    </r>
    <r>
      <rPr>
        <sz val="12"/>
        <rFont val="B Nazanin"/>
        <charset val="178"/>
      </rPr>
      <t xml:space="preserve"> 4-17:</t>
    </r>
    <r>
      <rPr>
        <sz val="12"/>
        <rFont val="Times New Roman"/>
        <family val="1"/>
      </rPr>
      <t xml:space="preserve"> ...              </t>
    </r>
  </si>
  <si>
    <t>ښوونکی/ استاد</t>
  </si>
  <si>
    <t xml:space="preserve"> Graduate, 2021-22 Educational Year</t>
  </si>
  <si>
    <t>Continued Table 4-11: …</t>
  </si>
  <si>
    <t xml:space="preserve">Continued Table 4-17:... </t>
  </si>
  <si>
    <t xml:space="preserve">    دواړه جنسونه        هر دو جنس </t>
  </si>
  <si>
    <t xml:space="preserve">         هلک          پسر </t>
  </si>
  <si>
    <t xml:space="preserve">Source: Ministry of Education </t>
  </si>
  <si>
    <t xml:space="preserve">Source: Ministry of Education  </t>
  </si>
  <si>
    <t>Source: Ministry of Higher Education</t>
  </si>
  <si>
    <t>Source: Ministry of  Public Health</t>
  </si>
  <si>
    <t>Source:Technical Vocational Education and Training Authority</t>
  </si>
  <si>
    <t>Source: Technical  Vocational Education and Training Authority ,Ministry of Water and Power,Communication and Information Technology , Civil Aviation Authority.</t>
  </si>
  <si>
    <t>Source:Technical Vocational Education &amp; Training Authority</t>
  </si>
  <si>
    <t>Kunar</t>
  </si>
  <si>
    <t xml:space="preserve">Vocational Agriculture institute, Chahar Asyab   </t>
  </si>
  <si>
    <t xml:space="preserve">Multi-field institute, Dactor abdul Wakil </t>
  </si>
  <si>
    <t>Multi-field institute, Saydabad</t>
  </si>
  <si>
    <t>Multi-field institute, Dasht -e- Toop Saydabad</t>
  </si>
  <si>
    <t>Agriculture &amp; vocational institute, Mehterlam</t>
  </si>
  <si>
    <t>Vocational agriculture institute, Khas Kunar</t>
  </si>
  <si>
    <t>Vocational agriculture institute, Sarkani</t>
  </si>
  <si>
    <t>Vocational &amp; agriculture  institute, Raghustan</t>
  </si>
  <si>
    <t>2023-24</t>
  </si>
  <si>
    <r>
      <t xml:space="preserve">جدول </t>
    </r>
    <r>
      <rPr>
        <sz val="12"/>
        <rFont val="B Nazanin"/>
        <charset val="178"/>
      </rPr>
      <t>4-17:</t>
    </r>
    <r>
      <rPr>
        <sz val="12"/>
        <rFont val="Times New Roman"/>
        <family val="1"/>
      </rPr>
      <t xml:space="preserve"> تعداد محصلان، جدیدالشمولان، فارغان و استادان انستیتوت‌ های تخنیکی و مسلکی دولتی به‌ تفکیک جنس در‌سال‌</t>
    </r>
    <r>
      <rPr>
        <sz val="12"/>
        <rFont val="B Nazanin"/>
        <charset val="178"/>
      </rPr>
      <t>1402</t>
    </r>
    <r>
      <rPr>
        <sz val="12"/>
        <rFont val="Times New Roman"/>
        <family val="1"/>
      </rPr>
      <t>(نفر)</t>
    </r>
  </si>
  <si>
    <t>Table 4-17: Number of  Students, New Enrolled - Students, Graduates and Teachers in Government Technical Vocational Institutions by Sex -2023-24 (Person)</t>
  </si>
  <si>
    <t>Electric Higher Education institute</t>
  </si>
  <si>
    <t>Teacher training institute</t>
  </si>
  <si>
    <t>Industries of arts institute</t>
  </si>
  <si>
    <t>Management &amp; accounting institute</t>
  </si>
  <si>
    <t>Automechanic institute</t>
  </si>
  <si>
    <t>Multi-field institute</t>
  </si>
  <si>
    <t xml:space="preserve">Asistant engineering institute, Hissa-e-awal kohistan </t>
  </si>
  <si>
    <t xml:space="preserve">Agriculture &amp; veterinary institute, Koohband </t>
  </si>
  <si>
    <t>Technical institute</t>
  </si>
  <si>
    <t>Agriculture &amp; veterinary institute</t>
  </si>
  <si>
    <t xml:space="preserve"> Multi-field institute, Shinwari</t>
  </si>
  <si>
    <t xml:space="preserve">Asistant engineering institute, Ghurband </t>
  </si>
  <si>
    <t xml:space="preserve">Multi-field institute, Chak  </t>
  </si>
  <si>
    <t xml:space="preserve"> لوگر</t>
  </si>
  <si>
    <t>Mine institute</t>
  </si>
  <si>
    <t>Women management and accounting institute</t>
  </si>
  <si>
    <t>ننګرهار</t>
  </si>
  <si>
    <t>Agriculture institute, Chaparhar</t>
  </si>
  <si>
    <t>Mechanical institute</t>
  </si>
  <si>
    <t>Vocational agriculture institute, Muhmand Dara</t>
  </si>
  <si>
    <t>Vocational trade institute</t>
  </si>
  <si>
    <t>Lagman</t>
  </si>
  <si>
    <t xml:space="preserve">د ادارې او‌حساب دارۍ انسټیټوټ/‌انستیتوت اداره وحسابداری </t>
  </si>
  <si>
    <t>Multi-field institute, Qarghayee</t>
  </si>
  <si>
    <t xml:space="preserve">د قرغه‌یی کثیرالرشتوي انسټیټوټ/‌انستیتوت کثیرالرشتوی قرغه یی </t>
  </si>
  <si>
    <t>Multi-field institute, Mehterlam</t>
  </si>
  <si>
    <t xml:space="preserve">د مهترلام کثیرالرشتوي انسټیټوټ/‌انستیتوت کثیرالرشتوی  مهترلام </t>
  </si>
  <si>
    <t xml:space="preserve">د مهترلام د کرنې مسلکي انسټیټوټ/‌انستیتوت مسلکی زراعت مهترلام </t>
  </si>
  <si>
    <t xml:space="preserve"> Panjshir </t>
  </si>
  <si>
    <t>Technical vocational institute</t>
  </si>
  <si>
    <t>Women trade and vocational institute</t>
  </si>
  <si>
    <t>Management &amp; accounting institute, Argun</t>
  </si>
  <si>
    <t>Women multi-field institute</t>
  </si>
  <si>
    <t>Multi-field institute, Sabari</t>
  </si>
  <si>
    <t>Multi-field institute, Daragi</t>
  </si>
  <si>
    <t xml:space="preserve">د دره ګي کثیرالرشتوي انسټیټوټ/‌انستیتوت کثیرالرشتوی دره گی </t>
  </si>
  <si>
    <t xml:space="preserve">Multi-field institute, Zazi maidan </t>
  </si>
  <si>
    <t>Multi-field institute, Musa Khel</t>
  </si>
  <si>
    <t>Sports institute</t>
  </si>
  <si>
    <t xml:space="preserve"> کونړ/ کنر</t>
  </si>
  <si>
    <t>Managemen &amp; accounting institute</t>
  </si>
  <si>
    <t>Vocational handicraft institute</t>
  </si>
  <si>
    <t xml:space="preserve">Vocational agriculture institute, Marawara </t>
  </si>
  <si>
    <t>Management &amp; accounting, institute</t>
  </si>
  <si>
    <t>Women management &amp; accounting, institute</t>
  </si>
  <si>
    <t>Agriculture &amp; veterinar institute</t>
  </si>
  <si>
    <t>Vocational agriculture institute, Khuram Sarbagh</t>
  </si>
  <si>
    <t>Vocational agriculture institute</t>
  </si>
  <si>
    <t>Petroleum and gas institute</t>
  </si>
  <si>
    <t>Construction institute, Nahri Shahi</t>
  </si>
  <si>
    <t>Education trining academy</t>
  </si>
  <si>
    <t>Chemical technology institute</t>
  </si>
  <si>
    <t>Sar-e-pul</t>
  </si>
  <si>
    <t>د ادارې او‌حساب دارۍ انسټیټوټ‌/‌انستیتوت اداره و حسابداری</t>
  </si>
  <si>
    <t xml:space="preserve">Agriculture &amp; veterinary institute, Daman  </t>
  </si>
  <si>
    <t xml:space="preserve">Multi-field institute, Spin Boldak </t>
  </si>
  <si>
    <t>Multi-field institute, Zheri</t>
  </si>
  <si>
    <t>Andkhoy multi-field institute</t>
  </si>
  <si>
    <t>Vocational agriculture institute,Qaisar</t>
  </si>
  <si>
    <t>Women multi-field  institute</t>
  </si>
  <si>
    <t>کندوز</t>
  </si>
  <si>
    <t xml:space="preserve">Agriculture &amp; food processing institute </t>
  </si>
  <si>
    <r>
      <t xml:space="preserve">د </t>
    </r>
    <r>
      <rPr>
        <sz val="12"/>
        <rFont val="B Nazanin"/>
        <charset val="178"/>
      </rPr>
      <t>4-17</t>
    </r>
    <r>
      <rPr>
        <sz val="12"/>
        <rFont val="Times New Roman"/>
        <family val="1"/>
      </rPr>
      <t xml:space="preserve"> جدول: د </t>
    </r>
    <r>
      <rPr>
        <sz val="12"/>
        <rFont val="B Nazanin"/>
        <charset val="178"/>
      </rPr>
      <t>1402</t>
    </r>
    <r>
      <rPr>
        <sz val="12"/>
        <rFont val="Times New Roman"/>
        <family val="1"/>
      </rPr>
      <t xml:space="preserve"> کال د دولتي تخنیکي او مسلکي لیسې د محصلینو، نویو شامل شویو، فارغانو او استادانو شمېر د جنس او ولایت په توپیر(تن)</t>
    </r>
  </si>
  <si>
    <t>لیسه کثیر الرشتوی شکر دره</t>
  </si>
  <si>
    <t>لیسه کثیر الرشتوی استالیف</t>
  </si>
  <si>
    <t>لیسه کثیر الرشتوی فرزه</t>
  </si>
  <si>
    <t>لیسه کثیر الرشتوی موسهی</t>
  </si>
  <si>
    <t>لیسه کثیر الرستوی میربچه کوت</t>
  </si>
  <si>
    <t>لیسه مسکلی زرعت سید آباد</t>
  </si>
  <si>
    <t>لیسه مسکلی زراعت چاریکار</t>
  </si>
  <si>
    <t>لیسه کثیر الرشتوی چاریکار</t>
  </si>
  <si>
    <t>لیسه تعلیمات خاص میدان شهر</t>
  </si>
  <si>
    <t xml:space="preserve">لیسه میخانکی پل علم (کلنګار) </t>
  </si>
  <si>
    <t>لیسه کثیر الرشتوی بره کی برک</t>
  </si>
  <si>
    <t xml:space="preserve">لیسه تعلیمات خاص پل علم (کلنګار) </t>
  </si>
  <si>
    <t>لیسه تعلیمات خاص جلال آباد</t>
  </si>
  <si>
    <t>لیسه مسلکی زراعت بهسود</t>
  </si>
  <si>
    <t>لیسه مسلکی زراعت بتی کوت</t>
  </si>
  <si>
    <t>لیسه مسلکی زراعت پچير و اگام</t>
  </si>
  <si>
    <t>لیسه کثیرالرشتوی حصارک</t>
  </si>
  <si>
    <t>لیسه مسلکی زراعت خوگياني</t>
  </si>
  <si>
    <t xml:space="preserve"> لیسه مسلکی زراعت ده بالا(هسکه مينه)</t>
  </si>
  <si>
    <t>لیسه مسلکی زراعت رودات</t>
  </si>
  <si>
    <t xml:space="preserve">لیسه مسلکی زراعت سرخرود </t>
  </si>
  <si>
    <t xml:space="preserve"> لیسه مسلکی زراعت شينوار (غني خيل )</t>
  </si>
  <si>
    <t>لیسه مسلکی زراعت كوټ</t>
  </si>
  <si>
    <t>لیسه کثیرالرشتوی نازيان</t>
  </si>
  <si>
    <t>لیسه مسلکی زراعت کامه</t>
  </si>
  <si>
    <t>لیسه تخنیکی دولت شاه</t>
  </si>
  <si>
    <t>لیسه مسلکی زراعت علیشنگ</t>
  </si>
  <si>
    <t>لیسه تخنیکی و مسلکی  آبشار</t>
  </si>
  <si>
    <t>لیسه تخنیکی دره</t>
  </si>
  <si>
    <t>لیسه تخنیکی و مسلکی پریان</t>
  </si>
  <si>
    <t>لیسه کثیرالرشتوی ده صلاح</t>
  </si>
  <si>
    <t xml:space="preserve">لیسه کثیرالرشتوی یکاولنگ </t>
  </si>
  <si>
    <t>لیسه کثیرالرشتوی شیبر</t>
  </si>
  <si>
    <t>لیسه کثیرالرشتوی ورس</t>
  </si>
  <si>
    <t>لیسه مسلکی زراعت کهمرد</t>
  </si>
  <si>
    <t>لیسه تعلیمات خاص مرکز</t>
  </si>
  <si>
    <t>لیسه کثیرالرشتوی قره باغ</t>
  </si>
  <si>
    <t>لیسه تخنیکی قره باغ</t>
  </si>
  <si>
    <t>لیسه مسلکی زراعت اندر</t>
  </si>
  <si>
    <t>لیسه مسلکی زراعت جواجه عمری</t>
  </si>
  <si>
    <t>لیسه مسلکی زراعت مرکز</t>
  </si>
  <si>
    <t>لیسه تعلیمات خاص مسلکی مرکز</t>
  </si>
  <si>
    <t>لیسه کثیرالرشتوی جاني خيل</t>
  </si>
  <si>
    <t>لیسه کثیرالرشتوی سروبي</t>
  </si>
  <si>
    <t>لیسه مسلکی زراعت ارگون</t>
  </si>
  <si>
    <t>لیسه کثیرالرشتوی خیرکوټ (زرغون شهر)</t>
  </si>
  <si>
    <t>لیسه کثیرالرشتوی متاخان</t>
  </si>
  <si>
    <t xml:space="preserve"> لیسه مسلکی زراعت يحي خيل</t>
  </si>
  <si>
    <t>لیسه کثیرالرشتوی دند پټان</t>
  </si>
  <si>
    <t>لیسه کثیرالرشتوی رود احمد آباد</t>
  </si>
  <si>
    <t>لیسه کثیرالرشتوی لجه احمد خيل</t>
  </si>
  <si>
    <t>لیسه کثیرالرشتوی جاني خيل (منگل)</t>
  </si>
  <si>
    <t>لیسه تخنیکی و مسلکی ځاځي ( آريوب)</t>
  </si>
  <si>
    <t>لیسه تخنیکی و مسلکی زرمت</t>
  </si>
  <si>
    <t>لیسه میخانیکی ځاځي ( آريوب)</t>
  </si>
  <si>
    <t>لیسه مسلکی زراعت سيد کرم</t>
  </si>
  <si>
    <t>لیسه کثیرالرشتوی میرزاکا</t>
  </si>
  <si>
    <t>لیسه کثیرالرشتوی وزی ځدران</t>
  </si>
  <si>
    <t>لیسه کثیرالرشتوی نادرشاه کوت</t>
  </si>
  <si>
    <t>لیسه کثیرالرشتوی اسمعيل خيل مندوزایی</t>
  </si>
  <si>
    <t>لیسه کثیرالرشتوی باک</t>
  </si>
  <si>
    <t>لیسه کثیرالرشتوی تيرزائي</t>
  </si>
  <si>
    <t>لیسه کثیرالرشتوی شمل (دوه منډه)</t>
  </si>
  <si>
    <t>لیسه مسلکی تجارت (برکنړ) اسمار</t>
  </si>
  <si>
    <t>لیسه تخنیکی څوكي</t>
  </si>
  <si>
    <t>لیسه کثیرالرشتو ینرنگ</t>
  </si>
  <si>
    <t>لیسه کثیرالرشتوی نورگل</t>
  </si>
  <si>
    <t>لیسه مسلکی زراعت وته پور</t>
  </si>
  <si>
    <t>لیسه تخنیکی شيگل شلتن</t>
  </si>
  <si>
    <t>لیسه کثیرالرشتوی دوآب</t>
  </si>
  <si>
    <t xml:space="preserve"> لیسه مسلکی زراعت مرکز</t>
  </si>
  <si>
    <t>لیسه مسلکی زراعت نورگرام (یاننگراج)</t>
  </si>
  <si>
    <t>لیسه مسلکی زراعت کامدیش</t>
  </si>
  <si>
    <t>لیسه کثیرالرشتوی ارگو</t>
  </si>
  <si>
    <t>لیسه مسلکی زراعت خواهان</t>
  </si>
  <si>
    <t>لیسه کثیرالرشتوی شهر بزرگ</t>
  </si>
  <si>
    <t>لیسه کثیرالرشتوی قلعه زال</t>
  </si>
  <si>
    <t>لیسه کثیرالرشتوی چهاردره</t>
  </si>
  <si>
    <t>لیسه کثیرالرشتوی خان اباد</t>
  </si>
  <si>
    <t>لیسه مسلکی زراعت علی آباد</t>
  </si>
  <si>
    <t>لیسه مسلکی زراعت بهارک</t>
  </si>
  <si>
    <t>لیسه کثیرالرشتوی خواجه غار</t>
  </si>
  <si>
    <t>لیسه کثیرالرشتوی ورسج</t>
  </si>
  <si>
    <t>لیسه مسلکی زراعت حضرت سلطان</t>
  </si>
  <si>
    <t>لیسه مسلکی زراعت دره صوف پائين</t>
  </si>
  <si>
    <t>لیسه کثیرالرشتوی فيروز نخچير</t>
  </si>
  <si>
    <t>لیسه مسلکی زراعت بلخ</t>
  </si>
  <si>
    <t>لیسه کثیرالرشتوی چاربولک</t>
  </si>
  <si>
    <t>لیسه کثیرالرشتوی چارکنت</t>
  </si>
  <si>
    <t>لیسه کثیرالرشتوی چمتال</t>
  </si>
  <si>
    <t>لیسه کثیرالرشتوی خلم</t>
  </si>
  <si>
    <t>لیسه مسلکی زراعت دولت آباد</t>
  </si>
  <si>
    <t>لیسه کثیرالرشتوی شولگره</t>
  </si>
  <si>
    <t>لیسه تخنیکی صیاد</t>
  </si>
  <si>
    <t>لیسه مسلکی زراعت بلخاب</t>
  </si>
  <si>
    <t>لیسه مسلکی زراعت سنچارک</t>
  </si>
  <si>
    <t>لیسه کثیرالرشتوی سوزمه قلعه</t>
  </si>
  <si>
    <t>لیسه کثیرالرشتوی گوسفندي</t>
  </si>
  <si>
    <t>لیسه کثیرالرشتوی تیوره</t>
  </si>
  <si>
    <t>لیسه کثیرالرشتوی دولتیار</t>
  </si>
  <si>
    <t>لیسه کثیرالرشتوی اشترلی</t>
  </si>
  <si>
    <t>لیسه کثیرالریشتوی شهرستان</t>
  </si>
  <si>
    <t xml:space="preserve">لیسه مسلکی زراعت میرامور </t>
  </si>
  <si>
    <t>لیسه مسلکی زراعت کجران</t>
  </si>
  <si>
    <t>ازگان</t>
  </si>
  <si>
    <t>لیسه مسلکی زراعت کیتی</t>
  </si>
  <si>
    <t>لیسه کثیرالرشتوی خاص ارزگان</t>
  </si>
  <si>
    <t>لیسه مسلکی زراعت چوره</t>
  </si>
  <si>
    <t xml:space="preserve">زابل </t>
  </si>
  <si>
    <t>لیسه کثیرالرشتوی ارغنداب</t>
  </si>
  <si>
    <t>لیسه مسلکی زراعت شاه چوی</t>
  </si>
  <si>
    <t>لیسه مسلکی زراعت نوبهار</t>
  </si>
  <si>
    <t>لیسه کثیرالرشتوی شنکي</t>
  </si>
  <si>
    <t>لیسه تجارت پنجوائي</t>
  </si>
  <si>
    <t>لیسه مسلکی تجارت مرکز</t>
  </si>
  <si>
    <t>لیسه تخنیکی شورابک</t>
  </si>
  <si>
    <t>لیسه کثیرالرشتوی شاه ولي کوټ</t>
  </si>
  <si>
    <t>لیسه حفظ میوهاند مرکز</t>
  </si>
  <si>
    <t>لیسه کثیرالرشتوی خواجه دوکوه</t>
  </si>
  <si>
    <t>لیسه کثیرالرشتوی درزآب</t>
  </si>
  <si>
    <t>لیسه مسلکی زراعت آقچه</t>
  </si>
  <si>
    <t>لیسه مسلکی زراعت فيض آباد</t>
  </si>
  <si>
    <t>لیسه مسلکی زراعت قوش تیپه</t>
  </si>
  <si>
    <t>لیسه کثیرالرشتوی خان چارباغ</t>
  </si>
  <si>
    <t>لیسه کثیرالرشتوی پشتون کوت</t>
  </si>
  <si>
    <t>لیسه کثیرالرشتوی المار</t>
  </si>
  <si>
    <t>لیسه مسلکی زراعت بلچراغ</t>
  </si>
  <si>
    <t>لیسه کثیرالرشتوی خواجه سبز پوش</t>
  </si>
  <si>
    <t>لیسه کثیرالرشتوی شاکر کارگر قرغان</t>
  </si>
  <si>
    <t>لیسه کثیرالرشتوی قرمقول</t>
  </si>
  <si>
    <t>لیسه مسلکی زراعت گرزيوان</t>
  </si>
  <si>
    <t>لیسه میخانیکی گرشگ (نهر سراج)</t>
  </si>
  <si>
    <t>لیسه میخانیکی مرکز</t>
  </si>
  <si>
    <t>لیسه تخنیکی نادعلی</t>
  </si>
  <si>
    <t>لیسه کثیرالرشتوی موسي قلعه</t>
  </si>
  <si>
    <t>لیسه مسلکی زراعت نادعلی</t>
  </si>
  <si>
    <t>لیسه تخنیکی غوريان</t>
  </si>
  <si>
    <t>لیسه مسلکی روشندلان مرکز</t>
  </si>
  <si>
    <t>لیسه ناشنوايان مرکز</t>
  </si>
  <si>
    <t>لیسه کثیرالرشتوی پشتون زرغون</t>
  </si>
  <si>
    <t>لیسه مسلکی زراعت زنده جان</t>
  </si>
  <si>
    <t xml:space="preserve">لیسه کثیرالرشتوی کهسان </t>
  </si>
  <si>
    <t>لیسه کثیرالرشتوی پرچمن</t>
  </si>
  <si>
    <t xml:space="preserve">لیسه کثیرالرشتوی شيب کوه (قلعه کاه) </t>
  </si>
  <si>
    <t>لیسه اداره و تجارت گلستان</t>
  </si>
  <si>
    <t>لیسه کثیرالرشتوی لاش جوين</t>
  </si>
  <si>
    <t>لیسه مسلکی زراعت انار دره</t>
  </si>
  <si>
    <t xml:space="preserve">لیسه مسلکی زراعت شيب کوه (قلعه کاه) </t>
  </si>
  <si>
    <t>لیسه مسلکی زراعت پشترود</t>
  </si>
  <si>
    <t>لیسه تخنیکی مرکز</t>
  </si>
  <si>
    <t>لیسه مسلکی زراعت خاشرود</t>
  </si>
  <si>
    <t>لیسه مسلکی زراعت دلارام</t>
  </si>
  <si>
    <t>لیسه مسلکی زراعت گنگ</t>
  </si>
  <si>
    <t>Multi-field institute, waygal</t>
  </si>
  <si>
    <t>Faculty of Natural Sciences</t>
  </si>
  <si>
    <t xml:space="preserve">    </t>
  </si>
  <si>
    <t xml:space="preserve"> Multi-field High School, Shakardara</t>
  </si>
  <si>
    <t xml:space="preserve">Multi-field High School, Istalif </t>
  </si>
  <si>
    <t>Multi-field High School, Farza</t>
  </si>
  <si>
    <t>Multi-field High School, Mosahi</t>
  </si>
  <si>
    <t>Multi-field High School, Mir Bacha Kot</t>
  </si>
  <si>
    <t>Vocational Agriculture High School, Charikar</t>
  </si>
  <si>
    <t>Vocational Agriculture High School, Saydabad</t>
  </si>
  <si>
    <t>Special Educations High school, Maidan Shahr</t>
  </si>
  <si>
    <t>Mechanic High School, Pul-e-Alam(Kalanghar)</t>
  </si>
  <si>
    <t>Multi-field High School, Baraki Barak</t>
  </si>
  <si>
    <t xml:space="preserve">Special Educations High school, Pul-e-Alam(Kalanghar) </t>
  </si>
  <si>
    <t>Special Educations High school, Jalalabad</t>
  </si>
  <si>
    <t>Vocational Agriculture High School, De Bala (Haska Mina)</t>
  </si>
  <si>
    <t>Vocational Agriculture High School, Behsud</t>
  </si>
  <si>
    <t>Vocational Agriculture High School, Batikot</t>
  </si>
  <si>
    <t>Vocational Agriculture High School, Pecher-o-Agham</t>
  </si>
  <si>
    <t>Multi-field High School, Hisarak</t>
  </si>
  <si>
    <t>Vocational Agriculture High School, Khogyani</t>
  </si>
  <si>
    <t>Vocational Agriculture High School, Rodaat</t>
  </si>
  <si>
    <t>Vocational Agriculture High School, SurkhRud</t>
  </si>
  <si>
    <t>Vocational Agriculture High School, Shinwar(Ghanikhiel)</t>
  </si>
  <si>
    <t>Vocational Agriculture High School, Koot</t>
  </si>
  <si>
    <t>Multi-field High School, Naziyan</t>
  </si>
  <si>
    <t>Vocational Agriculture High School, Kama</t>
  </si>
  <si>
    <t xml:space="preserve">  Lagman</t>
  </si>
  <si>
    <t>Technical High School, Dawlat Shah</t>
  </si>
  <si>
    <t>Vocational Agricalture High School, Alishing</t>
  </si>
  <si>
    <t>Vocational Agricalture High School, Alinghar</t>
  </si>
  <si>
    <t>Special Educations High School, Mohtarlam</t>
  </si>
  <si>
    <t>Vocational Technical High School, Mohtarlam</t>
  </si>
  <si>
    <t xml:space="preserve">Panjshir </t>
  </si>
  <si>
    <t>Vocational and Technical High School, Ab shaar</t>
  </si>
  <si>
    <t xml:space="preserve">Technical High School, Dara </t>
  </si>
  <si>
    <t>Vocational and Technical High School, Paryan</t>
  </si>
  <si>
    <t xml:space="preserve">  Baghlan</t>
  </si>
  <si>
    <t>Multi-field High School, De Salah</t>
  </si>
  <si>
    <t xml:space="preserve">  Bamyan</t>
  </si>
  <si>
    <t>Multi-field High School, Yakawlang Number 2</t>
  </si>
  <si>
    <t>Vocational Agriculture High School, Sighan</t>
  </si>
  <si>
    <t>Multi-field High School, Shebar</t>
  </si>
  <si>
    <t>Multi-field High School, Wars</t>
  </si>
  <si>
    <t>Vocational Agriculture High School, Kohmord</t>
  </si>
  <si>
    <t xml:space="preserve">  Ghazni</t>
  </si>
  <si>
    <t>Technical High School, Qara Bagh</t>
  </si>
  <si>
    <t>Vocational Agriculture High School, Andar</t>
  </si>
  <si>
    <t>Vocational Agriculture High School, Khwaja Omari</t>
  </si>
  <si>
    <t>Vocational Agriculture High School, Center</t>
  </si>
  <si>
    <t>Special Educations High School, Center</t>
  </si>
  <si>
    <t>Multi-field High School, Moqor</t>
  </si>
  <si>
    <t xml:space="preserve">Paktika </t>
  </si>
  <si>
    <t>Multi-field High School, Janikhiel</t>
  </si>
  <si>
    <t>Multi-field High School, Sarawbi</t>
  </si>
  <si>
    <t>Vocational Agriculture High School, Argon</t>
  </si>
  <si>
    <t>Multi-field High School, Khirkoot( Zarghon shahr)</t>
  </si>
  <si>
    <t>Multi-field High School, Mata Khan</t>
  </si>
  <si>
    <t>Vocational Agriculture High School, Yahya Khiel</t>
  </si>
  <si>
    <t>Paktiya</t>
  </si>
  <si>
    <t>Multi-field High School, Dand Pathan</t>
  </si>
  <si>
    <t>Multi-field High School, Rud Ahmad Abad</t>
  </si>
  <si>
    <t>Multi-field High School, Laja Ahmad Khiel</t>
  </si>
  <si>
    <t>Multi-field High School, Janikhiel(Manghal)</t>
  </si>
  <si>
    <t>Vocational and Technical High School, Zurmat</t>
  </si>
  <si>
    <t>Mechanic High School, Zazai(Aryob)</t>
  </si>
  <si>
    <t>Vocational Agriculture High School, Said Karam</t>
  </si>
  <si>
    <t>Multi-field High School, Mirzaka</t>
  </si>
  <si>
    <t>Multi-field High School, Wazy Zadran</t>
  </si>
  <si>
    <t xml:space="preserve">  Khost</t>
  </si>
  <si>
    <t>Multi-field High School, Nadir Shah Kott</t>
  </si>
  <si>
    <t>Multi-field High School, Baak</t>
  </si>
  <si>
    <t>Multi-field High School, Terzaee</t>
  </si>
  <si>
    <t xml:space="preserve">  Kunar</t>
  </si>
  <si>
    <t>Vocational Trade High School, Asmar(Barkunar)</t>
  </si>
  <si>
    <t>Mechanic High School, Suki</t>
  </si>
  <si>
    <t>Multi-field High School, Narang</t>
  </si>
  <si>
    <t>Multi-field High School, Noor Gul</t>
  </si>
  <si>
    <t>Vocational Agricalture High School, Wata Pur</t>
  </si>
  <si>
    <t>Mechanic High School, Shigal Shaltan</t>
  </si>
  <si>
    <t>Multi-field High School, Do Ab</t>
  </si>
  <si>
    <t>Vocational Agriculture High School, Noorgram(Yaningraj)</t>
  </si>
  <si>
    <t>Vocational Agriculture High School, Kamdesh</t>
  </si>
  <si>
    <t>Multi-field High School, Argo</t>
  </si>
  <si>
    <t>Vocational Agriculture High School, Khwahan</t>
  </si>
  <si>
    <t>Multi-field High School, Shahr-e-Bozurg</t>
  </si>
  <si>
    <t xml:space="preserve"> Takhar</t>
  </si>
  <si>
    <t>Veterinary and Agriculture High School, Ashkomish</t>
  </si>
  <si>
    <t>Vocational Agriculture High School, Baharak</t>
  </si>
  <si>
    <t>Multi-field High School, Khwaja Ghar</t>
  </si>
  <si>
    <t>Multi-field High School, Warsij</t>
  </si>
  <si>
    <t>Mutlti-field High School, Qala-e-Zal</t>
  </si>
  <si>
    <t>Multi-field High School, Chahardara</t>
  </si>
  <si>
    <t>Mutlti-field High School, Khan Abad</t>
  </si>
  <si>
    <t>Vocational Agriculture High School, Ali Abad</t>
  </si>
  <si>
    <t>Vocational Agriculture High School, Hazrat Sultan</t>
  </si>
  <si>
    <t>Multi-field High School, Feroz Nakhchir</t>
  </si>
  <si>
    <t>Vocational Agriculture High School, Balkh</t>
  </si>
  <si>
    <t>Multi-field High School, Charbolak</t>
  </si>
  <si>
    <t>Multi-field High School, Charkent</t>
  </si>
  <si>
    <t>Multi-field High School, Chamtal</t>
  </si>
  <si>
    <t>Vocational Agriculture High School, Dawlat Abad</t>
  </si>
  <si>
    <t>Multi-field High School, Sholgara</t>
  </si>
  <si>
    <t xml:space="preserve"> Sar-e-pul</t>
  </si>
  <si>
    <t>Mechanic High School, Sayad</t>
  </si>
  <si>
    <t>Vocational Agriculture High School, Balkhab</t>
  </si>
  <si>
    <t>Vocational Agriculture High School, Sancharak</t>
  </si>
  <si>
    <t>Multi-field High School, Sozma Qala</t>
  </si>
  <si>
    <t>Multi-field High School, Gosfandy</t>
  </si>
  <si>
    <t xml:space="preserve">  Ghor</t>
  </si>
  <si>
    <t>Multi-field High School, Teura</t>
  </si>
  <si>
    <t>Multi-field High School, Dawlat Yar</t>
  </si>
  <si>
    <t>Multi-field High School, Eshtarli</t>
  </si>
  <si>
    <t>Multi-field High School, Shahristan</t>
  </si>
  <si>
    <t>Vocational Agriculture High School, Miramor</t>
  </si>
  <si>
    <t>Vocational Agriculture High School, Kijran</t>
  </si>
  <si>
    <t>Vocational Agriculture High School, Keti</t>
  </si>
  <si>
    <t>Multi-field High School, Khas Urozgan</t>
  </si>
  <si>
    <t>Vocational Agriculture High School, Chora</t>
  </si>
  <si>
    <t>Vocational Agriculture High School, Dahrawod</t>
  </si>
  <si>
    <t xml:space="preserve"> Zabul</t>
  </si>
  <si>
    <t>Multi-field High School, Arghandab</t>
  </si>
  <si>
    <t>Vocational Agriculture High School, Shah joye</t>
  </si>
  <si>
    <t>Vocational Agriculture High School, Naw Bahar</t>
  </si>
  <si>
    <t>Multi-field High School, Shinky</t>
  </si>
  <si>
    <t xml:space="preserve">  Kandahar</t>
  </si>
  <si>
    <t xml:space="preserve"> Trade High School, Panjwaee</t>
  </si>
  <si>
    <t>Vocational Trade High School, Center</t>
  </si>
  <si>
    <t>Mechanic High School, Shorabak</t>
  </si>
  <si>
    <t>Vocational Agriculture High School, Arghandab</t>
  </si>
  <si>
    <t>Multi-field High School, Shawali Kot</t>
  </si>
  <si>
    <t>Fruit Preservation High School, Center</t>
  </si>
  <si>
    <t xml:space="preserve"> Jawzjan</t>
  </si>
  <si>
    <t>Multi-field High School, Khwaja Dokoh</t>
  </si>
  <si>
    <t>Multi-field High School, Darz Ab</t>
  </si>
  <si>
    <t xml:space="preserve">Vocational Agriculture High School, Aqcha </t>
  </si>
  <si>
    <t>Vocational Agriculture High School, Fayzabad</t>
  </si>
  <si>
    <t>Vocational Agriculture High School, Qoshtipa</t>
  </si>
  <si>
    <t>Multi-field High School, Khan Charbagh</t>
  </si>
  <si>
    <t>Multi-field High School, Pashtoon Kott</t>
  </si>
  <si>
    <t>Multi-field High School, Almar</t>
  </si>
  <si>
    <t xml:space="preserve">Vocational Agriculture High School, Balchiragh </t>
  </si>
  <si>
    <t>Multi-field High School, Khwaja Sabz Posh</t>
  </si>
  <si>
    <t>Multi-field High School, Shakir Kargar Qarghan</t>
  </si>
  <si>
    <t>Multi-field High School, Qoramqol</t>
  </si>
  <si>
    <t>Vocational Agriculture High School, Garziwan</t>
  </si>
  <si>
    <t xml:space="preserve">  Helmand</t>
  </si>
  <si>
    <t>Mechanic High School, Center</t>
  </si>
  <si>
    <t>Mechanic High School, Nad Ali</t>
  </si>
  <si>
    <t>Vocational Agriculture High School, Sangin</t>
  </si>
  <si>
    <t>Vocational Agriculture High School, Garamser(Hazarjoft)</t>
  </si>
  <si>
    <t xml:space="preserve">Vocational Agriculture High School, Mareja </t>
  </si>
  <si>
    <t>Multi-field High School, Musa Qala</t>
  </si>
  <si>
    <t>Vocational Agriculture High School, Nad Ali</t>
  </si>
  <si>
    <t>Multi-field High School, Ab Kamari</t>
  </si>
  <si>
    <t>Multi-field High School, Jawand</t>
  </si>
  <si>
    <t>Vocational Agriculture High School, Qadis</t>
  </si>
  <si>
    <t>Vocational Agricalture High School, Marghab</t>
  </si>
  <si>
    <t xml:space="preserve"> Herat</t>
  </si>
  <si>
    <t>Mechanic High School, Ghoryan</t>
  </si>
  <si>
    <t>Vocational Roshandal (blinds) High School, Center</t>
  </si>
  <si>
    <t xml:space="preserve"> Deaf High School, Center</t>
  </si>
  <si>
    <t>Multi-field High School, Pahtoon Zarghon</t>
  </si>
  <si>
    <t>Vocational Agriculture High School, Zenda Jan</t>
  </si>
  <si>
    <t>Multi-field High School, Kuhsan</t>
  </si>
  <si>
    <t xml:space="preserve"> Farah</t>
  </si>
  <si>
    <t>Multi-field High School, Parchaman</t>
  </si>
  <si>
    <t>Trade and Management High School, Gulistan</t>
  </si>
  <si>
    <t>Multi-field High School, Lash Jwin</t>
  </si>
  <si>
    <t>Vocational Agriculture High School, Anar Dara</t>
  </si>
  <si>
    <t>Vocational Agriculture High School, Balablouk</t>
  </si>
  <si>
    <t>Vocational Agriculture High School, Peshtrud</t>
  </si>
  <si>
    <t xml:space="preserve">Mechanic High School, Center </t>
  </si>
  <si>
    <t>Vocational Agriculture High School, Khashrud</t>
  </si>
  <si>
    <t>Vocational Agriculture High School, Dlaram</t>
  </si>
  <si>
    <t>Vocational Agriculture High School, Gang</t>
  </si>
  <si>
    <t xml:space="preserve">زن  </t>
  </si>
  <si>
    <t xml:space="preserve">دواړه جنسونه </t>
  </si>
  <si>
    <t xml:space="preserve">ښځينه  </t>
  </si>
  <si>
    <t xml:space="preserve"> Graduate</t>
  </si>
  <si>
    <t>کورس‌های سواد آموزی</t>
  </si>
  <si>
    <t xml:space="preserve">شاگرد </t>
  </si>
  <si>
    <t>2-8</t>
  </si>
  <si>
    <t>1-8</t>
  </si>
  <si>
    <t xml:space="preserve">Male     </t>
  </si>
  <si>
    <t>Total Private teachers</t>
  </si>
  <si>
    <t>2-7</t>
  </si>
  <si>
    <t>1-7</t>
  </si>
  <si>
    <t>2-6</t>
  </si>
  <si>
    <t>1-6</t>
  </si>
  <si>
    <t>Total Teachers</t>
  </si>
  <si>
    <t>Private students</t>
  </si>
  <si>
    <t>Total Faculties</t>
  </si>
  <si>
    <t xml:space="preserve">Private </t>
  </si>
  <si>
    <t>Total Universities and Higher Education Institution</t>
  </si>
  <si>
    <t xml:space="preserve"> Graduates</t>
  </si>
  <si>
    <t xml:space="preserve">Continued Table 4-16:... </t>
  </si>
  <si>
    <t xml:space="preserve">Continued Table 4-18:... </t>
  </si>
  <si>
    <t>Continued Table 4-23:…</t>
  </si>
  <si>
    <t xml:space="preserve">Continued Table 4-25:...               </t>
  </si>
  <si>
    <t xml:space="preserve">Continued Table 4-27:...               </t>
  </si>
  <si>
    <t>Continued Table 4-30:…</t>
  </si>
  <si>
    <t>Akbar Mohmand institute</t>
  </si>
  <si>
    <t>نمیروز</t>
  </si>
  <si>
    <t xml:space="preserve">Arzush instiute </t>
  </si>
  <si>
    <t>Qadiri technical and vocational institute</t>
  </si>
  <si>
    <t>Tolo Jawanan Sistan institute</t>
  </si>
  <si>
    <t>Nimruz</t>
  </si>
  <si>
    <t>Primary education</t>
  </si>
  <si>
    <t>Lower secondary education</t>
  </si>
  <si>
    <t>Upper secondary education</t>
  </si>
  <si>
    <t>Islamic education, memorize of Quran and darul aloom</t>
  </si>
  <si>
    <t>Islamic education, memorize of Quran and darul aloom students</t>
  </si>
  <si>
    <t xml:space="preserve">Islamic education, memorize of Quran  and darul aloom new enrolled - students </t>
  </si>
  <si>
    <t xml:space="preserve">Islamic education, memorize of Quran  and darul aloom graduates </t>
  </si>
  <si>
    <t xml:space="preserve">Islamic education, memorize of Quran and darul aloom teachers </t>
  </si>
  <si>
    <t>Islamic education, memorize of Quran and darul aloom personnel</t>
  </si>
  <si>
    <t>Note: The Islamic education, memorize of Quran and darul aloom data for  2023-24 have not been reported  until the publishing of this yearbook.</t>
  </si>
  <si>
    <t>Male's</t>
  </si>
  <si>
    <t>Female's</t>
  </si>
  <si>
    <t>د خصوصي زده ‌کړو ښوونکې/ معلمان تعلیمات خصوصی</t>
  </si>
  <si>
    <r>
      <rPr>
        <b/>
        <sz val="10"/>
        <color theme="1"/>
        <rFont val="B Nazanin"/>
        <charset val="178"/>
      </rPr>
      <t>۱۴۰۲</t>
    </r>
    <r>
      <rPr>
        <b/>
        <sz val="10"/>
        <color theme="1"/>
        <rFont val="Times New Roman"/>
        <family val="1"/>
      </rPr>
      <t xml:space="preserve">   2023-24</t>
    </r>
  </si>
  <si>
    <t>زده ‌کوونکي</t>
  </si>
  <si>
    <t>د سـواد زده ‌کړو کورسونه</t>
  </si>
  <si>
    <t>زده‌ کوونکی</t>
  </si>
  <si>
    <t xml:space="preserve">فارغ شوي  </t>
  </si>
  <si>
    <t>ښوونکي</t>
  </si>
  <si>
    <t xml:space="preserve">          نوی شامل شوي          جدیدالشمول</t>
  </si>
  <si>
    <t xml:space="preserve">                      فارغ شوي                      فارغان                                          </t>
  </si>
  <si>
    <t>Multi-field High School,Sheb Koh (Qala Gah)</t>
  </si>
  <si>
    <t>High School</t>
  </si>
  <si>
    <t>Multi-field High School, Ismail Kheil Mandozae</t>
  </si>
  <si>
    <t>Multi-field High School, Shamal(Dowa Menda)</t>
  </si>
  <si>
    <t>Vocational Agriculture High School, Dara-e-Suof Payan</t>
  </si>
  <si>
    <t>Mechanic High School, Gereshk(Nahr-e-Saraj)</t>
  </si>
  <si>
    <t>Agriculture High School, Gereshk(Nahr-e-Saraj)</t>
  </si>
  <si>
    <t>Multi-field High School, Posht Kuh (Qala Gah)</t>
  </si>
  <si>
    <t xml:space="preserve">سرچینه: د تخنیکي او مسلکي زده ‌کړو اداره/ منبع: اداره تعلیمات تخنیکی و مسلکی                                               </t>
  </si>
  <si>
    <t>Afghan Ferozkoh arts and architecture vocational institute</t>
  </si>
  <si>
    <t>د لیلې شمېر</t>
  </si>
  <si>
    <t xml:space="preserve">د لوګر د لوړو زده‌ کړو موسسه‌/ موسسه تحصیلات عالی لوگر </t>
  </si>
  <si>
    <t xml:space="preserve">د فراه د لوړو زده ‌کړو موسسه‌/ موسسه تحصیلات عالی فراه  </t>
  </si>
  <si>
    <t>Emirate and private students enrolled in general education</t>
  </si>
  <si>
    <t>Emirate education graduates</t>
  </si>
  <si>
    <t>Emirate and private education teachers</t>
  </si>
  <si>
    <t>Emirate education teachers</t>
  </si>
  <si>
    <t xml:space="preserve">Emirate and private islamic education students </t>
  </si>
  <si>
    <t>Emirate islamic education students</t>
  </si>
  <si>
    <t>Emirate</t>
  </si>
  <si>
    <t xml:space="preserve"> Emirate  </t>
  </si>
  <si>
    <t xml:space="preserve"> Emirate </t>
  </si>
  <si>
    <t>Jamhuriat ecomonics and  Management institute</t>
  </si>
  <si>
    <t>Female's Management &amp; accounting institute</t>
  </si>
  <si>
    <t>Female's Management and accounting institute</t>
  </si>
  <si>
    <t>Female's trade and vocational institute</t>
  </si>
  <si>
    <t xml:space="preserve">Female's multi-field institute, Gardiz </t>
  </si>
  <si>
    <t>Female's multi-field institute</t>
  </si>
  <si>
    <t>Female's multi-field institute, Taloqan</t>
  </si>
  <si>
    <t>Female's Management &amp; accounting, institute</t>
  </si>
  <si>
    <t>Female's multi-field institute, Chighcheran</t>
  </si>
  <si>
    <t>Female's multi-field  institute</t>
  </si>
  <si>
    <t>د یحی خیلو د زراعت مسلکي لېسه/  لیسه مسلکی زراعت يحي خيل</t>
  </si>
  <si>
    <t>Female's Multi-field High School, Center</t>
  </si>
  <si>
    <t>Multi-field High School, Surkh Parsa</t>
  </si>
  <si>
    <t>میدان وردگ</t>
  </si>
  <si>
    <t>Female's Vocational Trade High School, Center</t>
  </si>
  <si>
    <t xml:space="preserve"> Samangan</t>
  </si>
  <si>
    <t xml:space="preserve"> Balkh</t>
  </si>
  <si>
    <t>Multi-field High School, Kholem</t>
  </si>
  <si>
    <t>Roshandal (blinds) Vocational Institute</t>
  </si>
  <si>
    <t xml:space="preserve">National institute of management and administration (NIMA)  </t>
  </si>
  <si>
    <t>Bayazid Roshan institute</t>
  </si>
  <si>
    <t>Multi-field institute, Qasaba</t>
  </si>
  <si>
    <t>Multi-field institute, Ahmad Shah Baba</t>
  </si>
  <si>
    <t xml:space="preserve">Technical vocational institute, Marmar and Rakham  </t>
  </si>
  <si>
    <t>Multi-field institute, Bagrami</t>
  </si>
  <si>
    <t>Multi-field High School, Qarabagh</t>
  </si>
  <si>
    <t xml:space="preserve">Vocational Agriculture institute, Paghman  </t>
  </si>
  <si>
    <t xml:space="preserve">Vocational Agriculture &amp; veterinary institute, Hisa-I-awali kohistan </t>
  </si>
  <si>
    <t>Technical institute, Kohistan</t>
  </si>
  <si>
    <t xml:space="preserve">Vocational agriculture institute, Sayed Khel </t>
  </si>
  <si>
    <t xml:space="preserve">Multi-field institute, Jabul-Saraj
</t>
  </si>
  <si>
    <t xml:space="preserve">Technical &amp; vocational institute ,Sheikh Ali  </t>
  </si>
  <si>
    <t xml:space="preserve">Multi-field institute, Doctor Abdul Wakil </t>
  </si>
  <si>
    <t xml:space="preserve">Technical &amp; vocational institute, Maidan Shahr </t>
  </si>
  <si>
    <t xml:space="preserve">Multi-field institute, Behsood Center </t>
  </si>
  <si>
    <t>Multi-field institute, Dy Mirdad</t>
  </si>
  <si>
    <t>Multi-field institute, Hissa-e-awal Behsud</t>
  </si>
  <si>
    <t>Technical vocational institute, Haska mina Nangarhar</t>
  </si>
  <si>
    <t>Technical &amp; vocational institute</t>
  </si>
  <si>
    <t xml:space="preserve">Vocational agriculture institute, Punjab  </t>
  </si>
  <si>
    <t>Multi-field institute, Sabri</t>
  </si>
  <si>
    <t>Vocational agriculture  institute, kishem</t>
  </si>
  <si>
    <t>Multi-field institute, Ishkashim</t>
  </si>
  <si>
    <t>Multi-field institute, Shoghnan</t>
  </si>
  <si>
    <t>Vocational &amp; agriculture  institute, Raghestan</t>
  </si>
  <si>
    <t xml:space="preserve">Multi-field institute,Yeftal </t>
  </si>
  <si>
    <t>Multi-field institute, Imam Sahib</t>
  </si>
  <si>
    <t>Technical &amp; vocational Education academy</t>
  </si>
  <si>
    <t xml:space="preserve">Multi-field institute Andkhoy </t>
  </si>
  <si>
    <t xml:space="preserve">Vocational agriculture institute, Chaghansor </t>
  </si>
  <si>
    <r>
      <t xml:space="preserve">ادامه جدول </t>
    </r>
    <r>
      <rPr>
        <sz val="12"/>
        <rFont val="B Nazanin"/>
        <charset val="178"/>
      </rPr>
      <t>4-11:</t>
    </r>
    <r>
      <rPr>
        <sz val="12"/>
        <rFont val="Times New Roman"/>
        <family val="1"/>
      </rPr>
      <t xml:space="preserve"> …  </t>
    </r>
  </si>
  <si>
    <r>
      <t xml:space="preserve">ادامه جدول </t>
    </r>
    <r>
      <rPr>
        <sz val="12"/>
        <color theme="1"/>
        <rFont val="B Nazanin"/>
        <charset val="178"/>
      </rPr>
      <t>4-2۳:</t>
    </r>
    <r>
      <rPr>
        <sz val="12"/>
        <color theme="1"/>
        <rFont val="Times New Roman"/>
        <family val="1"/>
      </rPr>
      <t xml:space="preserve"> ... </t>
    </r>
  </si>
  <si>
    <r>
      <t>ادامه جدول</t>
    </r>
    <r>
      <rPr>
        <sz val="12"/>
        <color theme="1"/>
        <rFont val="B Nazanin"/>
        <charset val="178"/>
      </rPr>
      <t xml:space="preserve"> 4-2۵:</t>
    </r>
    <r>
      <rPr>
        <sz val="12"/>
        <color theme="1"/>
        <rFont val="Times New Roman"/>
        <family val="1"/>
      </rPr>
      <t xml:space="preserve">..     </t>
    </r>
  </si>
  <si>
    <r>
      <t xml:space="preserve">ادامه جدول </t>
    </r>
    <r>
      <rPr>
        <sz val="12"/>
        <color theme="1"/>
        <rFont val="B Nazanin"/>
        <charset val="178"/>
      </rPr>
      <t>4-2۷:</t>
    </r>
    <r>
      <rPr>
        <sz val="12"/>
        <color theme="1"/>
        <rFont val="Times New Roman"/>
        <family val="1"/>
      </rPr>
      <t xml:space="preserve">..     </t>
    </r>
  </si>
  <si>
    <r>
      <t xml:space="preserve">ادامه جدول </t>
    </r>
    <r>
      <rPr>
        <sz val="12"/>
        <color theme="1"/>
        <rFont val="B Nazanin"/>
        <charset val="178"/>
      </rPr>
      <t>4-3۰:</t>
    </r>
    <r>
      <rPr>
        <sz val="12"/>
        <color theme="1"/>
        <rFont val="Times New Roman"/>
        <family val="1"/>
      </rPr>
      <t xml:space="preserve">.. </t>
    </r>
  </si>
  <si>
    <t>د ۱۸-۴جدول دوام:…</t>
  </si>
  <si>
    <r>
      <t xml:space="preserve"> ادامه جدول </t>
    </r>
    <r>
      <rPr>
        <sz val="12"/>
        <rFont val="B Nazanin"/>
        <charset val="178"/>
      </rPr>
      <t xml:space="preserve">۱۸-۴: </t>
    </r>
    <r>
      <rPr>
        <sz val="12"/>
        <rFont val="Times New Roman"/>
        <family val="1"/>
      </rPr>
      <t xml:space="preserve">...            </t>
    </r>
  </si>
  <si>
    <r>
      <t xml:space="preserve">ادامه جدول </t>
    </r>
    <r>
      <rPr>
        <sz val="12"/>
        <rFont val="B Nazanin"/>
        <charset val="178"/>
      </rPr>
      <t>۱۶-۴:</t>
    </r>
    <r>
      <rPr>
        <sz val="12"/>
        <rFont val="Times New Roman"/>
        <family val="1"/>
      </rPr>
      <t xml:space="preserve"> ...            </t>
    </r>
  </si>
  <si>
    <t xml:space="preserve"> د ۱۶-۴ جدول دوام:...</t>
  </si>
  <si>
    <t xml:space="preserve">په امارتي زده‌ کړو کې شامل زده‌ کوونکي‌/ متعلمین شامل تعلیمات امارتی </t>
  </si>
  <si>
    <t xml:space="preserve">لېسې‌ زده ‌کړې‌/ تعليمات لیسه </t>
  </si>
  <si>
    <t>Enrolled-students in emirate  education</t>
  </si>
  <si>
    <t>Students enrolled in private education</t>
  </si>
  <si>
    <t>د ۱۱-۴ جدول دوام:…</t>
  </si>
  <si>
    <t xml:space="preserve">زده ‌کوونکی/ شاگرد </t>
  </si>
  <si>
    <t>ښوونکي/استاد</t>
  </si>
  <si>
    <t xml:space="preserve">شمېره/شماره  </t>
  </si>
  <si>
    <t xml:space="preserve"> د انسټیټوټونو شمېر/ تعداد انستیتوت ها </t>
  </si>
  <si>
    <t xml:space="preserve"> د ۲۳-۴ جدول دوام:... </t>
  </si>
  <si>
    <t xml:space="preserve"> د 4-۲۵ جدول دوام:... </t>
  </si>
  <si>
    <t xml:space="preserve"> د ۲۷-۴ جدول دوام:.../ </t>
  </si>
  <si>
    <t xml:space="preserve">د ۳۰-۴ جدول دوام:… </t>
  </si>
  <si>
    <t xml:space="preserve">Barak higher education institution </t>
  </si>
  <si>
    <t xml:space="preserve">نیمروز </t>
  </si>
  <si>
    <t xml:space="preserve">Abu Naser higher education institution    </t>
  </si>
  <si>
    <t>Gharjistan university second branch</t>
  </si>
  <si>
    <t xml:space="preserve">Farah </t>
  </si>
  <si>
    <t xml:space="preserve">Ashraq higher education institution </t>
  </si>
  <si>
    <t xml:space="preserve">Al Ghias higher education institution </t>
  </si>
  <si>
    <t xml:space="preserve">Khwaja Abdullahe Ansari higher education institution </t>
  </si>
  <si>
    <t xml:space="preserve">Asia higher education institution </t>
  </si>
  <si>
    <t>Hariwa higher education institution</t>
  </si>
  <si>
    <t xml:space="preserve">Kahkashan Sharq higher education institution </t>
  </si>
  <si>
    <t xml:space="preserve">Jami university </t>
  </si>
  <si>
    <t xml:space="preserve">Ghaleb university  </t>
  </si>
  <si>
    <t xml:space="preserve">هرات </t>
  </si>
  <si>
    <t xml:space="preserve">Hekmat higher education institution    </t>
  </si>
  <si>
    <t xml:space="preserve">Hanzala higher education institution     </t>
  </si>
  <si>
    <t xml:space="preserve">بادغیس </t>
  </si>
  <si>
    <t xml:space="preserve">Badghis </t>
  </si>
  <si>
    <t>Both sex</t>
  </si>
  <si>
    <t xml:space="preserve"> دواړه جنسونه </t>
  </si>
  <si>
    <t xml:space="preserve"> نارينه</t>
  </si>
  <si>
    <t>New Enrolled-‌Student</t>
  </si>
  <si>
    <t xml:space="preserve">  نوي شامل شوي‌/‌جديدالشمول </t>
  </si>
  <si>
    <t xml:space="preserve">ښوونکي/ استاد </t>
  </si>
  <si>
    <r>
      <t xml:space="preserve"> د</t>
    </r>
    <r>
      <rPr>
        <sz val="12"/>
        <rFont val="B Nazanin"/>
        <charset val="178"/>
      </rPr>
      <t xml:space="preserve"> 4-3۱</t>
    </r>
    <r>
      <rPr>
        <sz val="12"/>
        <rFont val="Times New Roman"/>
        <family val="1"/>
      </rPr>
      <t xml:space="preserve"> جدول دوام:…</t>
    </r>
  </si>
  <si>
    <t>Continued Table 4-31:…</t>
  </si>
  <si>
    <t>Arakozia higher education institution</t>
  </si>
  <si>
    <t>Wadi Helmand higher education institution</t>
  </si>
  <si>
    <t xml:space="preserve">Bost university  </t>
  </si>
  <si>
    <t xml:space="preserve">هلمند </t>
  </si>
  <si>
    <t xml:space="preserve">Reshad higher education institution </t>
  </si>
  <si>
    <t xml:space="preserve">فاریاب </t>
  </si>
  <si>
    <t xml:space="preserve">Barlas higher education institution     </t>
  </si>
  <si>
    <t xml:space="preserve">Tolo Saadat higher education institution     </t>
  </si>
  <si>
    <t xml:space="preserve">Matanat higher education institution     </t>
  </si>
  <si>
    <t xml:space="preserve">Amir Ali Shir nawayee higher education institution </t>
  </si>
  <si>
    <t xml:space="preserve">جوزجان </t>
  </si>
  <si>
    <t xml:space="preserve">Limar higher education institution </t>
  </si>
  <si>
    <t xml:space="preserve">Mirwais Nika higher education institution ( Kandahar ) </t>
  </si>
  <si>
    <t xml:space="preserve">Saba higher education institution     </t>
  </si>
  <si>
    <t xml:space="preserve">Binawa higher education institution    </t>
  </si>
  <si>
    <t xml:space="preserve">Malali higher education institution </t>
  </si>
  <si>
    <t xml:space="preserve">کندهار </t>
  </si>
  <si>
    <t xml:space="preserve">Naser Khesrow higher education institution </t>
  </si>
  <si>
    <t xml:space="preserve">دایکندی </t>
  </si>
  <si>
    <t xml:space="preserve">Daykundi </t>
  </si>
  <si>
    <t xml:space="preserve"> Saadat higher education institution </t>
  </si>
  <si>
    <t xml:space="preserve">Nukhbagan higher education institution </t>
  </si>
  <si>
    <t xml:space="preserve">Alburz higher education institution    </t>
  </si>
  <si>
    <t xml:space="preserve">Turkistan higher education institution     </t>
  </si>
  <si>
    <t xml:space="preserve">Kawoon higher education institution    </t>
  </si>
  <si>
    <t xml:space="preserve">Taj higher education institution </t>
  </si>
  <si>
    <t xml:space="preserve">Rahe Saadat higher education institution  </t>
  </si>
  <si>
    <t>Ebni Sina university second branch</t>
  </si>
  <si>
    <t xml:space="preserve">Rahnaward university </t>
  </si>
  <si>
    <t xml:space="preserve">Aria university </t>
  </si>
  <si>
    <t xml:space="preserve">Mawlana Jalalludin Mohammad Balkhy university </t>
  </si>
  <si>
    <t xml:space="preserve">بلخ </t>
  </si>
  <si>
    <t>Mawlana Jalalludin Mohammad Balkhy university  second branch</t>
  </si>
  <si>
    <t xml:space="preserve">سمنگان </t>
  </si>
  <si>
    <t xml:space="preserve">Samagan </t>
  </si>
  <si>
    <t xml:space="preserve">Emam Shibani higher education institution     </t>
  </si>
  <si>
    <t xml:space="preserve">Shirzi Afghan higher education institution     </t>
  </si>
  <si>
    <t xml:space="preserve">Kohandazh higher education institution    </t>
  </si>
  <si>
    <t xml:space="preserve">Shahid Sayed Jan higher education institution    </t>
  </si>
  <si>
    <t xml:space="preserve">Nemar higher education institution     </t>
  </si>
  <si>
    <t xml:space="preserve">Shamal higher education institution     </t>
  </si>
  <si>
    <t xml:space="preserve">Salam university second branch </t>
  </si>
  <si>
    <t xml:space="preserve">کندز </t>
  </si>
  <si>
    <t xml:space="preserve">Rahi Saadat higher education institution second branch </t>
  </si>
  <si>
    <t>Fajristan higher education institution</t>
  </si>
  <si>
    <t xml:space="preserve">Payman higher education institution     </t>
  </si>
  <si>
    <t xml:space="preserve">Khana -e- Danish higher education institution </t>
  </si>
  <si>
    <t xml:space="preserve">تخار </t>
  </si>
  <si>
    <t xml:space="preserve">Barna higher education institution </t>
  </si>
  <si>
    <t xml:space="preserve">بدخشان </t>
  </si>
  <si>
    <t xml:space="preserve">Tanweer higher education institution </t>
  </si>
  <si>
    <t xml:space="preserve">Ahmad Shah Abdali higher education institution </t>
  </si>
  <si>
    <t xml:space="preserve">Pamir higher education institution </t>
  </si>
  <si>
    <t>Tolo Aftab higher education institution second branch</t>
  </si>
  <si>
    <t>Dawat university second branch</t>
  </si>
  <si>
    <t xml:space="preserve">خوست </t>
  </si>
  <si>
    <t xml:space="preserve">Khost </t>
  </si>
  <si>
    <t xml:space="preserve">Zam Zam higher education institution    </t>
  </si>
  <si>
    <t xml:space="preserve">پکتیا </t>
  </si>
  <si>
    <t xml:space="preserve">Paktya </t>
  </si>
  <si>
    <t xml:space="preserve">Soltan Mahmood Ghaznawee higher education institution     </t>
  </si>
  <si>
    <t xml:space="preserve">Muslim higher education institution     </t>
  </si>
  <si>
    <t>Khatam-Al Nabieen university second branch</t>
  </si>
  <si>
    <t xml:space="preserve">غزنی </t>
  </si>
  <si>
    <t xml:space="preserve">Ghazni </t>
  </si>
  <si>
    <t>Bamika higher education institution</t>
  </si>
  <si>
    <t xml:space="preserve">بامیان </t>
  </si>
  <si>
    <t xml:space="preserve">Bamyan </t>
  </si>
  <si>
    <t xml:space="preserve">Qods higher education institution     </t>
  </si>
  <si>
    <t>Royan higher education institution</t>
  </si>
  <si>
    <t xml:space="preserve">Hakim Sanayee university </t>
  </si>
  <si>
    <t xml:space="preserve">بغلان </t>
  </si>
  <si>
    <t xml:space="preserve">Altaqwa higher education institution </t>
  </si>
  <si>
    <t xml:space="preserve"> Roshan higher education institution     </t>
  </si>
  <si>
    <t>Spin Ghar higher education institution</t>
  </si>
  <si>
    <t xml:space="preserve">Ariana higher education institution </t>
  </si>
  <si>
    <t xml:space="preserve">Al - Falah university </t>
  </si>
  <si>
    <t xml:space="preserve">Khorasan university </t>
  </si>
  <si>
    <t xml:space="preserve"> ننگرهار </t>
  </si>
  <si>
    <t>Tabeshu niversity second branch</t>
  </si>
  <si>
    <t xml:space="preserve">میدان وردگ </t>
  </si>
  <si>
    <t xml:space="preserve">Maindan Wardak </t>
  </si>
  <si>
    <t xml:space="preserve">Danish higher education institution </t>
  </si>
  <si>
    <t xml:space="preserve"> پروان </t>
  </si>
  <si>
    <t xml:space="preserve">Parwan </t>
  </si>
  <si>
    <t xml:space="preserve">Wazir Shah wali khan higher education institution </t>
  </si>
  <si>
    <t>Spin Ghar higher education institution second branch</t>
  </si>
  <si>
    <t>Ariana higher education institution second branch</t>
  </si>
  <si>
    <t>Abni Khaldoon higher education institution</t>
  </si>
  <si>
    <t xml:space="preserve">Peshgam higher education institution </t>
  </si>
  <si>
    <t xml:space="preserve">Asas higher education institution    </t>
  </si>
  <si>
    <t>Maihan higher education institution</t>
  </si>
  <si>
    <t xml:space="preserve">Kabora higher education institution </t>
  </si>
  <si>
    <t>Khana Noor higher education institution</t>
  </si>
  <si>
    <t xml:space="preserve">Hewad higher education institution </t>
  </si>
  <si>
    <t>Maiwand higher education institution</t>
  </si>
  <si>
    <t xml:space="preserve">Saber higher education institution    </t>
  </si>
  <si>
    <t xml:space="preserve">Afghan Swiss higher education institution </t>
  </si>
  <si>
    <t xml:space="preserve">Asteqlal higher education institution </t>
  </si>
  <si>
    <t xml:space="preserve">Oroj higher education institution </t>
  </si>
  <si>
    <t xml:space="preserve">Afghan higher education institution </t>
  </si>
  <si>
    <t xml:space="preserve">Razi higher education institution     </t>
  </si>
  <si>
    <t xml:space="preserve">Bayezid Roshan higher education institution     </t>
  </si>
  <si>
    <t xml:space="preserve">Nayestan higher education institution    </t>
  </si>
  <si>
    <t xml:space="preserve">Afghan Pamir higher education institution     </t>
  </si>
  <si>
    <t xml:space="preserve">Qalam higher education institution     </t>
  </si>
  <si>
    <t xml:space="preserve">Noman Sadat higher education institution    </t>
  </si>
  <si>
    <t xml:space="preserve">Khorshid higher education institution    </t>
  </si>
  <si>
    <t xml:space="preserve">Shefa higher education institution     </t>
  </si>
  <si>
    <t>Ashna higher education institution</t>
  </si>
  <si>
    <t xml:space="preserve">Abo Raihan higher education institution  </t>
  </si>
  <si>
    <t>Edrak higher education institution</t>
  </si>
  <si>
    <t xml:space="preserve">Mostaqbel higher education institution  </t>
  </si>
  <si>
    <t>Alama higher education institution</t>
  </si>
  <si>
    <t>Fanoos higher education institution</t>
  </si>
  <si>
    <t xml:space="preserve">Ahle Bait higher education institution </t>
  </si>
  <si>
    <t xml:space="preserve">Jahan higher education institution </t>
  </si>
  <si>
    <t xml:space="preserve">Asteqamat higher education institution </t>
  </si>
  <si>
    <t xml:space="preserve">Payam higher education institution </t>
  </si>
  <si>
    <t xml:space="preserve">Zawol higher education institution </t>
  </si>
  <si>
    <t xml:space="preserve">Mili higher education institution </t>
  </si>
  <si>
    <t xml:space="preserve">Sharq higher education institution </t>
  </si>
  <si>
    <t xml:space="preserve">Sayed Jamaludin afghan higher education institution </t>
  </si>
  <si>
    <t>Azhar higher education institution</t>
  </si>
  <si>
    <t>Tolo Aftab higher education institution</t>
  </si>
  <si>
    <t>Cheragh Tebi higher education institution</t>
  </si>
  <si>
    <t xml:space="preserve">غالب پوهنتون دویمه څانګه/‌ پوهنتون غالب شعبه دوم </t>
  </si>
  <si>
    <t>Ghaleb university second branch</t>
  </si>
  <si>
    <t xml:space="preserve">Gawharshad university  </t>
  </si>
  <si>
    <t xml:space="preserve">Jama Almostafa university  </t>
  </si>
  <si>
    <t xml:space="preserve">Bakhtar university </t>
  </si>
  <si>
    <t xml:space="preserve">Tabesh university </t>
  </si>
  <si>
    <t xml:space="preserve">Donia university </t>
  </si>
  <si>
    <t xml:space="preserve">Mashal university </t>
  </si>
  <si>
    <t xml:space="preserve">Gharjistan university </t>
  </si>
  <si>
    <t xml:space="preserve">Payame Noor university </t>
  </si>
  <si>
    <t xml:space="preserve">Ebni Sina university </t>
  </si>
  <si>
    <t xml:space="preserve">Rabia Balkhi university  </t>
  </si>
  <si>
    <t xml:space="preserve">Karwan university </t>
  </si>
  <si>
    <t xml:space="preserve">Salam university </t>
  </si>
  <si>
    <t xml:space="preserve">Dawat university </t>
  </si>
  <si>
    <t xml:space="preserve">Rana university </t>
  </si>
  <si>
    <t xml:space="preserve">Kardan university </t>
  </si>
  <si>
    <t xml:space="preserve">Khatam-Al Nabieen university </t>
  </si>
  <si>
    <t xml:space="preserve">Maryam university  </t>
  </si>
  <si>
    <t>Kateb university</t>
  </si>
  <si>
    <t xml:space="preserve">  نوي شامل شویو/‌جديدالشمول </t>
  </si>
  <si>
    <t xml:space="preserve">ښوونکي/استاد </t>
  </si>
  <si>
    <t xml:space="preserve">د طلوع آفتاب د لوړو زده‌ کړو موسسه دویمه څانګه/ موسسه تحصیلات عالی طلوع آفتاب شعبه دوم </t>
  </si>
  <si>
    <t xml:space="preserve">يادښت: د دې احصاييوي کالنۍ د نشر تر وخته پورې د اسلامی مدرسو، دارالعلومونو، او دارالحفاظونو د ۱۴۰۲ کال  ارقام  نه دي رسېدلي./یاداشت: ارقام  مدارس، دار العلوم‌ها  ودارالحفاظ‌های  سال ۱۴۰۲ تا زمان نشراین سالنامه در دسترس قرار نگرفته است. </t>
  </si>
  <si>
    <t xml:space="preserve"> ادامه جدول ۳۱-۴: … </t>
  </si>
  <si>
    <t>امارتي او خصوصي ښوونځي‌/ مكاتب امارتی و خصوصی</t>
  </si>
  <si>
    <t xml:space="preserve"> امارتي ښوونځي‌/ مكاتب امارتی</t>
  </si>
  <si>
    <t>لمړني/ ابتدائیه‌</t>
  </si>
  <si>
    <t xml:space="preserve"> منځني‌/ متوسطه </t>
  </si>
  <si>
    <t xml:space="preserve"> لېسې‌/ لیسه </t>
  </si>
  <si>
    <t xml:space="preserve">خصوصي ښوونځي‌/ مكاتب خصوصی </t>
  </si>
  <si>
    <t>په امارتي او خصوصي عمومي زده‌ کړو کي شامل زده‌ کوونکي‌/ متعلیمن شامل تعلیمات عمومی امارتی و خصوصی</t>
  </si>
  <si>
    <t xml:space="preserve">لمړني زده‌ کړې/ تعليمات ابتدائیه </t>
  </si>
  <si>
    <t xml:space="preserve">منځني زده ‌کړې‌/ تعليمات متوسطه </t>
  </si>
  <si>
    <t xml:space="preserve">لېسې‌ زده‌ کړې‌/ تعليمات لیسه </t>
  </si>
  <si>
    <t>په خصوصي زده ‌کړو کې شامل زده‌ کوونکي‌‌‌/ متعلمین شامل تعلیمات خصوصی</t>
  </si>
  <si>
    <t xml:space="preserve"> د پولې بهر افغان زده‌ کوونکي(ایران، پاکستان، تاجکستان او هندوستان)‌/ متعلمین افغان خارج مرز (ایران، پاکستان، تاجکستان وهندوستان)</t>
  </si>
  <si>
    <t>د امارتي زده‌ کړو فارغ شوي/ فارغان تعلیمات امارتی</t>
  </si>
  <si>
    <t xml:space="preserve">امارتي او خصوصي زده‌ کړو ښوونکي/ معلمان تعلیمات امارتی و خصوصی  </t>
  </si>
  <si>
    <t>د امارتي زده ‌کړو ښوونکې/ معلمان تعلیمات امارتی</t>
  </si>
  <si>
    <t xml:space="preserve">ښوونځېو په لمړي تولګي کي نوي شامل شوي/ شاملان  صنف اول مکاتب </t>
  </si>
  <si>
    <t>د مسلکي لیسو شمېر‌/ تعداد لیسه های مسلکی</t>
  </si>
  <si>
    <t xml:space="preserve">د مسلکي لیسو زده کوونکي/ متعلمین لیسه های مسلکی </t>
  </si>
  <si>
    <t>د مسلکي لیسو ښوونکي/ معلمان لیسه های مسلکی</t>
  </si>
  <si>
    <t>امارتي او خصوصي دیني زده ‌کړو زده‌ کوونکي/ متعلمین تعلیمات اسلامی امارتی و خصوصی</t>
  </si>
  <si>
    <t>د امارتي دیني زده ‌کړو زده‌ کوونکي/ متعلمین تعلیمات اسلامی امارتی</t>
  </si>
  <si>
    <t>د خصوصي دیني زده‌ کړو زده‌ کوونکي/ متعلمین تعلیمات اسلامی خصوصی</t>
  </si>
  <si>
    <t xml:space="preserve">سرچینه: د پوهنې وزارت‌/ منبع : وزارت معارف   </t>
  </si>
  <si>
    <t xml:space="preserve"> سرچینه: د پوهنې وزارت/ منبع : وزارت معارف </t>
  </si>
  <si>
    <t xml:space="preserve"> سرچینه: د پوهنې وزارت‌/ منبع : وزارت معارف </t>
  </si>
  <si>
    <t xml:space="preserve">  سرچینه: د پوهنې وزارت‌/ منبع : وزارت معارف        </t>
  </si>
  <si>
    <t xml:space="preserve"> ټول‌/ مجموع</t>
  </si>
  <si>
    <t xml:space="preserve">سرچینه: د پوهنې وزارت‌/ منبع : وزارت معارف  </t>
  </si>
  <si>
    <t>لمړنۍ/ ابتدائیه</t>
  </si>
  <si>
    <t>منځنۍ/ متوسطه</t>
  </si>
  <si>
    <t>لېسې/ لیسه</t>
  </si>
  <si>
    <t>د اسلامي زده ‌کړو دیني مدرسې، دارالحفاظونه او دارالعلومونه/ مدارس تعلیمات اسلامی‌، دارالحفاظ‌ها و دارالعلوم‌ها</t>
  </si>
  <si>
    <t>دیني مدرسې‌/ مدارس اسلامی</t>
  </si>
  <si>
    <t>دارالحفاظونه‌/ دارالحفاظ‌ها</t>
  </si>
  <si>
    <t>دارالعلومونه‌/ دارالعلوم‌ها</t>
  </si>
  <si>
    <t xml:space="preserve">د اسلامي زده‌کړو دیني مدرسو‌، دارالحفاظونو او دارالعلومونو زده ‌کوونکي‌/ شاگردان مدارس تعلیمات اسلامی‌، دارالحفاظ‌ها و دارالعلوم‌ها </t>
  </si>
  <si>
    <t>د اسلامي زده ‌کړو دیني مدرسو زده ‌کوونکي‌/ شاگردان مدارس تعلیمات اسلامی</t>
  </si>
  <si>
    <t xml:space="preserve">د دارالحفاظونو زده ‌کوونکي‌/ شاگردان دارالحفاظ‌ها  </t>
  </si>
  <si>
    <t>د دارالعلوم زده ‌کوونکي‌/ شاگردان دارالعلوم‌ها</t>
  </si>
  <si>
    <t>د اسلامي زده‌ کړو دیني مدرسو‌، دارالحفاظونو او دارالعلومونو نوي شامل شوي‌/ جدیدالشمولان مدارس تعلیمات اسلامی‌، دارالحفاظ‌ها و دارالعلوم‌ها</t>
  </si>
  <si>
    <t xml:space="preserve">د اسلامي زده‌ کړو دیني مدرسو نوي شامل شوي‌/ جدیدالشمولان مدارس تعلیمات اسلامی </t>
  </si>
  <si>
    <t xml:space="preserve">د دارالحفاظونو نوي شامل شوي‌/ جدید الشمولان دارالحفاظ‌ها  </t>
  </si>
  <si>
    <t>د اسلامي زده‌ کړو دیني مدرسو‌، دارالحفاظونو او دارالعلومونو فارغ شوي‌/ فارغان مدارس تعلیمات اسلامی‌، دارالحفاظ‌ها و دارالعلوم‌ها</t>
  </si>
  <si>
    <t xml:space="preserve">د دیني زده‌ کړو له مدرسو نه فارغ شوي‌/ فارغان مدارس تعلیمات اسلامی </t>
  </si>
  <si>
    <t xml:space="preserve">له دارالحفاظونو فارغ شوي‌/ فارغان دارالحفاظ‌ها  </t>
  </si>
  <si>
    <t xml:space="preserve">له دارالعلومو فارغ شوي‌/ فارغان دارالعلوم‌ها  </t>
  </si>
  <si>
    <t>د اسلامي زده‌ کړو دیني مدرسو‌، دارالحفاظونو او دارالعلومونو ښوونکي‌/ معلمان مدارس تعلیمات اسلامی‌، دارالحفاظ‌ها و دارالعلوم‌ها</t>
  </si>
  <si>
    <t xml:space="preserve">د دیني مدرسو ښوونکي/ معلمان مدارس تعلیمات اسلامی  </t>
  </si>
  <si>
    <t xml:space="preserve">د دارالعلومو ښوونکي‌/ معلمان دارالعلوم‌ها </t>
  </si>
  <si>
    <t xml:space="preserve"> د اسلامي زده‌ کړو دیني مدرسو‌، دارالحفاظونو او دارالعلومونو مامورین/ کارمندان مدارس تعلیمات اسلامی‌، دارالحفاظ‌ها و دارالعلوم‌ها</t>
  </si>
  <si>
    <t xml:space="preserve">خدماتی کارکوونکي‌/ کارمندان خدماتی </t>
  </si>
  <si>
    <t xml:space="preserve">  سرچینه: د پوهنې وزارت‌/ منبع : وزارت معارف    </t>
  </si>
  <si>
    <t>د سـواد  زده‌ کړې کورسونه/ کورس‌های سواد آموزی</t>
  </si>
  <si>
    <t xml:space="preserve">نارینه/ مردانه </t>
  </si>
  <si>
    <t xml:space="preserve">ښځينه/ زنانه  </t>
  </si>
  <si>
    <t xml:space="preserve">فارغ شوی/ فارغ </t>
  </si>
  <si>
    <t>ښوونکی/ معلم</t>
  </si>
  <si>
    <t xml:space="preserve">سرچینه: د پوهنې وزارت‌/ منبع : وزارت معارف                                                                                                               </t>
  </si>
  <si>
    <t xml:space="preserve">سرچینه: د پوهنې وزارت‌/ منبع : وزارت معارف </t>
  </si>
  <si>
    <t xml:space="preserve">د مسلکي او حرفوي لېسو شمېر/ تعداد لیسه‌های مسلکی و حرفوی </t>
  </si>
  <si>
    <t>د هلکانو/ پسرانه</t>
  </si>
  <si>
    <t>د نجونو‌/ دخترانه</t>
  </si>
  <si>
    <t xml:space="preserve">زده ‌کوونکي‌/ متعلم </t>
  </si>
  <si>
    <t xml:space="preserve">نوي شامل شوي‌/ جدیدالشمول  </t>
  </si>
  <si>
    <t xml:space="preserve">فارغ شوي‌/ فارغ </t>
  </si>
  <si>
    <t>نارينه‌/  مرد</t>
  </si>
  <si>
    <t xml:space="preserve">سرچینه: د تخنیکي او مسلکي زده‌ګړو اداره‌/ منبع: اداره تعلیمات تخنیکی و مسلکی                                    </t>
  </si>
  <si>
    <t>ښوونکي/ معلم</t>
  </si>
  <si>
    <t>امارتي/ امارتی</t>
  </si>
  <si>
    <t>خصوصي‌/ خصوصی</t>
  </si>
  <si>
    <t>ټول محصل/ مجموع محصل</t>
  </si>
  <si>
    <t xml:space="preserve">د انسټیټوټونو شمېر/ تعداد انستیتوت‌ها </t>
  </si>
  <si>
    <t>ټول نوي شامل شوي‌/ مجموع جدیدالشمول</t>
  </si>
  <si>
    <t>ټول فارغ شوي‌/ مجموع فارغ</t>
  </si>
  <si>
    <t xml:space="preserve"> سرچینه: د تخنیکي او مسلکي زده ‌کړو اداره‌/‌ منبع: اداره تعلیمات تخنیکی و مسلکی </t>
  </si>
  <si>
    <t xml:space="preserve">د افغان فیروز کوه د هنر او معماري مسلکي خصوصي انسټیټوټ‌/‌ انستیتوت خصوصی مسلکی هنر و معماری افغان فیروز کوه </t>
  </si>
  <si>
    <t xml:space="preserve">مسلم د انګلیسي ادبیاتو مسلکي انسټیټوټ‌/‌ انستیتوت مسلکی ادبیات انگلیسی مسلم </t>
  </si>
  <si>
    <t xml:space="preserve">د نیروی پیشگام تخنیکي او مسلکي انسټیټوټ‌/ ‌انستیتوت تخنیکی ومسلکی نیروی پیشگام  </t>
  </si>
  <si>
    <t>ارزښت انستیتوټ/ انستیتوت ارزش</t>
  </si>
  <si>
    <t>قادري د تخنیکي او مسلکي تعلیماتو انستیتوټ/ انستیتوت تعلیمات تخنیکی ومسلکی قادری</t>
  </si>
  <si>
    <t>دانش افغانستان انسټیټوټ‌/ ‌انستیتوت دانش افغانستان</t>
  </si>
  <si>
    <t xml:space="preserve">همگام انسټیټوټ‌/‌ انستیتوت تعلیمات مسلکی همگام </t>
  </si>
  <si>
    <t>طلوع ځوانان سیستان انسټیټوټ/ انستیتوت طلوع جوانان سیستان</t>
  </si>
  <si>
    <t>اکبر مهمند انستیتوټ/ انستیتوت اکبر مهمند</t>
  </si>
  <si>
    <t xml:space="preserve"> انسټیټوټ‌/‌ انستیتوت </t>
  </si>
  <si>
    <t xml:space="preserve">کونړ/ کنر </t>
  </si>
  <si>
    <t xml:space="preserve"> سرچینه: د تخنیکي او مسلکي زده ‌کړو اداره‌/‌ منبع: اداره تعلیمات تخنیکی و مسلکی                         </t>
  </si>
  <si>
    <t xml:space="preserve">محصلین/ محصلان </t>
  </si>
  <si>
    <t>نارينه/ مرد</t>
  </si>
  <si>
    <t xml:space="preserve">نوي شامل شوي/ جدیدالشمولان  </t>
  </si>
  <si>
    <t xml:space="preserve"> فارغ شوي/ فارغان </t>
  </si>
  <si>
    <t>ښوونکي/ استاد</t>
  </si>
  <si>
    <t>سرچینه: دعامې روغتیا وزارت / منبع: وزارت صحت عامه</t>
  </si>
  <si>
    <t xml:space="preserve">ښځينه/ زن </t>
  </si>
  <si>
    <t xml:space="preserve">ټول پوهنتونونه او د لوړو زډه کړو مؤسسې‌/ مجموع پوهنتون ها و موسسات تحصیلات عالی  </t>
  </si>
  <si>
    <t>امارتي‌/ امارتی</t>
  </si>
  <si>
    <t xml:space="preserve">خصوصي‌/ خصوصی </t>
  </si>
  <si>
    <t>ټول پوهنځي/ مجموع پوهنځی‌ها</t>
  </si>
  <si>
    <t xml:space="preserve">ټول محصلین/ مجموع محصلان </t>
  </si>
  <si>
    <t xml:space="preserve">نارينه‌/ مرد  </t>
  </si>
  <si>
    <t xml:space="preserve">د امارتی برخې ټول محصلین‌/ مجموع محصلان بخش امارتی </t>
  </si>
  <si>
    <t xml:space="preserve">د خصوصي برخې ټول  محصلین‌/ مجموع محصلان بخش خصوصی </t>
  </si>
  <si>
    <t>ټول استادان‌/ مجموع استادان</t>
  </si>
  <si>
    <t xml:space="preserve">د امارتی برخې ټول استادان‌/ مجموع استادان بخش امارتی </t>
  </si>
  <si>
    <t>د خصوصي برخې ‌ټول استادان‌/ مجموع استادان بخش خصوصی</t>
  </si>
  <si>
    <t xml:space="preserve">سرچينه: د لوړو زده ‌کړو وزارت/ منبع: وزارت تحصیلات عالی  </t>
  </si>
  <si>
    <t>پوهنتون/ موسسه</t>
  </si>
  <si>
    <t>University/ Institution</t>
  </si>
  <si>
    <t xml:space="preserve">سرچينه: د لوړو زده ‌کړو وزارت/‌ منبع: وزارت تحصیلات عالی      </t>
  </si>
  <si>
    <t xml:space="preserve"> سرچينه: د لوړو زده‌ کړو وزارت‌/ منبع: وزارت تحصیلات عالی             </t>
  </si>
  <si>
    <t xml:space="preserve"> سرچينه: د لوړو زده ‌کړو وزارت/ منبع: وزارت تحصیلات عالی                                                                                                                                                   </t>
  </si>
  <si>
    <t>سرچينه: د لوړو زده ‌کړو وزارت/ منبع: وزارت تحصیلات عالی</t>
  </si>
  <si>
    <t>سرچينه: د لوړو زده‌ کړو وزارت/ منبع: وزارت تحصیلات عالی</t>
  </si>
  <si>
    <t xml:space="preserve"> سرچينه: د لوړو زده ‌کړو وزارت/ منبع: وزارت تحصیلات عالی</t>
  </si>
  <si>
    <t xml:space="preserve"> سرچينه: د لوړو زده‌ کړو وزارت/ منبع: وزارت تحصیلات عالی</t>
  </si>
  <si>
    <t xml:space="preserve">کابل پوهنتون‌/ پوهنتون کابل </t>
  </si>
  <si>
    <t>د کابل پولیِ تخنيک پوهنتون‌/ پوهنتون پولی تخنیک کابل</t>
  </si>
  <si>
    <t xml:space="preserve">د ښوونې او روزنې پوهنتون‌/ پوهنتون تعلیم و تربیه </t>
  </si>
  <si>
    <t xml:space="preserve">د کابل طبي علومو پوهنتون‌/ پوهنتون علوم طبی کابل </t>
  </si>
  <si>
    <t>افغان نړيوال پوهنتون‌/ پوهنتون بین المللي افغان</t>
  </si>
  <si>
    <t xml:space="preserve">پروان پوهنتون‌/ پوهنتون پروان </t>
  </si>
  <si>
    <t>ننګرهار پوهنتون‌/ پوهنتون ننگرهار</t>
  </si>
  <si>
    <t>لغمان پوهنتون‌/ پوهنتون لغمان</t>
  </si>
  <si>
    <t xml:space="preserve">بغلان پوهنتون‌/ پوهنتون بغلان </t>
  </si>
  <si>
    <t xml:space="preserve">باميان پوهنتون‌/ پوهنتون بامیان </t>
  </si>
  <si>
    <t xml:space="preserve">غزني پوهنتون‌/ پوهنتون غزنی </t>
  </si>
  <si>
    <t xml:space="preserve">د غزني د انجينرۍ تخنيکې پوهنتون‌/ پوهنتون تخنیکی انجنیری غزنی </t>
  </si>
  <si>
    <t>پکتيا پوهنتون‌/ پوهنتون پکتیا</t>
  </si>
  <si>
    <t xml:space="preserve">بدخشان پوهنتون‌/ پوهنتون بدخشان </t>
  </si>
  <si>
    <t>تخار پوهنتون‌/ پوهنتون تخار</t>
  </si>
  <si>
    <t xml:space="preserve">کندوز پوهنتون‌/ پوهنتون کندز </t>
  </si>
  <si>
    <t xml:space="preserve">بلخ پوهنتون‌/ پوهنتون بلخ </t>
  </si>
  <si>
    <t xml:space="preserve">کندهار پوهنتون‌/ پوهنتون کندهار </t>
  </si>
  <si>
    <t xml:space="preserve">جوزجان پوهنتون‌/ پوهنتون جوزجان </t>
  </si>
  <si>
    <t>فاریاب پوهنتون‌/ پوهنتون فاریاب</t>
  </si>
  <si>
    <t xml:space="preserve">هرات پوهنتون‌/ پوهنتون هرات </t>
  </si>
  <si>
    <t xml:space="preserve">د میدان وردګ د لوړو زده ‌کړو موسسه‌/ موسسه تحصیلات عالی میدان وردگ  </t>
  </si>
  <si>
    <t xml:space="preserve">د پنجشېر د لوړو زده ‌کړو موسسه‌/ موسسه تحصیلات عالی پنجشیر </t>
  </si>
  <si>
    <t xml:space="preserve">د پکتيکا د لوړو زده ‌کړو موسسه‌/ موسسه تحصیلات عالی پکتیکا  </t>
  </si>
  <si>
    <t>د سمنګان د لوړو زده ‌کړو موسسه‌/ موسسه تحصیلات عالی سمنگان</t>
  </si>
  <si>
    <t>د سرپل د لوړو زده ‌کړو موسسه‌/ موسسه تحصیلات عالی سرپل</t>
  </si>
  <si>
    <t xml:space="preserve">د غور د لوړو زده‌ کړو موسسه‌/ موسسه تحصیلات عالی غور </t>
  </si>
  <si>
    <t xml:space="preserve">د ډايکنډي د لوړو زده ‌کړو موسسه‌/ موسسه تحصیلات عالی دایکندی  </t>
  </si>
  <si>
    <t xml:space="preserve">د ارزګان د لوړو زده ‌کړو موسسه‌/ موسسه تحصیلات عالی ارزگان </t>
  </si>
  <si>
    <t xml:space="preserve">د زابل د لوړو زده‌ کړو موسسه‌/ موسسه تحصیلات عالی زابل </t>
  </si>
  <si>
    <t xml:space="preserve">د هلمند د لوړو زده ‌کړو موسسه‌/ موسسه تحصیلات عالی هلمند </t>
  </si>
  <si>
    <t>د بادغيس  د لوړو زده ‌کړو موسسه‌/ موسسه تحصیلات عالی بادغيس</t>
  </si>
  <si>
    <t>د نورستان د لوړو زده ‌کړو موسسه‌/ موسسه تحصیلات عالی نورستان</t>
  </si>
  <si>
    <t xml:space="preserve">د نيمروز د لوړو زده ‌کړو موسسه‌/ موسسه تحصیلات عالی نیمروز </t>
  </si>
  <si>
    <t>د لوګر د لوړو زده ‌کړو موسسه‌/ موسسه تحصیلات عالی لوگر</t>
  </si>
  <si>
    <t>د پنجشېر د لوړو زده ‌کړو موسسه‌/ موسسه تحصیلات عالی پنجشیر</t>
  </si>
  <si>
    <t xml:space="preserve">د پکتيکا د لوړو زده ‌کړو موسسه‌/ موسسه تحصیلات عالی پکتیکا </t>
  </si>
  <si>
    <t xml:space="preserve">د سرپل د لوړو زده ‌کړو موسسه‌/ موسسه تحصیلات عالی سرپل  </t>
  </si>
  <si>
    <t xml:space="preserve">د غور د لوړو زده ‌کړو موسسه‌/ موسسه تحصیلات عالی غور </t>
  </si>
  <si>
    <t>د ډايکنډي د لوړو زده ‌کړو موسسه‌/ موسسه تحصیلات عالی دایکندی</t>
  </si>
  <si>
    <t>د ارزګان د لوړو زده ‌کړو موسسه‌/ موسسه تحصیلات عالی ارزگان</t>
  </si>
  <si>
    <t>د هلمند د لوړو زده ‌کړو موسسه‌/ موسسه تحصیلات عالی هلمند</t>
  </si>
  <si>
    <t>د زابل د لوړو زده کړو موسسه‌/ موسسه تحصیلات عالی زابل</t>
  </si>
  <si>
    <t>د فراه د لوړو زده ‌کړو موسسه‌/ موسسه تحصیلات عالی فراه</t>
  </si>
  <si>
    <t>د نیمروز د لوړو ز ده کړو موسسه‌/ موسسه تحصیلات عالی نیمروز</t>
  </si>
  <si>
    <t>د افغانستان د کرنيزو علومو او تکنالوژۍ ملي پوهنتون -کندهار/ پوهنتون ملی علوم زراعتی و تکنالوژی افغانستان - کندهار</t>
  </si>
  <si>
    <t xml:space="preserve">سيد جمال الدين افغان پوهنتون - کونړ‌/ پوهنتون سید جمال الدین افغان - کنر </t>
  </si>
  <si>
    <t xml:space="preserve">شيخ زايد پوهنتون - خوست‌/ پوهنتون شیخ زاید - خوست </t>
  </si>
  <si>
    <t xml:space="preserve">البيرونې پوهنتون - کاپیسا/ پوهنتون البیرونی کاپیسا   </t>
  </si>
  <si>
    <t>د حقوقو پوهنځی‌/ پوهنځی حقوق</t>
  </si>
  <si>
    <t>د ساينس پوهنځی‌/ پوهنځی ساینس</t>
  </si>
  <si>
    <t xml:space="preserve">د ژبو او ادبياتو پوهنځی‌/ پوهنځی زبان وادبیات </t>
  </si>
  <si>
    <t>د انجنيرۍ پوهنځی‌/ پوهنځی انجنیری</t>
  </si>
  <si>
    <t>د روزنيزو علومو او ارواپوهنې پوهنځی‌/ پوهنځی علوم تربیتی و روانشناسی</t>
  </si>
  <si>
    <t>د کرني پوهنځی‌/ پوهنځی زراعت</t>
  </si>
  <si>
    <t xml:space="preserve">د اقتصاد پوهنځی‌/ پوهنځی اقتصاد </t>
  </si>
  <si>
    <t>د فارمسي پوهنځی‌/ پوهنځی فارمسی</t>
  </si>
  <si>
    <t>د وترنرۍ پوهنځی‌/ پوهنځی وترنری</t>
  </si>
  <si>
    <t xml:space="preserve">د ځمکې پيژندني پوهنځی‌/ پوهنځی زمین شناسی </t>
  </si>
  <si>
    <t xml:space="preserve">د هنرونو پوهنځی‌/ پوهنځی هنرها </t>
  </si>
  <si>
    <t>د ژورناليزم پوهنځی‌/ پوهنځی ژورنالیزم</t>
  </si>
  <si>
    <t>د ټولنيزو علومو پوهنځی‌/ پوهنځی علوم اجتماعی</t>
  </si>
  <si>
    <t>د شرعياتو پوهنځی‌/ پوهنځی شرعیات</t>
  </si>
  <si>
    <t>د ښوونې او روزنې پوهنځی‌/ پوهنځی تعلیم و تربیه</t>
  </si>
  <si>
    <t>د ساختماني پوهنځی‌/ پوهنځی ساختمانی</t>
  </si>
  <si>
    <t xml:space="preserve">د الکتروميخانيک پوهنځی‌/ پوهنځی الکترومیخانیک </t>
  </si>
  <si>
    <t xml:space="preserve">د بدني روزنې پوهنځی‌/ پوهنځی تربیت بدنی </t>
  </si>
  <si>
    <t>د ولايتونو د طب پوهنځی‌/ پوهنځی های طب ولایات</t>
  </si>
  <si>
    <t>د عامې روغتيا  پوهنځی‌/ پوهنځی صحت عامه</t>
  </si>
  <si>
    <t xml:space="preserve">د مرکز معالجوي پوهنځی‌/ پوهنځی معالجوی مرکز </t>
  </si>
  <si>
    <t>د ستوماتولوژي پوهنځی‌/ پوهنځی ستوماتولوژی</t>
  </si>
  <si>
    <t>د مرکز د نرسنگ پوهنځی‌/ پوهنځی نرسنگ مرکز</t>
  </si>
  <si>
    <t>د مرکز د صحي متمم پوهنځی‌/ پوهنځی متمم صحی مرکز</t>
  </si>
  <si>
    <t>د جيولوژي او کانونو پوهنځی‌/ پوهنځی جیولوژی ومعدن</t>
  </si>
  <si>
    <t>د کيمياوي تکنالوژۍ پوهنځی‌/ پوهنځی تکنالوژی کیمیاوی</t>
  </si>
  <si>
    <t>د کمپيوتر ساينس پوهنځی‌/ پوهنځی کمپیوتر ساینس</t>
  </si>
  <si>
    <t>د اختصاصي تعليماتو پوهنځی‌/ پوهنځی تعلیمات اختصاصی</t>
  </si>
  <si>
    <t xml:space="preserve">د مخابراتو معلوماتي تکنالوژۍ پوهنځی‌/ پوهنځی مخابرات و تكنا‍‍‍لوژی معلوماتی </t>
  </si>
  <si>
    <t>د ادارې او پاليسي پوهنځی‌/ پوهنځی اداره و پالیسی</t>
  </si>
  <si>
    <t>د چاپېريال ساتنې پوهنځی‌/ پوهنځی محیط زیست</t>
  </si>
  <si>
    <t>د طبیعی علومو پوهنځی‌/ پوهنځی علوم طبیعی</t>
  </si>
  <si>
    <t>د عامې روغتيا پوهنځی‌/ پوهنځی صحت عامه</t>
  </si>
  <si>
    <t xml:space="preserve">چراغ د طبي لوړو زده‌کړو موسسه/‌ موسسه تحصیلات عالی طبی چراغ </t>
  </si>
  <si>
    <t xml:space="preserve">د طلوع آفتاب د لوړو زده‌ کړو موسسه/‌ موسسه تحصیلات عالی طلوع آفتاب </t>
  </si>
  <si>
    <t xml:space="preserve">ازهرد لوړو زده‌ کړو موسسه/‌ موسسه تحصیلات عالی ازهر </t>
  </si>
  <si>
    <t>سید جمال الدین افغان د لوړو زده‌ کړو موسسه/‌ موسسه تحصیلات عالی سید جمال الدین افغان</t>
  </si>
  <si>
    <t>شرق د لوړو زده‌ کړو موسسه/‌ موسسه تحصیلات عالی شرق</t>
  </si>
  <si>
    <t xml:space="preserve">ملي د لوړو زده‌ کړو موسسه/‌ موسسه تحصیلات عالی ملی </t>
  </si>
  <si>
    <t xml:space="preserve">د زاول د لوړو زده‌ کړو موسسه/‌ موسسه تحصیلات عالی زاول </t>
  </si>
  <si>
    <t xml:space="preserve">د پیام د لوړو زده‌ کړو موسسه/‌ موسسه تحصیلات عالی پیام  </t>
  </si>
  <si>
    <t xml:space="preserve">د استقامت د لوړو زده‌ کړو موسسه/‌ موسسه تحصیلات عالی استقامت </t>
  </si>
  <si>
    <t>د جهان د لوړو زده‌ کړو موسسه/‌ موسسه تحصیلات عالی جهان</t>
  </si>
  <si>
    <t xml:space="preserve">د اهل بیت د لوړو زده‌ کړو موسسه/‌ موسسه تحصیلات عالی اهل بیت </t>
  </si>
  <si>
    <t>د فانوس د لوړو زده‌ کړو موسسه/‌ موسسه تحصیلات عالی فانوس</t>
  </si>
  <si>
    <t>علامه د لوړو زده‌ کړو موسسه/‌ موسسه تحصیلات عالی علامه</t>
  </si>
  <si>
    <t xml:space="preserve">مستقبل د لوړو زده‌ کړو موسسه/‌ موسسه تحصیلات عالی مستقبل </t>
  </si>
  <si>
    <t xml:space="preserve">ادراک د لوړو زده‌ کړو موسسه/‌ موسسه تحصیلات عالی ادراک  </t>
  </si>
  <si>
    <t>ابوریحان د لوړو زده‌ کړو موسسه/‌ موسسه تحصیلات عالی ابوریحان</t>
  </si>
  <si>
    <t>آشنا د لوړو زده‌ کړو موسسه/‌ موسسه تحصیلات عالی آشنا</t>
  </si>
  <si>
    <t xml:space="preserve">شفا د لوړو زده‌ کړو موسسه/‌ موسسه تحصیلات عالی شفا  </t>
  </si>
  <si>
    <t xml:space="preserve">د خورشید د لوړو زده‌ کړو موسسه/‌ موسسه تحصیلات عالی خورشید </t>
  </si>
  <si>
    <t xml:space="preserve">د نعمان سادات د لوړو زده‌ کړو موسسه/‌ موسسه تحصیلات عالی نعمان سادات </t>
  </si>
  <si>
    <t>د قلم د لوړو زده‌ کړو موسسه/‌ موسسه تحصیلات عالی قلم</t>
  </si>
  <si>
    <t xml:space="preserve">د افغان پامیر د لوړو زده‌ کړو موسسه/‌ موسسه تحصیلات عالی افغان پامیر </t>
  </si>
  <si>
    <t xml:space="preserve">د نیستان د لوړو زده‌ کړو موسسه/‌ موسسه تحصیلات عالی نیستان </t>
  </si>
  <si>
    <t>د بایزید روښان د لوړو زده‌ کړو موسسه/‌ موسسه تحصیلات عالی بایزید روشان</t>
  </si>
  <si>
    <t xml:space="preserve">د رازي د لوړو زده‌ کړو موسسه/‌ موسسه تحصیلات عالی رازی </t>
  </si>
  <si>
    <t xml:space="preserve">د افغان د لوړو زده‌ کړو موسسه/‌ موسسه تحصیلات عالی افغان </t>
  </si>
  <si>
    <t xml:space="preserve">عروج د لوړو زده‌ کړو موسسه/‌ موسسه تحصیلات عالی عروج </t>
  </si>
  <si>
    <t>استقلال د لوړو زده‌ کړو موسسه/‌ موسسه تحصیلات عالی استقلال</t>
  </si>
  <si>
    <t xml:space="preserve">افغان سویس د لوړو زده‌ کړو موسسه/‌ موسسه تحصیلات عالی افغان سویس </t>
  </si>
  <si>
    <t xml:space="preserve">د صابر د لوړو زده‌ کړو موسسه/‌ موسسه تحصیلات عالی صابر </t>
  </si>
  <si>
    <t xml:space="preserve">د میوند د لوړو زده‌ کړو موسسه/‌ موسسه تحصیلات عالی میوند </t>
  </si>
  <si>
    <t>د هېواد د لوړو زده‌ کړو موسسه/‌ موسسه تحصیلات عالی هیواد</t>
  </si>
  <si>
    <t xml:space="preserve">د خانه نور د لوړو زده‌ کړو موسسه/‌ موسسه تحصیلات عالی خانه نور </t>
  </si>
  <si>
    <t xml:space="preserve">د کابورا د لوړو زده‌ کړو موسسه/‌ موسسه تحصیلات عالی کابورا </t>
  </si>
  <si>
    <t xml:space="preserve">د میهن د لوړو زده‌ کړو موسسه/‌ موسسه تحصیلات عالی میهن </t>
  </si>
  <si>
    <t>د اساس د لوړو زده‌ کړو موسسه/‌ موسسه تحصیلات عالی اساس</t>
  </si>
  <si>
    <t>د پیشگام د لوړو زده‌ کړو موسسه/‌ موسسه تحصیلات عالی پیشگام</t>
  </si>
  <si>
    <t>د ابن خلدون د لوړو زده‌ کړو موسسه/‌ موسسه تحصیلات عالی ابن خلدون</t>
  </si>
  <si>
    <t xml:space="preserve">د وزیر شاه ولی خان لوړو زده کړو موسسه/‌ موسسه تحصیلات عالی وزیرشاه ولی خان </t>
  </si>
  <si>
    <t xml:space="preserve">د دانش د لوړو زده‌ کړو موسسه/‌ موسسه تحصیلات عالی دانش  </t>
  </si>
  <si>
    <t xml:space="preserve">د آریانا د لوړو زده‌ کړو موسسه/‌ موسسه تحصیلات عالی آريانا </t>
  </si>
  <si>
    <t xml:space="preserve">د سپین غر لوړو زده کړو موسسه/‌ موسسه تحصیلات عالی سپين غر </t>
  </si>
  <si>
    <t xml:space="preserve">د روښان د لوړو زده‌ کړو موسسه/‌ موسسه تحصیلات عالی روشان </t>
  </si>
  <si>
    <t>د التقوی د لوړو زده‌ کړو موسسه/‌ موسسه تحصیلات عالی التقوا</t>
  </si>
  <si>
    <t xml:space="preserve">رویان د لوړو زده‌ کړو موسسه/‌ موسسه تحصیلات عالی رویان   </t>
  </si>
  <si>
    <t>قدس د لوړو زده‌ کړو موسسه/‌ موسسه تحصیلات عالی قدس</t>
  </si>
  <si>
    <t>بامیکا د لوړو زده‌ کړو موسسه/‌ موسسه تحصیلات عالی بامیکا</t>
  </si>
  <si>
    <t>د مسلم د لوړو زده‌ کړو موسسه/‌ موسسه تحصیلات عالی مسلم</t>
  </si>
  <si>
    <t xml:space="preserve">د سلطان محمود غزنوي د لوړو زده‌ کړو موسسه/‌ موسسه تحصیلات عالی سلطان محمود غزنوی </t>
  </si>
  <si>
    <t>د زم زم د لوړو زده‌ کړو موسسه/‌ موسسه تحصیلات عالی زم زم</t>
  </si>
  <si>
    <t xml:space="preserve">د پامیرد لوړو زده‌ کړو موسسه/‌ موسسه تحصیلات عالی پامیر  </t>
  </si>
  <si>
    <t>د احمدشاه ابدالي د لوړو زده‌ کړو موسسه/‌ موسسه تحصیلات عالی احمدشاه ابدالی</t>
  </si>
  <si>
    <t xml:space="preserve">تنویرد لوړو زده‌ کړو موسسه/‌ موسسه تحصیلات عالی تنویر </t>
  </si>
  <si>
    <t xml:space="preserve">برنا د لوړو زده‌ کړو موسسه/‌ موسسه تحصیلات عالی برنا </t>
  </si>
  <si>
    <t xml:space="preserve">د خانه دانش د لوړو زده‌ کړو موسسه/‌ موسسه تحصیلات عالی خانه دانش </t>
  </si>
  <si>
    <t xml:space="preserve">د پیمان د لوړو زده‌ کړو موسسه/‌ موسسه تحصیلات عالی پیمان </t>
  </si>
  <si>
    <t xml:space="preserve">د فجرستان د لوړو زده‌ کړو موسسه/‌ موسسه تحصیلات عالی فجرستان </t>
  </si>
  <si>
    <t xml:space="preserve">د شمال د لوړو زده‌ کړو موسسه/‌ موسسه تحصیلات عالی شمال </t>
  </si>
  <si>
    <t xml:space="preserve">د نمر د لوړو زده‌ کړو موسسه/‌ موسسه تحصیلات عالی نمر </t>
  </si>
  <si>
    <t xml:space="preserve">د شهید سید جان د لوړو زده‌ کړو موسسه/‌ موسسه تحصیلات عالی شهید سید جان </t>
  </si>
  <si>
    <t xml:space="preserve">د کهندژ د لوړو زده‌ کړو موسسه/‌ موسسه تحصیلات عالی کهندژ  </t>
  </si>
  <si>
    <t xml:space="preserve">د شیرزي افغان د لوړو زده‌ کړو موسسه/‌ موسسه تحصیلات عالی شیرزی افغان  </t>
  </si>
  <si>
    <t xml:space="preserve">د امام شیباني د لوړو زده‌ کړو موسسه/‌ موسسه تحصیلات عالی امام محمد شیبانی </t>
  </si>
  <si>
    <t>د راه سعادت د لوړو زده‌ کړو موسسه/‌ موسسه تحصیلات عالی راه سعادت</t>
  </si>
  <si>
    <t xml:space="preserve">د تاج د لوړو زده‌ کړو موسسه/‌ موسسه تحصیلات عالی تاج </t>
  </si>
  <si>
    <t xml:space="preserve">د کاوون د لوړو زده‌ کړو موسسه/‌ موسسه تحصیلات عالی کاوون </t>
  </si>
  <si>
    <t>د ترکستان د لوړو زده‌ کړو موسسه/‌ موسسه تحصیلات عالی ترکستان</t>
  </si>
  <si>
    <t xml:space="preserve">د البرز د لوړو زده‌ کړو موسسه/‌ موسسه تحصیلات عالی البرز </t>
  </si>
  <si>
    <t xml:space="preserve">د نخبګان لوړو زده‌کړو موسسه/‌ موسسه تحصیلات عالی نخبگان  </t>
  </si>
  <si>
    <t>د سادات د لوړو زده‌ کړو موسسه/‌ موسسه تحصیلات عالی سادات</t>
  </si>
  <si>
    <t xml:space="preserve">د ناصرخسرو د لوړو زده‌ کړو موسسه/‌ موسسه تحصیلات عالی ناصر خسرو </t>
  </si>
  <si>
    <t xml:space="preserve">ملالۍ د لوړو زده‌ کړو موسسه/‌ موسسه تحصیلات عالی ملالی </t>
  </si>
  <si>
    <t xml:space="preserve">بینوا د لوړو زده‌ کړو موسسه/‌ موسسه تحصیلات عالی بینوا  </t>
  </si>
  <si>
    <t xml:space="preserve">سبا د لوړو زده‌ کړو موسسه/‌ موسسه تحصیلات عالی سبا </t>
  </si>
  <si>
    <t xml:space="preserve">میرویس نیکه د لوړو زده‌ کړو موسسه/‌ موسسه تحصیلات عالی میرویس نیکه   </t>
  </si>
  <si>
    <t>د لمر د لوړو زده‌ کړو موسسه/‌ موسسه تحصیلات عالی لمر</t>
  </si>
  <si>
    <t xml:space="preserve">د امیرعلي شیر نوایي د لوړو زده‌ کړو موسسه/‌ موسسه تحصیلات عالی امیرعلی شیر نوایی  </t>
  </si>
  <si>
    <t xml:space="preserve">د متانت د لوړو زده‌ کړو موسسه/‌ موسسه تحصیلات عالی متانت  </t>
  </si>
  <si>
    <t xml:space="preserve">د طلوع سعادت د لوړو زده‌ کړو موسسه/‌ موسسه تحصیلات عالی طلوع سعادت  </t>
  </si>
  <si>
    <t xml:space="preserve">د برلاس د لوړو زده‌ کړو موسسه/‌ موسسه تحصیلات عالی برلاس </t>
  </si>
  <si>
    <t xml:space="preserve">د رشاد د لوړو زده‌ کړو موسسه/‌ موسسه تحصیلات عالی رشاد  </t>
  </si>
  <si>
    <t>د وادي هلمند د لوړو زده‌ کړو موسسه/‌ موسسه تحصیلات عالی وادی هلمند</t>
  </si>
  <si>
    <t xml:space="preserve">د اراکوزیا د لوړو زده‌ کړو موسسه/‌ موسسه تحصیلات عالی اراکوزیا </t>
  </si>
  <si>
    <t xml:space="preserve">حنظله د لوړو زده‌ کړو موسسه/‌ موسسه تحصیلات عالی حنظله </t>
  </si>
  <si>
    <t>حکمت د لوړو زده‌ کړو موسسه/‌ موسسه تحصیلات عالی حکمت</t>
  </si>
  <si>
    <t xml:space="preserve">کهکشان شرق د لوړو زده‌ کړو موسسه/‌ موسسه تحصیلات عالی کهکشان  شرق </t>
  </si>
  <si>
    <t xml:space="preserve">هریوا د لوړو زده‌ کړو موسسه/‌ موسسه تحصیلات عالی هریوا  </t>
  </si>
  <si>
    <t xml:space="preserve">آسیا د لوړو زده‌ کړو موسسه/‌ موسسه تحصیلات عالی آسیا </t>
  </si>
  <si>
    <t xml:space="preserve">خواجه عبدالله انصاري د لوړو زده‌ کړو موسسه/‌ موسسه تحصیلات عالی خواجه عبدالله انصاری </t>
  </si>
  <si>
    <t xml:space="preserve">الغیاث د لوړو زده‌ کړو موسسه/‌ موسسه تحصیلات عالی الغیاث </t>
  </si>
  <si>
    <t xml:space="preserve">اشراق د لوړو زده‌ کړو موسسه/‌ موسسه تحصیلات عالی اشراق </t>
  </si>
  <si>
    <t xml:space="preserve">ابونصر د لوړو زده‌ کړو موسسه/‌ موسسه تحصیلات عالی ابونصر </t>
  </si>
  <si>
    <t xml:space="preserve">بارک د لوړو زده‌ کړو موسسه/‌ موسسه تحصیلات عالی بارک </t>
  </si>
  <si>
    <t xml:space="preserve">د غرجستان پوهنتون دویمه څانګه/ پوهنتون غرجستان شعبه دوم </t>
  </si>
  <si>
    <t xml:space="preserve">کاتب پوهنتون/ پوهنتون کاتب </t>
  </si>
  <si>
    <t xml:space="preserve">مریم پوهنتون/ پوهنتون مريم </t>
  </si>
  <si>
    <t xml:space="preserve">خاتم النبیین پوهنتون/ پوهنتون خاتم النبیین </t>
  </si>
  <si>
    <t>کاردان پوهنتون/ پوهنتون کاردان</t>
  </si>
  <si>
    <t xml:space="preserve">رڼا پوهنتون/ پوهنتون رنا </t>
  </si>
  <si>
    <t xml:space="preserve">دعوت پوهنتون/ پوهنتون دعوت </t>
  </si>
  <si>
    <t xml:space="preserve">سلام پوهنتون/ پوهنتون سلام </t>
  </si>
  <si>
    <t xml:space="preserve">کاروان پوهنتون/ پوهنتون کاروان  </t>
  </si>
  <si>
    <t xml:space="preserve">رابعه بلخي پوهنتون/ پوهنتون رابعه بلخی </t>
  </si>
  <si>
    <t xml:space="preserve">د ابن سینا پوهنتون/ پوهنتون ابن سينا  </t>
  </si>
  <si>
    <t>د پیام نور پوهنتون/ پوهنتون پیام نور</t>
  </si>
  <si>
    <t xml:space="preserve">د غرجستان پوهنتون/ پوهنتون غرجستان </t>
  </si>
  <si>
    <t>د مشعل پوهنتون/ پوهنتون مشعل</t>
  </si>
  <si>
    <t xml:space="preserve">د دنیا پوهنتون/ پوهنتون دنیا </t>
  </si>
  <si>
    <t xml:space="preserve">د تابش پوهنتون/ پوهنتون تابش </t>
  </si>
  <si>
    <t xml:space="preserve">د باختر پوهنتون/ پوهنتون باختر </t>
  </si>
  <si>
    <t xml:space="preserve">د جامعة المصطفي پوهنتون/ پوهنتون جامعة المصطفی </t>
  </si>
  <si>
    <t>د گوهرشاد پوهنتون/ پوهنتون گوهرشاد</t>
  </si>
  <si>
    <t xml:space="preserve">د خراسان پوهنتون/ پوهنتون خراسان </t>
  </si>
  <si>
    <t xml:space="preserve">د الفلاح پوهنتون/ پوهنتون الفلاح </t>
  </si>
  <si>
    <t>حکیم سنائي پوهنتون/ پوهنتون حکیم سنائی</t>
  </si>
  <si>
    <t xml:space="preserve">مولانا جلال الدین محمد بلخي پوهنتون/ پوهنتون مولانا جلال الدین محمد بلخی </t>
  </si>
  <si>
    <t xml:space="preserve">آریا پوهنتون/ پوهنتون آریا </t>
  </si>
  <si>
    <t xml:space="preserve">رهنورد پوهنتون/ پوهنتون رهنورد </t>
  </si>
  <si>
    <t xml:space="preserve">د بست پوهنتون/ پوهنتون بست </t>
  </si>
  <si>
    <t xml:space="preserve">غالب پوهنتون/ پوهنتون غالب </t>
  </si>
  <si>
    <t xml:space="preserve">جامي پوهنتون/ پوهنتون جامی </t>
  </si>
  <si>
    <t xml:space="preserve">د ابن سینا پوهنتون دویمه څانګه/ ‌پوهنتون ابن سينا شعبه دوم </t>
  </si>
  <si>
    <t xml:space="preserve">مولانا جلال الدین محمد بلخي پوهنتون دویمه څانګه/ پوهنتون مولانا جلال الدین محمد بلخی شعبه دوم </t>
  </si>
  <si>
    <t xml:space="preserve">د سلام پوهنتون دویمه څانګه/‌ پوهنتون سلام شعبه دوم  </t>
  </si>
  <si>
    <t>د راه سعادت د لوړو زده‌ کړو موسسه دویمه څانګه/‌ موسسه تحصیلات عالی راه سعادت شعبه دوم</t>
  </si>
  <si>
    <t xml:space="preserve">د دعوت پوهنتون دویمه څانګه/ پوهنتون دعوت شعبه دوم </t>
  </si>
  <si>
    <t xml:space="preserve">د خاتم النبیین پوهنتون دویمه څانګه/‌ پوهنتون خاتم النبین شعبه دوم  </t>
  </si>
  <si>
    <t>د تابش پوهنتون دویمه څانګه/ پوهنتون تابش شعبه دوم</t>
  </si>
  <si>
    <t xml:space="preserve">د سپین غر لوړو زده کړو موسسه دویمه څانګه/‌ موسسه تحصیلات عالی سپين غر شعبه دوم  </t>
  </si>
  <si>
    <t xml:space="preserve">آریانا لوړو زده کړو موسسه دویمه څانګه/‌ موسسه تحصیلات عالی آريانا شعبه دوم </t>
  </si>
  <si>
    <t xml:space="preserve">ټول‌/‌ مجموع </t>
  </si>
  <si>
    <t xml:space="preserve">د بریښنا د لوړو زده ‌کړو انسټیټوټ/‌ انستیتوت تعلیمات عالی برق </t>
  </si>
  <si>
    <t>د ملکي هوايي چلند انسټیټوټ/‌ انستیتوت هوانوردی ملکی</t>
  </si>
  <si>
    <t>د سوداګرۍ مسلکي انسټیټوټ/‌ انستیتوت مسلکی تجارت</t>
  </si>
  <si>
    <t>د کابل میخانیکي انسټیټوټ/‌ انستیتوت میخانیکی کابل</t>
  </si>
  <si>
    <t>د افغان تکنالوژي انسټیټوټ/‌ انستیتوت تکنالوژی افغان</t>
  </si>
  <si>
    <t>ساختماني او جیودیزي انسټیټوټ/‌ انستیتوت ساختمانی وجیودیزی</t>
  </si>
  <si>
    <t xml:space="preserve">د کرنې او خوراکي توکو د پروسس انسټیټوټ/‌ انستیتوت زراعت و پروسس مواد غدایی </t>
  </si>
  <si>
    <t xml:space="preserve">د ښکلوهنرونو او‌صنایعو انسټیټوټ/‌ انستیتوت هنرهای زیبا و صنایع              </t>
  </si>
  <si>
    <t>د ادارې او اقتصاد انسټیټوټ/‌ انستیتوت اداره واقتصاد</t>
  </si>
  <si>
    <t>د کمپیوتر او تکنالوژي انسټیټوټ/‌ انستیتوت تکنالوژی کمپیوتر</t>
  </si>
  <si>
    <t>د بدني روزنې او سپورت انسټیټوټ/‌ انستیتوت تربیت بدنی و سپورت</t>
  </si>
  <si>
    <t>د ادارې او‌حساب دارۍ انسټیټوټ/‌ انستیتوت اداره وحسابداری</t>
  </si>
  <si>
    <t>اټومیخانیک انسټیټوټ/‌ انستیتوت اتومیخانیک</t>
  </si>
  <si>
    <t>بایزید روښان انسټیټوټ/‌ انستیتوت بایزید روشان</t>
  </si>
  <si>
    <t>د انجونو د اداري او‌حساب دارۍ انسټیټوټ/‌ انستیتوت اداره وحسابداری نسوان</t>
  </si>
  <si>
    <t>د ژورنالیزم انسټیټوټ/‌ انستیتوت ژورنالیزم</t>
  </si>
  <si>
    <t>د قصبه کثیرالرشتوي انسټیټوټ/‌ انستیتوت کثیرالرشتوی قصبه</t>
  </si>
  <si>
    <t>د کڼو انسټیټوټ/‌ انستیتوت ناشنوایان</t>
  </si>
  <si>
    <t>احمد شاه بابا کثیرالرشتوي انسټیټوټ/‌ انستیتوت کثیرالرشتوی احمد شاه بابا</t>
  </si>
  <si>
    <t>د مرمر او رخام تخنیکي او مسلکي انسټیټوټ/‌ انستیتوت تخنیکی و مسلکی مرمر و رخام</t>
  </si>
  <si>
    <t xml:space="preserve">جمهوریت د ادارې او اقتصاد انسټیټوټ/‌ انستیتوت اداره و اقتصاد جمهورت </t>
  </si>
  <si>
    <t xml:space="preserve">د اکمال تخصص انسټیټوټ/‌ انستیتوت اکمال تخصص </t>
  </si>
  <si>
    <t>د بګرامیو کثیرالرشتوي انسټیټوټ/‌ انستیتوت کثیرالرشتوی بگرامی</t>
  </si>
  <si>
    <t>د ‌خاک جبار کثیرالرشتوي انسټیټوټ/‌ انستیتوت کثیرالرشتوی خاک جبار</t>
  </si>
  <si>
    <t>د سروبی کثیرالرشتوي انسټیټوټ/‌ انستیتوت کثیرالرشتوی سروبی</t>
  </si>
  <si>
    <t>د ده سبز کثیرالرشتوي انسټیټوټ/‌ انستیتوت کثیرالرشتوی ده سبز</t>
  </si>
  <si>
    <t>د چهارآسیاب د کرنې مسلکي انسټیټوټ/‌ انستیتوت مسلکی زراعت چهارآسیاب</t>
  </si>
  <si>
    <t>د قره باغ کثیرالرشتوي انسټیټوټ/‌ انستیتوت کثیرالرشتوی قره باغ</t>
  </si>
  <si>
    <t>د پغمان د کرنې مسلکي انسټیټوټ/‌ انستیتوت مسلکی زراعت پغمان</t>
  </si>
  <si>
    <t xml:space="preserve">د کلکان کثیرالرشتوي انسټیټوټ/‌ انستیتوت کثیرالرشتوی کلکان </t>
  </si>
  <si>
    <t>کثیرالرشتوي انسټیټوټ/‌ انستیتوت کثیرالرشتوی</t>
  </si>
  <si>
    <t xml:space="preserve">د کوهستان د لومړۍ برخې د انجینرۍ د مرستیالۍ انسټیټوټ/‌ انستیتوت معاون انجینری حصه اول کوهستان </t>
  </si>
  <si>
    <t>د کوهستان د لومړۍ برخې د‌ کرنې مسلکي او وترنري انسټیټوټ/‌ انستیتوت مسلکی زراعت و وترنری حصه اول کوهستان</t>
  </si>
  <si>
    <t xml:space="preserve">د کوهستان د تخنیکي انسټیټوټ/‌ انستیتوت تخنیکی کوهستان </t>
  </si>
  <si>
    <t>د کوه بند د‌ مسلکي کرنې او وترنري انسټیټوټ/‌ انستیتوت مسلکی زراعت و وترنری کوه بند</t>
  </si>
  <si>
    <t>د نجراب کثیرالرشتوي انسټیټوټ/‌ انستیتوت کثیرالرشتوی نجراب</t>
  </si>
  <si>
    <t>د تګاب د کرنې مسلکي انسټیټوټ/‌ انستیتوت مسلکی زراعت تگاب</t>
  </si>
  <si>
    <t xml:space="preserve">تخنیکي انسټیټوټ/‌ انستیتوت تخنیکی </t>
  </si>
  <si>
    <t xml:space="preserve">د کرنې او وترنري انسټیټوټ/‌ انستیتوت زراعت و وترنری </t>
  </si>
  <si>
    <t>د سید‌خیل د کرنې مسلکي انسټیټوټ/‌ انستیتوت مسلکی زراعت سید خیل</t>
  </si>
  <si>
    <t>د شینواري کثیرالرشتوي انسټیټوټ/‌ انستیتوت کثیرالرشتوی شینواری</t>
  </si>
  <si>
    <t xml:space="preserve">د‌غوربند د انجنیر مرستیالي انسټیټوټ/‌ انستیتوت معاون انجینری غوربند </t>
  </si>
  <si>
    <t>د بګرام کثیرالرشتوي انسټیټوټ/‌ انستیتوت کثیرالرشتوی بگرام</t>
  </si>
  <si>
    <t xml:space="preserve">د جل السراج کثیرالرشتوي انسټیټوټ/‌ انستیتوت کثیرالرشتوی جبل السراج </t>
  </si>
  <si>
    <t xml:space="preserve">د شیخ علي د تخنیکي او مسلکي انسټیټوټ/‌ انستیتوت تخنیکی و مسلکی شیخ علی  </t>
  </si>
  <si>
    <t xml:space="preserve">د چک کثیرالرشتوي انسټیټوټ/‌ انستیتوت کثیرالرشتوی چک </t>
  </si>
  <si>
    <t>داکترعبدالوکیل کثیرالرشتوي انسټیټوټ/‌ انستیتوت کثیرالرشتوی داکتر عبدالوکیل</t>
  </si>
  <si>
    <t>د میدان ښار تخنیکي او مسلکي انسټیټوټ/‌ انستیتوت تخنیکی و مسلکی میدان شهر</t>
  </si>
  <si>
    <t>د سید آباد کثیرالرشتوي انسټیټوټ/‌ انستیتوت کثیر الرشتوی سید آباد</t>
  </si>
  <si>
    <t>د دشت ټوپ د سید آباد کثیرالرشتوي انسټیټوټ/‌ انستیتوت کثیر الرشتوی سید آباد دشت توپ</t>
  </si>
  <si>
    <t>د جغتو کثیرالرشتوي انسټیټوټ/‌ انستیتوت کثیرالرشتوی جغتو</t>
  </si>
  <si>
    <t>د بهسود د مرکز کثیرالرشتوي انسټیټوټ/‌ انستیتوت کثیرالرشتوی مرکز بهسود</t>
  </si>
  <si>
    <t>د پتاب هلمند کثیرالرشتوي انسټیټوټ/‌ انستیتوت کثیرالرشتوی پتاب هلمند</t>
  </si>
  <si>
    <t>د دایمیرداد کثیرالرشتوي انسټیټوټ/‌ انستیتوت  کثیرالرشتوی دایمیرداد</t>
  </si>
  <si>
    <t>د نرخ کثیرالرشتوي انسټیټوټ/‌ انستیتوت  کثیرالرشتوی نرخ</t>
  </si>
  <si>
    <t>د جلریز کثیرالرشتوي انسټیټوټ/‌ انستیتوت کثیرالرشتوی جلریز</t>
  </si>
  <si>
    <t>د بهسود د لومړۍ برخې کثیرالرشتوي انسټیټوټ/‌ انستیتوت  کثیرالرشتوی حصه اول بهسود</t>
  </si>
  <si>
    <t xml:space="preserve">د معدن انسټیټوټ/‌ انستیتوت معدن </t>
  </si>
  <si>
    <t xml:space="preserve">د ‌کرنې او وترنرۍ انسټیټوټ/‌ انستیتوت زراعت و وترنری </t>
  </si>
  <si>
    <t>د ښځینه د اداري او حساب داري انسټیټوټ/‌ انستیتوت اداره و حساب داری نسوان</t>
  </si>
  <si>
    <t xml:space="preserve">د محمد آغې کثیرالرشتوي انسټیټوټ/‌ انستیتوت  کثیرالرشتوی محمد آغه </t>
  </si>
  <si>
    <t>د ازرې کثیرالرشتوي انسټیټوټ/‌ انستیتوت  کثیرالرشتوی ازره</t>
  </si>
  <si>
    <t xml:space="preserve">د کرنې او وترنرۍ انسټیټوټ/‌ انستیتوت زراعت و وترنری </t>
  </si>
  <si>
    <t xml:space="preserve">د چپرهار د کرنې انسټیټوټ/‌ انستیتوت زراعت چپرهار </t>
  </si>
  <si>
    <t xml:space="preserve">میخانیکي انسټیټوټ/‌ انستیتوت میخانیکی </t>
  </si>
  <si>
    <t>د ادارې او‌حساب دارۍ انسټیټوټ/‌ انستیتوت  اداره وحسابداری</t>
  </si>
  <si>
    <t>د مهمند درې د کرنې مسلکي انسټیټوټ/‌ انستیتوت مسلکی زراعت مهمند دره</t>
  </si>
  <si>
    <t>د هسکې مېنې د تخنیکي او مسلکي انسټیټوټ/‌ انستیتوت تخنیکی و مسلکی  هسکه مینه</t>
  </si>
  <si>
    <t xml:space="preserve">د ادارې او‌حساب دارۍ انسټیټوټ/‌ انستیتوت اداره وحسابداری </t>
  </si>
  <si>
    <t xml:space="preserve">د قرغه‌ یی کثیرالرشتوي انسټیټوټ/‌ انستیتوت کثیرالرشتوی قرغه یی </t>
  </si>
  <si>
    <t xml:space="preserve">د مهترلام کثیرالرشتوي انسټیټوټ/‌ انستیتوت کثیرالرشتوی  مهترلام </t>
  </si>
  <si>
    <t xml:space="preserve">د مهترلام د کرنې مسلکي انسټیټوټ/‌ انستیتوت مسلکی زراعت مهترلام </t>
  </si>
  <si>
    <t xml:space="preserve">تخنیکي او مسلکي انسټیټوټ/‌ انستیتوت تخنیکی و مسلکی </t>
  </si>
  <si>
    <t xml:space="preserve">د نجونو سوداگرۍ  مسلکي انسټیټوټ/‌ انستیتوت مسلکی تجارت نسوان </t>
  </si>
  <si>
    <t>د دوشي کثیرالرشتوي انسټیټوټ/‌ انستیتوت کثیرالرشتوی دوشی</t>
  </si>
  <si>
    <t>د بغلان جدید د کرنې او وترنرۍ انسټیټوټ/‌ انستیتوت زراعت و وترنری بغلان جدید</t>
  </si>
  <si>
    <t>د پلخمري میخانیکي انسټیټوټ/‌ انستیتوت میخانیکی پلخمری</t>
  </si>
  <si>
    <t xml:space="preserve">د بغلان جدید د ادارې او حساب دارۍ انسټیټوټ/‌ انستیتوت اداره وحسابداری بغلان جدید  </t>
  </si>
  <si>
    <t>د خنجان کثیرالرشتوي انسټیټوټ/‌ انستیتوت کثیرالرشتوی خنجان</t>
  </si>
  <si>
    <t>د نهرین کثیرالرشتوي انسټیټوټ/‌ انستیتوت کثیرالرشتوی نهرین</t>
  </si>
  <si>
    <t>د خوست کثیرالرشتوي انسټیټوټ/‌ انستیتوت کثیرالرشتوی خوست</t>
  </si>
  <si>
    <t xml:space="preserve">د دهنه غوري د کرنې مسلکي انسټیټوټ/‌ انستیتوت مسلکی زراعت دهنه غوری </t>
  </si>
  <si>
    <t xml:space="preserve">د پنجاب د کرنې مسلکي انسټیټوټ/‌ انستیتوت مسلکی زراعت پنجاب  </t>
  </si>
  <si>
    <t>د یکاولنګ د کرنې مسلکي انسټیټوټ/‌ انستیتوت مسلکی زراعت یکاولنگ</t>
  </si>
  <si>
    <t xml:space="preserve">د ادارې او‌حساب دارۍ انسټیټوټ/‌ انستیتوت اداره و حسابداری  </t>
  </si>
  <si>
    <t xml:space="preserve">د کثیرالرشتوي انسټیټوټ/‌ انستیتوت کثیرالرشتوی </t>
  </si>
  <si>
    <t xml:space="preserve">د جاغوري کثیرالرشتوي انسټیټوټ/‌ انستیتوت کثیرالرشتوی جاغوری </t>
  </si>
  <si>
    <t>د ارګون د ادارې او‌حساب دارۍ انسټیټوټ/‌ انستیتوت اداره وحسابداری ارگون</t>
  </si>
  <si>
    <t>د شرنې کثیرالرشتوي انسټیټوټ/‌ انستیتوت کثیرالرشتوی شرن</t>
  </si>
  <si>
    <t>د شرنې د ادارې او‌حساب دارۍ انسټیټوټ/‌ انستیتوت اداره و حساب داری شرن</t>
  </si>
  <si>
    <t xml:space="preserve">کثیرالرشتوي انسټیټوټ/‌ انستیتوت کثیرالرشتوی </t>
  </si>
  <si>
    <t>تخنیکي او مسلکي انسټیټوټ/‌ انستیتوت تخنیکی و مسلکی</t>
  </si>
  <si>
    <t>د کرنې او وترنرۍ انسټیټوټ/‌ انستیتوت زراعت و وترنری</t>
  </si>
  <si>
    <t>د گردیز د نجونو کثیرالرشتوي انسټیټوټ/‌ انستیتوت کثیرالرشتوی نسوان گردیز</t>
  </si>
  <si>
    <t>د څمکنيو کثیرالرشتوي انسټیټوټ/‌ انستیتوت کثیرالرشتوی ځمکنی</t>
  </si>
  <si>
    <t>میخانیکي انسټیټوټ/‌ انستیتوت میخانیکی</t>
  </si>
  <si>
    <t xml:space="preserve">د نجونو کثیرالرشتوي انسټیټوټ/‌ انستیتوت کثیرالرشتوی نسوان </t>
  </si>
  <si>
    <t xml:space="preserve">د ادارې او‌حساب دارۍ انسټیټوټ/‌ انستیتوت اداره و حسابداری </t>
  </si>
  <si>
    <t>د صبريو کثیرالرشتوي انسټیټوټ/‌ انستیتوت کثیر الرشتوی صبری</t>
  </si>
  <si>
    <t xml:space="preserve">د دره ګي کثیرالرشتوي انسټیټوټ/‌ انستیتوت کثیرالرشتوی دره گی </t>
  </si>
  <si>
    <t xml:space="preserve">د ځاځي میدان کثیرالرشتوي انسټیټوټ/‌ انستیتوت کثیرالرشتوی ځاځی میدان </t>
  </si>
  <si>
    <t>د موسی خیلو کثیرالرشتوي انسټیټوټ/‌ انستیتوت کثیرالرشتوی موسی خیل</t>
  </si>
  <si>
    <t>د بدني روزنې انسټیټوټ/‌ انستیتوت تربیت بدنی</t>
  </si>
  <si>
    <t>د ادارې او‌حساب دارۍ انسټیټوټ/‌ انستیتوت اداره و حسابداری</t>
  </si>
  <si>
    <t xml:space="preserve">د صنایعو مسلکي انسټیټوټ/‌ انستیتوت مسلکی صنایع </t>
  </si>
  <si>
    <t>د مرورې د کرنې  مسلکي انسټیټوټ/‌ انستیتوت مسلکی زراعت مروره</t>
  </si>
  <si>
    <t>د نجونو کثیرالریشتوي انسټیټوټ/‌ انستیتوت کثیرالرشتوی نسوان</t>
  </si>
  <si>
    <t>د خاص کونړ د کرنې  مسلکي انسټیټوټ/‌ انستیتوت مسلکی زراعت خاص کنر</t>
  </si>
  <si>
    <t>د پیچ درې د کرنې  مسلکي انسټیټوټ/‌ انستیتوت مسلکی زراعت دره پیچ</t>
  </si>
  <si>
    <t xml:space="preserve">د سرکاڼۍ د کرنې  مسلکي انسټیټوټ/‌ انستیتوت مسلکی زراعت سر کانی </t>
  </si>
  <si>
    <t xml:space="preserve"> د وایلګل کثیرالریشتوي انسټیټوټ/‌ انستیتوت کثیرالرشتوی وایگل</t>
  </si>
  <si>
    <t>د کشم د کرنې مسلکي انسټیټوټ/‌ انستیتوت مسلکی زراعت کشم</t>
  </si>
  <si>
    <t>د اشکاشم د کثیر الرشتوي انسټیټوټ/‌ انستیتوت کثیرالرشتوی اشکاشم</t>
  </si>
  <si>
    <t>د بهارک د کرنې او وترنرۍ انسټیټوټ/‌ انستیتوت زراعت و وترنری بهارک</t>
  </si>
  <si>
    <t>د بهارک د ادارې او‌حساب دارۍ انسټیټوټ/‌ انستیتوت اداره و حسابداری بهارک</t>
  </si>
  <si>
    <t>د شغنان د کثیر الرشتوي انسټیټوټ/‌ انستیتوت کثیرالرشتوی شغنان</t>
  </si>
  <si>
    <t>د راغستان د کرنې مسلکي انسټیټوټ/‌ انستیتوت مسلکی زراعت راغستان</t>
  </si>
  <si>
    <t>د درایم د کرنې مسلکي انسټیټوټ/‌ انستیتوت مسلکی زراعت درایم</t>
  </si>
  <si>
    <t>د یاوان د کرنې مسلکي انسټیټوټ/‌ انستیتوت مسلکی زراعت یاوان</t>
  </si>
  <si>
    <t xml:space="preserve">د یفتل کثیرالرشتوي انسټیټوټ/‌ انستیتوت کثیرالرشتوی یفتل </t>
  </si>
  <si>
    <t>د فرخار د کرنې او وترنرۍ انسټیټوټ/‌ انستیتوت زراعت و وترنری فرخار</t>
  </si>
  <si>
    <t>د رستاق د کرنې مسلکي انسټیټوټ/‌ انستیتوت مسلکی زراعت رستاق</t>
  </si>
  <si>
    <t>د تالقان د نجونو کثیرالرشتوي انسټیټوټ/‌ انستیتوت کثیرالرشتوی نسوان تالقان</t>
  </si>
  <si>
    <t xml:space="preserve">د دشت قلعه د کرنې مسلکي انسټیټوټ/‌ انستیتوت مسلکی زراعت دشت قلعه </t>
  </si>
  <si>
    <t>د امام صاحب د کثیرالرشتوي انسټیټوټ/‌ انستیتوت کثیرالرشتوی امام صاحب</t>
  </si>
  <si>
    <t>تخنیکي انسټیټوټ/‌ انستیتوت تخنیکی</t>
  </si>
  <si>
    <t xml:space="preserve">د نجونو د ادارې او‌حساب دارۍ انسټیټوټ/‌ انستیتوت اداره و حسابداری نسوان </t>
  </si>
  <si>
    <t xml:space="preserve">د خرم سارباغ د کرنې مسلکي انسټیټوټ/‌ انستیتوت مسلکی زراعت خرم سار باغ </t>
  </si>
  <si>
    <t>د کرنې مسلکي انسټیټوټ/‌ انستیتوت مسلکی زراعت</t>
  </si>
  <si>
    <t xml:space="preserve">د تيلو او‌گازو انسټیټوټ/‌ انستیتوت نفت و گاز </t>
  </si>
  <si>
    <t>د سجادیه تخنیکي او مسلکي انسټیټوټ/‌ انستیتوت تخنیکی و مسلکی سجادیه</t>
  </si>
  <si>
    <t>د نهرشاهي ساختماني انسټیټوټ/‌ انستیتوت ساختمانی نهرشاهی</t>
  </si>
  <si>
    <t>د کیمیاوي تکنالوژۍ انسټیټوټ/‌ انستیتوت تکنالوژی کیمیاوی</t>
  </si>
  <si>
    <t>د تيلو او‌گازو انسټیټوټ/‌ انستیتوت نفت وگاز</t>
  </si>
  <si>
    <t>د چغچران د نجونو کثیرالرشتوي انسټیټوټ/‌ انستیتوت کثیرالرشتوی نسوان چغچران</t>
  </si>
  <si>
    <t>د لعل سر جنګل کثیرالرشتوي انسټیټوټ/‌ انستیتوت کثیرالرشتوی لعل وسرجنگل</t>
  </si>
  <si>
    <t>د خدیر د کرنې او وترنرۍ انسټیټوټ/‌ انستیتوت زراعت و وترنری خدیر</t>
  </si>
  <si>
    <t>د نیلي تخنیکي او مسلکي انسټیټوټ/‌ انستیتوت تخنیکی و مسلکی نیلی</t>
  </si>
  <si>
    <t xml:space="preserve">د دامان د کرنې او وترنرۍ انسټیټوټ/‌ انستیتوت زراعت و وترنری دامان </t>
  </si>
  <si>
    <t>د میوند د کرنې مسلکي انسټیټوټ/‌ انستیتوت مسلکی زراعت میوند</t>
  </si>
  <si>
    <t xml:space="preserve">د سپین بولدک کثیرالرشتوي انسټیټوټ/‌ انستیتوت کثیرالرشتوی سپین بولدک </t>
  </si>
  <si>
    <t>د ژېړۍ کثیرالرشتوي انسټیټوټ/‌ انستیتوت کثیرالرشتوی ژری</t>
  </si>
  <si>
    <t>د ادارې او‌حسابدارۍ انسټیټوټ/‌ انستیتوت اداره و حسابداری</t>
  </si>
  <si>
    <t xml:space="preserve">د اندخوی کثیرالرشتوي انسټیټوټ/‌ انستیتوت کثیرالرشتوی اندخوی </t>
  </si>
  <si>
    <t xml:space="preserve">د کرنې مسلکي انسټیټوټ/‌ انستیتوت مسلکی زراعت </t>
  </si>
  <si>
    <t>د قیصار د‌کرنې مسلکي انسټیټوټ/‌ انستیتوت مسلکی زراعت قیصار</t>
  </si>
  <si>
    <t>د ناوه باریکزایی د کرنې انسټیټوټ/‌ انستیتوت زراعت ناوه باریکزایی</t>
  </si>
  <si>
    <t>د قلعه نو د کرنې مسلکي انسټیټوټ/‌ انستیتوت مسلکی زراعت قلعه نو</t>
  </si>
  <si>
    <t>د استاد کمال الدین بهزاد انسټیټوټ/‌ انستیتوت استاد کمال الدین بهزاد</t>
  </si>
  <si>
    <t>د کرخ کثیرالرشتوي انسټیټوټ/‌ انستیتوت کثیرالرشتوی کرخ</t>
  </si>
  <si>
    <t xml:space="preserve">د چغنسور کرنې مسلکي انسټیټوټ/‌ انستیتوت مسلکی زراعت چخانسور </t>
  </si>
  <si>
    <t>د ادارې او مدیریت ملي انسټیټوټ (نیما)/ انستیتوت ملی اداره و مدیریت نیما</t>
  </si>
  <si>
    <t>روشندلان مسلکي انسټیټوټ/ انسیتتوت مسلکی روشندال</t>
  </si>
  <si>
    <t>تخنیکي او مسلکي اکادمی‌/ ‌اکادمی تعلیمات تخنیکی و مسلکی</t>
  </si>
  <si>
    <t xml:space="preserve">سرچینه: د تخنیکي او مسلکي زده‌کړو اداره او د ملکي هوايي چلند اداره‌/ ‌منبع: اداره تعلیمات تخنیکی و مسلکی و هوانوردی ملکی </t>
  </si>
  <si>
    <t xml:space="preserve">سرچینه: د تخنیکي او مسلکي زده‌ کړو اداره/ منبع: اداره تعلیمات تخنیکی و مسلکی </t>
  </si>
  <si>
    <t xml:space="preserve">لېسه/ لیسه </t>
  </si>
  <si>
    <t>د شکردرې کثیرالرشتوي لېسه/ لیسه کثیر الرشتوی شکر دره</t>
  </si>
  <si>
    <t>د استالف کثیرالرشتوي لېسه/ لیسه کثیر الرشتوی استالیف</t>
  </si>
  <si>
    <t>د فرزې کثیرالرشتوي لېسه/ لیسه کثیر الرشتوی فرزه</t>
  </si>
  <si>
    <t>د موسهې کثیرالرشتوي لېسه/ لیسه کثیر الرشتوی موسهی</t>
  </si>
  <si>
    <t>د میربچه کوټ کثیرالرشتوي لېسه/ لیسه کثیر الرستوی میربچه کوت</t>
  </si>
  <si>
    <t>د چاریکار د زراعت مسلکي لېسه/ لیسه مسلکی زراعت چاریکار</t>
  </si>
  <si>
    <t>د سرخ پارسا کثیرالرشتوي لېسه/ لیسه کثیر الرشتوی سرخ پارسا</t>
  </si>
  <si>
    <t>د سیدآباد د زراعت مسلکي لېسه/ لیسه مسلکی زرعت سید آباد</t>
  </si>
  <si>
    <t>د میدان شهر د ځانګړو زده کړو لېسه/ لیسه تعلیمات خاص میدان شهر</t>
  </si>
  <si>
    <t xml:space="preserve">د پل علم  کلنګار میخانیکي لېسه/ لیسه میخانکی پل علم کلنگار </t>
  </si>
  <si>
    <t>د برکي برک کثیرالرشتوي لېسه/ لیسه کثیر الرشتوی بره کی برک</t>
  </si>
  <si>
    <t xml:space="preserve">د پل علم کلنګار د ځانګړو زده کړو لېسه/ لیسه تعلیمات خاص پل علم کلنگار </t>
  </si>
  <si>
    <t>د جلال آباد د ځانګړو زده کړو لېسه/ لیسه تعلیمات خاص جلال آباد</t>
  </si>
  <si>
    <t>د ده بالا هسکه مینه زراعت مسلکي لېسه/ لیسه مسلکی زراعت ده بالا هسکه مينه</t>
  </si>
  <si>
    <t>د بهسود د زراعت مسلکي لېسه/ لیسه مسلکی زراعت بهسود</t>
  </si>
  <si>
    <t>د بټی کوټ د زراعت مسلکي لېسه/ لیسه مسلکی زراعت بتی کوت</t>
  </si>
  <si>
    <t>د پچیر واګام د زراعت مسلکي لېسه/ لیسه مسلکی زراعت پچير و اگام</t>
  </si>
  <si>
    <t>د حصارک کثیرالرشتوي لېسه/ لیسه کثیرالرشتوی حصارک</t>
  </si>
  <si>
    <t>د خوګیانیو د زراعت مسلکي لېسه/ لیسه مسلکی زراعت خوگياني</t>
  </si>
  <si>
    <t>د رودات د زراعت مسلکي لېسه/ لیسه مسلکی زراعت رودات</t>
  </si>
  <si>
    <t xml:space="preserve">د سرخرود د زراعت مسلکي لېسه/ لیسه مسلکی زراعت سرخرود </t>
  </si>
  <si>
    <t>د شینوار غنی خیل د زراعت مسلکي لېسه/ لیسه مسلکی زراعت شينوار غني خيل</t>
  </si>
  <si>
    <t>د کوټ د زراعت مسلکي لېسه/ لیسه مسلکی زراعت كوت</t>
  </si>
  <si>
    <t>د نازیانو کثیرالرشتوي لېسه/ لیسه کثیرالرشتوی نازيان</t>
  </si>
  <si>
    <t>د کامې د زراعت مسلکي لېسه/ لیسه مسلکی زراعت کامه</t>
  </si>
  <si>
    <t>د دولت شاه تخنیکي لېسه/ لیسه تخنیکی دولت شاه</t>
  </si>
  <si>
    <t>د علیشنګ د زراعت مسلکي لېسه/ لیسه مسلکی زراعت علیشنگ</t>
  </si>
  <si>
    <t>د علینګار د زراعت مسلکي لېسه/ لیسه مسلکی زراعت علینگار</t>
  </si>
  <si>
    <t xml:space="preserve"> د مهترلام د ځانګړو زده کړو لېسه/ لیسه تعلیمات خاص مهترلام</t>
  </si>
  <si>
    <t>د مهترلام تخنیکي او مسلکي لېسه/ لیسه تخنیکی و مسلکی مهترلام</t>
  </si>
  <si>
    <t>د آبشار تخنیکي او مسلکي لېسه/ لیسه تخنیکی و مسلکی آبشار</t>
  </si>
  <si>
    <t>د درې تخنیکي لېسه/ لیسه تخنیکی دره</t>
  </si>
  <si>
    <t>د پریان تخنیکي او مسلکي لېسه/ لیسه تخنیکی و مسلکی پریان</t>
  </si>
  <si>
    <t xml:space="preserve">د ده صلاح کثیرالرشتوي لېسه/ لیسه کثیرالرشتوی ده صلاح </t>
  </si>
  <si>
    <t>د یکاولنګ نمبر ۲ کثیرالرشتوي لېسه/ لیسه کثیرالرشتوی یکاولنگ نمبر ۲</t>
  </si>
  <si>
    <t>د سیغان د زراعت مسلکي لېسه/ لیسه مسلکی زراعت سیغان</t>
  </si>
  <si>
    <t>د شیبر کثیرالرشتوي لېسه/ لیسه کثیرالرشتوی شیبر</t>
  </si>
  <si>
    <t>د ورس کثیرالرشتوي لېسه/ لیسه کثیرالرشتوی ورس</t>
  </si>
  <si>
    <t>د کهمرد د زراعت مسلکي لېسه/ لیسه مسلکی زراعت کهمرد</t>
  </si>
  <si>
    <t>د مرکز د ځانګړو زده کړو لېسه/ لیسه تعلیمات خاص مرکز</t>
  </si>
  <si>
    <t>د قره باغ کثیرالرشتوي لېسه/ لیسه کثیرالرشتوی قره باغ</t>
  </si>
  <si>
    <t>د قره باغ تخنیکي لېسه/ لیسه تخنیکی قره باغ</t>
  </si>
  <si>
    <t>د انډرو د زراعت مسلکي لېسه/ لیسه مسلکی زراعت اندر</t>
  </si>
  <si>
    <t>خواجه عمري د زراعت مسلکي لېسه/ لیسه مسلکی زراعت جواجه عمری</t>
  </si>
  <si>
    <t>د مرکز د ځانکړو زده کړو مسلکي لېسه/ لیسه تعلیمات خاص مسلکی مرکز</t>
  </si>
  <si>
    <t xml:space="preserve">د مقر کثیرالرشتوي لېسه/ لیسه کثیرالرشتوی مقر </t>
  </si>
  <si>
    <t>د جانی خیلو کثیرالرشتوي لېسه/ لیسه کثیرالرشتوی جاني خيل</t>
  </si>
  <si>
    <t xml:space="preserve"> د سروبي کثیرالرشتوي لېسه/ لیسه کثیرالرشتوی سروبی</t>
  </si>
  <si>
    <t xml:space="preserve"> د ارګون د زراعت مسلکي لېسه/ لیسه مسلکی زراعت ارگون</t>
  </si>
  <si>
    <t xml:space="preserve"> د خیرکوټ (زرغون شهر) کثیرالرشتوي لېسه/ لیسه کثیرالرشتوی خیرکوټ (زرغون شهر)</t>
  </si>
  <si>
    <t xml:space="preserve"> د مټاخان کثیرالرشتوي لېسه/ لیسه کثیرالرشتوی متاخان</t>
  </si>
  <si>
    <t xml:space="preserve"> د ډنډ پټان کثیرالرشتوي لېسه/ لیسه کثیرالرشتوی دند پټان</t>
  </si>
  <si>
    <t xml:space="preserve"> د احمد آباد رود کثیرالرشتوي لېسه/ لیسه کثیرالرشتوی رود احمد آباد</t>
  </si>
  <si>
    <t>د لجه احمد خیلو کثیرالرشتوي لېسه/ لیسه کثیرالرشتوی لجه احمد خيل</t>
  </si>
  <si>
    <t>د جانی خیلو (منګل) کثیرالرشتوي لېسه/ لیسه کثیرالرشتوی جاني خيل (منگل)</t>
  </si>
  <si>
    <t xml:space="preserve"> د زرمت تخنیکي او مسلکي لېسه/ لیسه تخنیکی و مسلکی زرمت</t>
  </si>
  <si>
    <t>د ځاځی ( آریوب) میخانیکي لېسه/ لیسه میخانیکی ځاځي ( آريوب)</t>
  </si>
  <si>
    <t>د سید کرم د زراعت مسلکي لېسه/ لیسه مسلکی زراعت سيد کرم</t>
  </si>
  <si>
    <t xml:space="preserve"> د میرزاکا کثیرالرشتوي لېسه/ لیسه کثیرالرشتوی میرزاکا</t>
  </si>
  <si>
    <t xml:space="preserve"> د وزې ځدران کثیرالرشتوي لېسه/ لیسه کثیرالرشتوی وزی ځدران</t>
  </si>
  <si>
    <t>د نادر شاه کوټ کثیرالرشتوي لېسه/ لیسه کثیرالرشتوی نادر شاه کوت</t>
  </si>
  <si>
    <t xml:space="preserve"> د مرکز د ځانګړو زده کړو لېسه/ لیسه تعلیمات خاص مرکز</t>
  </si>
  <si>
    <t>د اسمعیل خیل مندوزایې کثیرالرشتوي لېسه/ لیسه کثیرالرشتوی اسمعيل خيل مندوزایی</t>
  </si>
  <si>
    <t>د باک کثیرالرشتوي لېسه/ لیسه کثیرالرشتوی باک/ لیسه کثیرالرشتوی باک</t>
  </si>
  <si>
    <t>د تیرزائی کثیرالرشتوي لېسه/ لیسه کثیرالرشتوی تيرزائي</t>
  </si>
  <si>
    <t>د شمل (دوه منډه ) کثیرالرشتوي لېسه/ لیسه کثیرالرشتوی شمل (دوه منډه)</t>
  </si>
  <si>
    <t>د اسمار (برکنړ) د تجارت مسلکي لېسه/ لیسه مسلکی تجارت (برکنړ) اسمار</t>
  </si>
  <si>
    <t>د څوکۍ تخنیکي لېسه/ لیسه تخنیکی څوكي</t>
  </si>
  <si>
    <t>د نرنګ کثیرالرشتوي لېسه/ لیسه کثیرالرشتوی نرنګ</t>
  </si>
  <si>
    <t>د نورګل کثیرالرشتوي لېسه/ لیسه کثیرالرشتوی نورگل</t>
  </si>
  <si>
    <t>د وته پور د زراعت مسلکي لېسه/ لیسه مسلکی زراعت وته پور</t>
  </si>
  <si>
    <t>د شیګل شلتن تخنیکي لېسه/ لیسه تخنیکی شيگل شلتن</t>
  </si>
  <si>
    <t>د دوآب کثیرالرشتوي لېسه/ لیسه کثیرالرشتوی دوآب</t>
  </si>
  <si>
    <t>د نور ګرام (یاننګراج) د زراعت مسلکي لېسه/ لیسه مسلکی زراعت نورگرام (یاننگراج)</t>
  </si>
  <si>
    <t>د کامدیش د زراعت مسلکي لېسه/ لیسه مسلکی زراعت کامدیش</t>
  </si>
  <si>
    <t>د ارګو کثیرالرشتوي لېسه/ لیسه کثیرالرشتوی ارگو</t>
  </si>
  <si>
    <t>د شهر بزرګ کثیرالرشتوي لېسه/ لیسه کثیرالرشتوی شهر بزرگ</t>
  </si>
  <si>
    <t>داشکمش د زراعت او وترنری لېسه/ لیسه زراعت و وترنری اشکمش</t>
  </si>
  <si>
    <t>د بهارک د زراعت مسلکي لېسه/ لیسه مسلکی زراعت بهارک</t>
  </si>
  <si>
    <t>د خواجه غار کثیرالرشتوي لېسه/ لیسه کثیرالرشتوی خواجه غار</t>
  </si>
  <si>
    <t>د ورسج کثیرالرشتوي لېسه/ لیسه کثیرالرشتوی ورسج</t>
  </si>
  <si>
    <t>د مرکز د انجونو د تجارت مسلکي لېسه/ لیسه مسلکی تجارت نسوان مرکز</t>
  </si>
  <si>
    <t>د قلعه زال کثیرالرشتوي لېسه/ لیسه کثیرالرشتوی قلعه زال</t>
  </si>
  <si>
    <t>د چهاردرې کثیرالرشتوي لېسه/ لیسه کثیرالرشتوی چهاردره</t>
  </si>
  <si>
    <t>د خان آباد کثیرالرشتوي لېسه/ لیسه کثیرالرشتوی خان آباد</t>
  </si>
  <si>
    <t>د علی آباد د زراعت مسلکي لېسه/ لیسه مسلکی زراعت علی آباد</t>
  </si>
  <si>
    <t>حضرت سلطان د زراعت مسلکي لېسه/ لیسه مسلکی زراعت حضرت سلطان</t>
  </si>
  <si>
    <t>د کوز دره صوف د زراعت مسلکي لېسه/ لیسه مسلکی زراعت دره صوف پائين</t>
  </si>
  <si>
    <t>د فیروز نخچیر کثرالرشتوي لېسه/ لیسه کثیرالرشتوی فيروز نخچير</t>
  </si>
  <si>
    <t>د بلخ د زراعت مسلکي لېسه/ لیسه مسلکی زراعت بلخ</t>
  </si>
  <si>
    <t>د چاربولک کثیرالرشتوي لېسه/ لیسه کثیرالرشتوی چاربولک</t>
  </si>
  <si>
    <t>د چارکنت کثیرالرشتوي لېسه/ لیسه کثیرالرشتوی چارکنت</t>
  </si>
  <si>
    <t>د چمتال کثیرالرشتوي لېسه/ لیسه کثیرالرشتوی چمتال</t>
  </si>
  <si>
    <t>د خلم کثیرالرشتوي لېسه/ لیسه کثیرالرشتوی خلم</t>
  </si>
  <si>
    <t>د دولت آباد د زراعت مسلکی لېسه/ لیسه مسلکی زراعت دولت آباد</t>
  </si>
  <si>
    <t>د شولګره کثیرالرشتوي لېسه/ لیسه کثیرالرشتوی شولگره</t>
  </si>
  <si>
    <t>د صیاد تخنیکي لېسه/ لیسه تخنیکی صیاد</t>
  </si>
  <si>
    <t>د بلخاب د زراعت مسلکي لېسه/ لیسه مسلکی زراعت بلخاب</t>
  </si>
  <si>
    <t>د سنچارک د زراعت مسلکي لېسه/ لیسه مسلکی زراعت سنچارک</t>
  </si>
  <si>
    <t>د سوزمه قلعه کثیرالرشتوي لېسه/ لیسه کثیرالرشتوی سوزمه قلعه</t>
  </si>
  <si>
    <t>د ګوسفندی کثیرالرشتوي لېسه/ لیسه کثیرالرشتوی گوسفندي</t>
  </si>
  <si>
    <t>د تیوره کثیرالرشتوي لېسه/ لیسه کثیرالرشتوی تیوره</t>
  </si>
  <si>
    <t>د دولتیار کثیرالرشتوي لېسه/ لیسه کثیرالرشتوی دولتیار</t>
  </si>
  <si>
    <t>د اشترلي کثیرالرشتوي لېسه/ لیسه کثیرالرشتوی اشترلی</t>
  </si>
  <si>
    <t>د شهرستان کثیرالرشتوي لېسه/ لیسه کثیرالرشتوی شهرستان</t>
  </si>
  <si>
    <t>د میرامور د زراعت مسلکي لېسه/ لیسه مسلکی زراعت میرامور</t>
  </si>
  <si>
    <t>د کجران د زراعت مسلکي لېسه/ لیسه مسلکی زراعت کجران</t>
  </si>
  <si>
    <t>د کیتي د زراعت مسلکي لېسه/ لیسه مسلکی زراعت کیتی</t>
  </si>
  <si>
    <t>د خاص ارزګان کثیرالرشتوي لېسه/ لیسه کثیرالرشتوی خاص ارزگان</t>
  </si>
  <si>
    <t>د چوره د زراعت مسلکي لېسه/ لیسه مسلکی زراعت چوره</t>
  </si>
  <si>
    <t>د دهراود د زراعت مسلکي لېسه/ لیسه مسلکی زراعت دهراود</t>
  </si>
  <si>
    <t>د ارغنداب کثیرالرشتوي لېسه/ لیسه کثیرالرشتوی ارغنداب</t>
  </si>
  <si>
    <t>د شاه جوی د زراعت مسلکي لېسه/ لیسه مسلکی زراعت شاه چوی</t>
  </si>
  <si>
    <t>د نوبهار د زراعت مسلکي لېسه/ لیسه مسلکی زراعت نوبهار</t>
  </si>
  <si>
    <t>د شنکي کثیرالرشتوي لېسه/ لیسه کثیرالرشتوی شنکي</t>
  </si>
  <si>
    <t>د پنجوائي د تجارت لېسه/ لیسه تجارت پنجوائي</t>
  </si>
  <si>
    <t>د مرکز د تجارت مسلکي لېسه/ لیسه مسلکی تجارت مرکز</t>
  </si>
  <si>
    <t xml:space="preserve"> د شورابک تخنیکي لېسه/ لیسه تخنیکی شورابک</t>
  </si>
  <si>
    <t xml:space="preserve"> د ارغنداب د زراعت مسلکي لېسه/ لیسه مسلکی زراعت ارغنداب</t>
  </si>
  <si>
    <t>د شاه ولی کوټ کثیرالرشتوي لېسه/ لیسه کثیرالرشتوی شاه ولي کوت</t>
  </si>
  <si>
    <t>د مرکز د میوو ساتلو لېسه/ لیسه حفظ میوه مرکز</t>
  </si>
  <si>
    <t>د خواجه دوکوه کثیرالرشتوي لېسه/ لیسه کثیرالرشتوی خواجه دوکوه</t>
  </si>
  <si>
    <t>د درزآب کثیرالرشتوي لېسه/ لیسه کثیرالرشتوی درزآب</t>
  </si>
  <si>
    <t>د آقچه د زراعت مسلکي لېسه/ لیسه مسلکی زراعت آقچه</t>
  </si>
  <si>
    <t>د فیض آباد د زراعت مسلکي لېسه/ لیسه مسلکی زراعت فيض آباد</t>
  </si>
  <si>
    <t>د قوش تیپه د زراعت مسلکي لېسه/ لیسه مسلکی زراعت قوش تیپه</t>
  </si>
  <si>
    <t>د خان چارباغ کثیرالرشتوي لېسه/ لیسه کثیرالرشتوی خان چارباغ</t>
  </si>
  <si>
    <t>د پشتون کوټ کثیرالرشتوي لېسه/ لیسه کثیرالرشتوی پشتون کوت</t>
  </si>
  <si>
    <t>المار کثیرالرشتوي لېسه/ لیسه کثیرالرشتوی المار</t>
  </si>
  <si>
    <t>د بلچراغ د زراعت مسلکي لېسه/ لیسه مسلکی زراعت بلچراغ</t>
  </si>
  <si>
    <t>د خواجه سبز پوش کثیرالرشتوي لېسه/ لیسه کثیرالرشتوی خواجه سبز پوش</t>
  </si>
  <si>
    <t>د دولت آباد د زراعت مسلکي لېسه/ لیسه مسلکی زراعت دولت آباد</t>
  </si>
  <si>
    <t>شاکر کارګر قرغان کثیرالرشتوي لېسه/ لیسه کثیرالرشتوی شاکر کارگر قرغان</t>
  </si>
  <si>
    <t>د قرمقول کثیرالرشتوي لېسه/ لیسه کثیرالرشتوی قرمقول</t>
  </si>
  <si>
    <t>د ګرزیوان د زراعت مسلکي لېسه/ لیسه مسلکی زراعت گرزيوان</t>
  </si>
  <si>
    <t>د ګرشګ (نهر سراج) میخانیکي لېسه/ لیسه میخانیکی گرشگ (نهر سراج)</t>
  </si>
  <si>
    <t>د مرکز میخانیکي لېسه/ لیسه میخانیکی مرکز</t>
  </si>
  <si>
    <t>د نادعلي تخنیکي لېسه/ لیسه تخنیکی نادعلی</t>
  </si>
  <si>
    <t>د سنګین د زراعت مسلکي لېسه/ لیسه مسلکی زراعت سنگین</t>
  </si>
  <si>
    <t>د ګرشګ (نهر سراج ) د زراعت لېسه/ لیسه زراعت گرشگ ( نهر سراج)</t>
  </si>
  <si>
    <t>د ګرمسیر(هزار جفت) د زراعت مسلکي لېسه/ لیسه مسلکی زراعت گرمسیر (هزار جفت)</t>
  </si>
  <si>
    <t xml:space="preserve">د مارجه د زراعت مسلکي لېسه/ لیسه مسلکی زراعت مارجه </t>
  </si>
  <si>
    <t>د موسي قلعه کثیرالرشتوي لېسه/ لیسه کثیرالرشتوی موسی قلعه</t>
  </si>
  <si>
    <t>د نادعلي د زراعت مسلکي لېسه/ لیسه مسلکی زراعت نادعلی</t>
  </si>
  <si>
    <t xml:space="preserve"> د آب کمری کثیرالرشتوي لېسه/ لیسه کثیرالرشتوی آب کمری</t>
  </si>
  <si>
    <t>د جوند کثیرالرشتوي لېسه/ لیسه کثیرالرشتوی جوند</t>
  </si>
  <si>
    <t>د قادس د زراعت  مسلکي لېسه/ لیسه مسلکی زراعت قادس</t>
  </si>
  <si>
    <t>د مرغاب د زراعت مسلکي لېسه/ لیسه مسلکی زراعت  مرغاب</t>
  </si>
  <si>
    <t>د غوریان تخنیکي لېسه/ لیسه تخنیکی غوريان</t>
  </si>
  <si>
    <t>د مرکز د روشندلان مسلکي لېسه/ لیسه مسلکی روشندلان مرکز</t>
  </si>
  <si>
    <t>د مرکز د کڼو لېسه/ لیسه ناشنوايان مرکز</t>
  </si>
  <si>
    <t>د پشتون زرغون کثیرالرشتوي لېسه/ لیسه کثیرالرشتوی پشتون زرغون</t>
  </si>
  <si>
    <t>د زنده جان د زراعت مسلکي لېسه/ لیسه مسلکی زراعت زنده جان</t>
  </si>
  <si>
    <t>د کهسان کثیرالرشتوي لېسه/ لیسه کثیرالرشتوی کهسان</t>
  </si>
  <si>
    <t>د پرچمن کثیرالرشتوي لېسه/ لیسه کثیرالرشتوی پرچمن</t>
  </si>
  <si>
    <t>د پشت کوه (قلعه ګاه ) کثیرالرشتوي لېسه/ لیسه کثیرالرشتوی پشت کوه ( قعله گاه)</t>
  </si>
  <si>
    <t>د ګلستان د ادارې او تجارت لېسه/ لیسه اداره و تجارت گلستان</t>
  </si>
  <si>
    <t>د لاش جوین کثیرالرشتوي لېسه/ لیسه کثیرالرشتوی لاش جوين</t>
  </si>
  <si>
    <t>د انار درې د زراعت مسلکي لېسه/ لیسه مسلکی زراعت انار دره</t>
  </si>
  <si>
    <t>د بالابلوک د زراعت مسلکي لېسه/ لیسه مسلکی زراعت بالابلوک</t>
  </si>
  <si>
    <t xml:space="preserve">د شیب کوه (قلعه ګاه) کثیرالرشتوي لېسه/ لیسه کثیرالرشتوی شيب کوه (قلعه گاه) </t>
  </si>
  <si>
    <t>د پشترود د زراعت مسلکي لېسه/ لیسه مسلکی زراعت پشترود</t>
  </si>
  <si>
    <t>د مرکز د انجونو کثیرالرشتوي لېسه/ لیسه کثیرالرشتوی نسوان مرکز</t>
  </si>
  <si>
    <t>د مرکز تخنیکي لېسه/ لیسه تخنیکی مرکز</t>
  </si>
  <si>
    <t xml:space="preserve"> د خاشرود د زراعت مسلکي لېسه/ لیسه مسلکی زراعت خاشرود</t>
  </si>
  <si>
    <t xml:space="preserve"> د دلارام د زراعت مسلکي لېسه/ لیسه مسلکی زراعت دلارام</t>
  </si>
  <si>
    <t>د ګنګ د زراعت مسلکي لېسه/ لیسه مسلکی زراعت گنگ</t>
  </si>
  <si>
    <t>د مرکز د زراعت مسلکي لېسه/ لیسه مسلکی زراعت مرکز</t>
  </si>
  <si>
    <t>د خواهان د زراعت مسلکي لېسه/ لیسه مسلکی زراعت خواهان</t>
  </si>
  <si>
    <t xml:space="preserve">د دارالحفاظو نو ښوونکي‌/ معلمان دارالحفاظ‌ها  </t>
  </si>
  <si>
    <t>Emarate schools</t>
  </si>
  <si>
    <t>Emarate and private schools</t>
  </si>
  <si>
    <t>Source: Technical Vocational Education and Training Authority</t>
  </si>
  <si>
    <t>Total emirate students</t>
  </si>
  <si>
    <t>Emirate teachers</t>
  </si>
  <si>
    <t>Type of school</t>
  </si>
  <si>
    <t>فارغ</t>
  </si>
  <si>
    <t xml:space="preserve"> هلک/ پسر</t>
  </si>
  <si>
    <t xml:space="preserve">  نجلي/ دختر</t>
  </si>
  <si>
    <t>….</t>
  </si>
  <si>
    <t>..</t>
  </si>
  <si>
    <t>3*</t>
  </si>
  <si>
    <t>4*</t>
  </si>
  <si>
    <t>6*</t>
  </si>
  <si>
    <t>10*</t>
  </si>
  <si>
    <t>1-10*</t>
  </si>
  <si>
    <t>2-10*</t>
  </si>
  <si>
    <t xml:space="preserve">*يادښت: د دې احصاييوي کالنۍ د نشر تر وخته پورې  د پولې بهر افغان زده‌ کوونکي، د امارتي زده‌ کړو فارغ شوي، ښوونځېو په لمړي تولګي کي نوي شامل شوي او  د اسلامی امارتي اوخصوصي زده کوونکي  د ۱۴۰۲ کال  ارقام  نه دي رسېدلي./ یاداشت: ارقام  متعلمین افغان خارج مرز،  فارغان تعلیمات امارتی، شاملان  صنف اول مکاتب  شاگران مدارس اسلامی امارتی وخصوصی  سال ۱۴۰۲ تا زمان نشراین سالنامه در دسترس قرار نگرفته است. </t>
  </si>
  <si>
    <t>*Note: The Afghan students abroad, Emirate education graduates, Enrolled Students  in grade one and Islamic Emirate and Private data for 2023-24 have not been reported  until the publishing of this yearbook.</t>
  </si>
  <si>
    <t>Note: Number of Institutes data for  2023-24 have not been reported  until the publishing of this yearbook.</t>
  </si>
  <si>
    <t xml:space="preserve">يادښت: د دې احصاييوي کالنۍ د نشر تر وخته پورې د یوشمېر انسټیتونو د ۱۴۰۲ کال  ارقام  نه دي رسېدلي./یاداشت: ارقام یک تعداد انسیتتوت ها سال ۱۴۰۲ تا زمان نشراین سالنامه در دسترس قرار نگرفته است. </t>
  </si>
  <si>
    <t xml:space="preserve">يادښت: د دې احصاييوي کالنۍ د نشر تر وخته پورې د لیلې شمېر  د ۱۴۰۲ کال  ارقام  نه دي رسېدلي./یاداشت: ارقام  تعداد لیله سال ۱۴۰۲ تا زمان نشراین سالنامه در دسترس قرار نگرفته است. </t>
  </si>
  <si>
    <t>Note: No.of Dormitorie data for  2023-24 have not been reported  until the publishing of this yearbook.</t>
  </si>
  <si>
    <t>5*</t>
  </si>
  <si>
    <t>افغان نړيوال اسلامي پوهنتون‌/ پوهنتون بین المللي اسلامی افغان</t>
  </si>
  <si>
    <t>Afghan Islamic international university</t>
  </si>
  <si>
    <t xml:space="preserve">يادښت: د دې احصاييوي کالنۍ د نشر تر وخته پورې  افغان نړيوال اسلامي پوهنتون‌ د ۱۴۰۲ کال  ارقام  نه دي رسېدلي./یاداشت: ارقام پوهنتون اسلامی بین الملی افغان سال ۱۴۰۲ تا زمان نشراین سالنامه در دسترس قرار نگرفته است. </t>
  </si>
  <si>
    <t>Note:  The Afghan Islamic international universitydata for  2023-24 have not been reported  until the publishing of this yearbook.</t>
  </si>
  <si>
    <t xml:space="preserve">
</t>
  </si>
  <si>
    <t xml:space="preserve">يادښت: د دې احصاييوي کالنۍ د نشر تر وخته پورې  افغان نړيوال اسلامي پوهنتون، بغلان، بدخشان، کندوز، بلخ، پنجشیر، سمنګان، ډايکنډي او نورستان پوهنتونونو/ لوړو زده کړو  د ۱۴۰۲ کال  ارقام  نه دي رسېدلي./یاداشت: ارقام پوهنتون اسلامی بین الملی افغان، بدخشان، کندز، بلخ، پنجشیر، دایکندی و نورستان سال ۱۴۰۲ تا زمان نشراین سالنامه در دسترس قرار نگرفته است. </t>
  </si>
  <si>
    <t>Note:  The Afghan Islamic international, Baghlan, Badakhshan, Kunduz,Balkh, Panjshir,Samangan,Daykundi and Nooristan Unversity/higher education institution data for  2023-24 have not been reported  until the publishing of this yearbook.</t>
  </si>
  <si>
    <t xml:space="preserve">Sayed Jamaluddin afghan  university - Kunar </t>
  </si>
  <si>
    <t>د دارالعلومونو نوي شامل شوي‌/ جدید الشمولان دارالعلوم‌ها</t>
  </si>
  <si>
    <t xml:space="preserve">Darul Uloom New Enrolled Students </t>
  </si>
  <si>
    <t xml:space="preserve">Quran memorization Teachers </t>
  </si>
  <si>
    <t xml:space="preserve">Memorize of Quran New Enrolled students </t>
  </si>
  <si>
    <r>
      <t xml:space="preserve"> </t>
    </r>
    <r>
      <rPr>
        <sz val="12"/>
        <color theme="1"/>
        <rFont val="Times New Roman"/>
        <family val="1"/>
      </rPr>
      <t xml:space="preserve">په </t>
    </r>
    <r>
      <rPr>
        <sz val="12"/>
        <color theme="1"/>
        <rFont val="B Nazanin"/>
        <charset val="178"/>
      </rPr>
      <t>1402</t>
    </r>
    <r>
      <rPr>
        <sz val="12"/>
        <color theme="1"/>
        <rFont val="Times New Roman"/>
        <family val="1"/>
      </rPr>
      <t>کال کې د خصوصي پوهنتونونو/‌ لوړو زده‌ کړو موسسو د محصلينو، نويو شامل شويو او استادانو شمېر د جنس او ‌ولایت په توپیر (تن)</t>
    </r>
  </si>
  <si>
    <r>
      <t>تعداد محصلان، جدید الشمولان و‌استادان پوهنتون‌ها/ موسسات تحصیلات عالی خصوصی به تفکیک جنس و ولایت طی سال‌</t>
    </r>
    <r>
      <rPr>
        <sz val="12"/>
        <color theme="1"/>
        <rFont val="B Nazanin"/>
        <charset val="178"/>
      </rPr>
      <t xml:space="preserve">1402 </t>
    </r>
    <r>
      <rPr>
        <sz val="12"/>
        <color theme="1"/>
        <rFont val="Times New Roman"/>
        <family val="1"/>
      </rPr>
      <t>(نفر)</t>
    </r>
  </si>
  <si>
    <t xml:space="preserve"> Number of Students, New Enrolled‌-‌Students and Teachers in Private Universities‌/ ‌Higher Education Institutions by Sex and Province -2023-24 (Person)</t>
  </si>
  <si>
    <r>
      <t xml:space="preserve">  </t>
    </r>
    <r>
      <rPr>
        <sz val="12"/>
        <color theme="1"/>
        <rFont val="Times New Roman"/>
        <family val="1"/>
      </rPr>
      <t xml:space="preserve"> په امارتي پوهنتونونو/‌ لوړو زده ‌کړو موسسو ‌کې په لیليوکي د شاملو کسانو شمېر د پوهنتون، جنس، کال او ولایت په توپیر(تن)</t>
    </r>
  </si>
  <si>
    <r>
      <t xml:space="preserve">  </t>
    </r>
    <r>
      <rPr>
        <sz val="12"/>
        <color theme="1"/>
        <rFont val="Times New Roman"/>
        <family val="1"/>
      </rPr>
      <t>تعداد شاملین لیليه‌های پوهنتون‌ها‌/ موسسات تحصیلات عالی امارتی به تفکیک پوهنتون، جنس، سال و ولایت (نفر)</t>
    </r>
  </si>
  <si>
    <t>Number of ‌Dormitories Inmates in Emirate Universities‌/ Higher Education Institutions by Sex, Year and Province (Person)</t>
  </si>
  <si>
    <t xml:space="preserve">  په امارتي پوهنتونونو/ لوړو زده ‌کړو موسسو کې د استادانو شمېرد جنس، کال او ولایت په توپیر(تن)</t>
  </si>
  <si>
    <t xml:space="preserve"> تعداد استادان پوهنتون‌ها/ مؤ سسات تحصیلات عالی امارتی به تفکیک جنس، سال و ولایت (نفر)</t>
  </si>
  <si>
    <t xml:space="preserve"> Number of Teachers in Emirate Universities/ Higher Education Institutions by Sex,Year and Province (Person)  </t>
  </si>
  <si>
    <r>
      <t xml:space="preserve"> </t>
    </r>
    <r>
      <rPr>
        <sz val="12"/>
        <color theme="1"/>
        <rFont val="Times New Roman"/>
        <family val="1"/>
      </rPr>
      <t xml:space="preserve"> په امارتي پوهنتونونو/ لوړو زده‌کړو موسسوڅخه د فارغ شویو کسانو شمېر د پوهنځيو، جنس او کال په توپير(تن) </t>
    </r>
  </si>
  <si>
    <t xml:space="preserve"> تعداد فارغان پوهنتون‌ها/ موسسات تحصیلات عالی امارتی به تفکیک پوهنځی، جنس و سال‌(نفر)</t>
  </si>
  <si>
    <t xml:space="preserve">Number of Emirate Universities/ Higher Education Institutions Graduates by Faculty, Sex and Year (Person)  </t>
  </si>
  <si>
    <t xml:space="preserve">  Number of Emirate Universities/ Higher Education Institutions Graduates by Sex,Year  and Province (person)</t>
  </si>
  <si>
    <t xml:space="preserve"> په امارتي پوهنتونونو/ لوړو زده کړو موسسو څخه د فارغ شويو کسانو شمېر د جنس، کال او ولایت په توپير(تن)</t>
  </si>
  <si>
    <t xml:space="preserve"> تعداد فارغان پوهنتون‌ها‌/ موسسات تحصیلات عالی امارتی به تفکیک جنس، سال و ولایت  (نفر)</t>
  </si>
  <si>
    <t xml:space="preserve"> په امارتی پوهنتونونو/ لوړو زده کړو موسسو کې نوي شامل شوي د پوهنځيو، جنس او کال په توپير(تن)</t>
  </si>
  <si>
    <t xml:space="preserve"> تعداد جدیدالشمولان در پوهنتون‌ها‌/ موسسات تحصیلات عالی امارتی به تفکیک پوهنځی، جنس وسال (نفر)</t>
  </si>
  <si>
    <t xml:space="preserve"> Number of New Enrolled -Students in Emirate Universities/ Higher Education Institutions by Faculty, Sex and Year (Person)</t>
  </si>
  <si>
    <t xml:space="preserve"> په امارتی پوهنتونونو/ لوړو زده ‌کړو مؤ سسو کې نويو شامل شويو شمېر د جنس، کال او ولایت په تو پیر (تن)</t>
  </si>
  <si>
    <t xml:space="preserve"> تعداد جدیدالشمولان پوهنتون‌ها‌/ موسسات تحصیلات عالی امارتی به تفکیک جنس، سال و ولایت ‌(نفر)</t>
  </si>
  <si>
    <r>
      <t xml:space="preserve">Number of New Enrolled - Students in </t>
    </r>
    <r>
      <rPr>
        <sz val="12"/>
        <color theme="1"/>
        <rFont val="Times New Roman"/>
        <family val="1"/>
      </rPr>
      <t>Emirate</t>
    </r>
    <r>
      <rPr>
        <sz val="12"/>
        <rFont val="Times New Roman"/>
        <family val="1"/>
      </rPr>
      <t xml:space="preserve"> Universities/‌ Higher Education Institutions by Sex, Year and Province (Person)                       </t>
    </r>
  </si>
  <si>
    <t xml:space="preserve"> په امارتی پوهنتونونو/ لوړو زده کړو مؤ سسو کی د محصلينو شمېرد پوهنځيو، جنس او کال په تو پیر(تن)</t>
  </si>
  <si>
    <r>
      <t xml:space="preserve"> </t>
    </r>
    <r>
      <rPr>
        <sz val="12"/>
        <color theme="1"/>
        <rFont val="Times New Roman"/>
        <family val="1"/>
      </rPr>
      <t>تعداد محصلان پوهنتون‌ها/ موسسات تحصیلات عالی امارتی به تفکیک پوهنځی، جنس و سال (نفر)</t>
    </r>
  </si>
  <si>
    <t xml:space="preserve"> Number of Students in Emirate Universities/ Higher Education Institutions by Faculty, sex, and Year (Person)</t>
  </si>
  <si>
    <t xml:space="preserve">: په امارتی پوهنتونونو/ لوړو زده کړو مؤسسو د محصلينو شمېرد جنس، کال او ‌ولایت په توپیر(تن) </t>
  </si>
  <si>
    <r>
      <rPr>
        <sz val="12"/>
        <color theme="1"/>
        <rFont val="B Nazanin"/>
        <charset val="178"/>
      </rPr>
      <t xml:space="preserve"> </t>
    </r>
    <r>
      <rPr>
        <sz val="12"/>
        <color theme="1"/>
        <rFont val="Times New Roman"/>
        <family val="1"/>
      </rPr>
      <t>تعداد محصلان  پوهنتون‌ها‌/‌ موسسات تحصیلات عالی امارتی به تفکیک جنس، سال و ‌ولایت (نفر)</t>
    </r>
  </si>
  <si>
    <t>Number of Students in Emirate Universities‌/ Higher Education Institutions by Sex,‌Year and Province (Person)</t>
  </si>
  <si>
    <r>
      <t xml:space="preserve"> </t>
    </r>
    <r>
      <rPr>
        <sz val="12"/>
        <color theme="1"/>
        <rFont val="Times New Roman"/>
        <family val="1"/>
      </rPr>
      <t>په‌ امارتي او خصوصي لوړو زده‌ کړو د پوهنتونونو/ لوړو زده‌ کړو مؤسسو، پوهنځیو، محصلینو او استادانو شمېرد کال په توپیر (باب/ تن)</t>
    </r>
  </si>
  <si>
    <t>تعداد پوهنتون‌ها‌/‌ موسسات تحصیلات عالی، پوهنځی‌ها، محصلان و‌استادان تحصیلات عالی امارتی و‌ خصوصی به تفکیک سال (باب / نفر)</t>
  </si>
  <si>
    <t xml:space="preserve"> Number of Universities/ Higher Education Institutions, Faculties, Students and Teachers in Emirate and Private Higher Education by Year (Unit / Person)</t>
  </si>
  <si>
    <r>
      <t xml:space="preserve"> </t>
    </r>
    <r>
      <rPr>
        <sz val="12"/>
        <color theme="1"/>
        <rFont val="Times New Roman"/>
        <family val="1"/>
      </rPr>
      <t xml:space="preserve"> په روغتیاي علومو انسټیټوټونو، محصلينو، نوي شامل شويو، فارغ شويو او ښوونکو شمېر د جنس اوکال په توپیر (باب‌/‌تن)</t>
    </r>
  </si>
  <si>
    <t xml:space="preserve"> تعداد انستیتوت‌ها، محصلان، جدیدالشمولان، فارغان و استادان انستیتوت‌های علوم صحی به تفکیک جنس و سال (باب‌/‌نفر)</t>
  </si>
  <si>
    <t xml:space="preserve"> Number of Institutions Students, New Enrolled - Students, Graduates and Teacher of Medical Science Institutions by Sex and Year (Unit‌/‌Person)</t>
  </si>
  <si>
    <r>
      <t xml:space="preserve"> </t>
    </r>
    <r>
      <rPr>
        <sz val="12"/>
        <color theme="1"/>
        <rFont val="Times New Roman"/>
        <family val="1"/>
      </rPr>
      <t xml:space="preserve"> د </t>
    </r>
    <r>
      <rPr>
        <sz val="12"/>
        <color theme="1"/>
        <rFont val="B Nazanin"/>
        <charset val="178"/>
      </rPr>
      <t>1402</t>
    </r>
    <r>
      <rPr>
        <sz val="12"/>
        <color theme="1"/>
        <rFont val="Times New Roman"/>
        <family val="1"/>
      </rPr>
      <t xml:space="preserve"> کال کې د تخنیکي او مسلکي زده‌ کړو د ليليو او پکې د شامل شويو کسانو شمېر د جنس او ‌ولايت په توپير (باب‌/‌تن)</t>
    </r>
  </si>
  <si>
    <r>
      <t xml:space="preserve"> تعداد و شاملین لیلیه‌های اداره تعلیمات تخنیکی و مسلکی به تفکیک جنس و ‌ولایت در سال‌</t>
    </r>
    <r>
      <rPr>
        <sz val="12"/>
        <rFont val="B Nazanin"/>
        <charset val="178"/>
      </rPr>
      <t>1402</t>
    </r>
    <r>
      <rPr>
        <sz val="12"/>
        <rFont val="Times New Roman"/>
        <family val="1"/>
      </rPr>
      <t xml:space="preserve"> (باب‌/‌نفر)</t>
    </r>
  </si>
  <si>
    <t xml:space="preserve"> Number of  Dormitories and Inmates in Technical Vocational Education and Training  Authority by Sex and Province Year 2023-24 (Person‌/‌Unit)</t>
  </si>
  <si>
    <r>
      <t xml:space="preserve"> </t>
    </r>
    <r>
      <rPr>
        <sz val="12"/>
        <color theme="1"/>
        <rFont val="Times New Roman"/>
        <family val="1"/>
      </rPr>
      <t xml:space="preserve"> د </t>
    </r>
    <r>
      <rPr>
        <sz val="12"/>
        <color theme="1"/>
        <rFont val="B Nazanin"/>
        <charset val="178"/>
      </rPr>
      <t>1402</t>
    </r>
    <r>
      <rPr>
        <sz val="12"/>
        <color theme="1"/>
        <rFont val="Times New Roman"/>
        <family val="1"/>
      </rPr>
      <t xml:space="preserve"> کال کې د خصوصي مسلکي او تخنیکي انستیتوتونو د محصلینو او استادانو شمېر د جنس او ‌ولايت په توپير (تن)</t>
    </r>
  </si>
  <si>
    <r>
      <t xml:space="preserve"> تعداد محصلان و استادان انستیتوت‌های تخنیکی و مسلکی خصوصی به تفکیک جنس و ‌ولایت ‌سال ‌</t>
    </r>
    <r>
      <rPr>
        <sz val="12"/>
        <color theme="1"/>
        <rFont val="B Nazanin"/>
        <charset val="178"/>
      </rPr>
      <t xml:space="preserve">1402 </t>
    </r>
    <r>
      <rPr>
        <sz val="12"/>
        <color theme="1"/>
        <rFont val="Times New Roman"/>
        <family val="1"/>
      </rPr>
      <t>(نفر)</t>
    </r>
  </si>
  <si>
    <t xml:space="preserve"> Number of Students and Teachers in Private Technical Vocational Institutions by Sex and Province Year 2023-24 (person)</t>
  </si>
  <si>
    <r>
      <t xml:space="preserve"> د </t>
    </r>
    <r>
      <rPr>
        <sz val="12"/>
        <rFont val="B Nazanin"/>
        <charset val="178"/>
      </rPr>
      <t>1402</t>
    </r>
    <r>
      <rPr>
        <sz val="12"/>
        <rFont val="Times New Roman"/>
        <family val="1"/>
      </rPr>
      <t xml:space="preserve"> کال د امارتي تخنیکي او مسلکي انسټیټوټونو محصلینو، نویو شامل شویو، فارغانو او استادانو شمېر د جنس او ولایت په توپیر(تن)</t>
    </r>
  </si>
  <si>
    <r>
      <t xml:space="preserve"> تعداد محصلان، جدیدالشمولان، فارغان و استادان انستیتوت‌ های تخنیکی و مسلکی امارتی به‌ تفکیک جنس و ولایت ‌سال‌ </t>
    </r>
    <r>
      <rPr>
        <sz val="12"/>
        <rFont val="B Nazanin"/>
        <charset val="178"/>
      </rPr>
      <t xml:space="preserve">1402 </t>
    </r>
    <r>
      <rPr>
        <sz val="12"/>
        <rFont val="Times New Roman"/>
        <family val="1"/>
      </rPr>
      <t>(نفر)</t>
    </r>
  </si>
  <si>
    <r>
      <t xml:space="preserve"> Number of  Students, New Enrolled - Students, Graduates and Teachers in </t>
    </r>
    <r>
      <rPr>
        <sz val="12"/>
        <color theme="1"/>
        <rFont val="Times New Roman"/>
        <family val="1"/>
      </rPr>
      <t>Emirate</t>
    </r>
    <r>
      <rPr>
        <sz val="12"/>
        <color rgb="FFFF0000"/>
        <rFont val="Times New Roman"/>
        <family val="1"/>
      </rPr>
      <t xml:space="preserve"> </t>
    </r>
    <r>
      <rPr>
        <sz val="12"/>
        <rFont val="Times New Roman"/>
        <family val="1"/>
      </rPr>
      <t>Technical Vocational Institutions by Sex and province Year 2023-24 (Person)</t>
    </r>
  </si>
  <si>
    <t xml:space="preserve"> د تخنیکي اومسلکي تعلیماتو انسټیتوټونو، محصلینو، نویو شامل شویو، فارغ شویو او ښوونکو شمېرد کال په توپیر (باب‌/‌‌تن)</t>
  </si>
  <si>
    <t xml:space="preserve"> تعداد انستیتوت‌ها، محصلان، جدید الشمولان، فارغان و استادان انستیتوت‌‌های تخنیکی ومسلکی به تفکیک سال (باب‌/‌نفر)</t>
  </si>
  <si>
    <t xml:space="preserve">Number of Institutions, Students, New Enrolled - Students Graduates and Teachers of Technical Vocatioanal Education by Year (Unit‌/‌Person) </t>
  </si>
  <si>
    <t xml:space="preserve"> د ۱۴۰۲کال د مسلکي او حرفوي لېسو، زده‌ کوونکو، نویو شامل شويو، فارغ شویو او ښوونکو شمېر‌د ولایت په توپیر ‌(باب‌/‌تن)</t>
  </si>
  <si>
    <t>تعداد لیسه‌ها، متعلمین، جدید الشمولان، فارغان و استادان لیسه‌های مسلکی و حرفوی به تفکیک ولایت سال ۱۴۰۲(باب‌/‌نفر)</t>
  </si>
  <si>
    <t xml:space="preserve"> Number of High Schools, Students, New Enrolled - Students, graduates and Teachers of Professional and Vocational High Schools by province Year2023-24 (Unit‌/‌Person)</t>
  </si>
  <si>
    <t xml:space="preserve"> د مسلکي او حرفوي لېسو، زده‌ کوونکو، نویو شامل شويو، فارغ شویو او ښوونکو شمېر‌د کال په توپیر‌(باب‌/‌تن)</t>
  </si>
  <si>
    <t xml:space="preserve"> تعداد لیسه‌ها، متعلمین، جدید الشمولان، فارغان و استادان لیسه‌های مسلکی و حرفوی به تفکیک سال‌ (باب‌/‌نفر)</t>
  </si>
  <si>
    <t xml:space="preserve"> Number of High Schools, Students, New Enrolled - Students, graduates and Teachers of Professional and Vocational High Schools by Year (Unit‌/‌Person)</t>
  </si>
  <si>
    <t xml:space="preserve">د ۱۴۰۲ کال کې د سـواد زده‌ کړو کورسونو، زده ‌کوونکو، فارغ شویو او ښوونکو شمېر (باب‌/‌تن)  </t>
  </si>
  <si>
    <t xml:space="preserve"> تعداد کورس‌ها، شاگردان، فارغان  و معلمان کورس‌های سواد‌ آموزی در سال ۱۴۰۲(باب‌/‌نفر)</t>
  </si>
  <si>
    <t xml:space="preserve"> Number of Courses, Students, Graduates and Teachers of Literacy Courses 2023-24 (Unit‌/‌Person) </t>
  </si>
  <si>
    <t xml:space="preserve"> د سـواد زده‌ کړو د کورسونو، زده‌ کوونکو، فارغ شویو او ښوونکو شمېر (باب‌/‌تن)  </t>
  </si>
  <si>
    <t>تعداد کورس‌ها، شاگردان، فارغان و معلمان کورس‌های سواد‌ آموزی (باب‌/‌نفر)</t>
  </si>
  <si>
    <t xml:space="preserve"> Number of Courses, Students, Graduates and Teachers of Literacy Courses (Unit‌/‌Person) </t>
  </si>
  <si>
    <r>
      <t xml:space="preserve">د </t>
    </r>
    <r>
      <rPr>
        <sz val="12"/>
        <color theme="1"/>
        <rFont val="B Nazanin"/>
        <charset val="178"/>
      </rPr>
      <t>4</t>
    </r>
    <r>
      <rPr>
        <sz val="12"/>
        <color theme="1"/>
        <rFont val="Times New Roman"/>
        <family val="1"/>
      </rPr>
      <t xml:space="preserve"> د دیني زده ‌کړو د مدرسو زده‌ کوونکو، نویو شامل شویو، فارغ شويو، ښوونکو او‌ کار کوونکو شمېر ‌(باب‌/‌‌تن)</t>
    </r>
  </si>
  <si>
    <t xml:space="preserve"> تعداد مدارس، شاگردان، جدیدالشمولان، فارغان، معلمان و کارمندان تعلیمات دینی‌(باب‌/‌نفر)</t>
  </si>
  <si>
    <t xml:space="preserve"> Number of  Islamic Schools, Students, New Enrolled - students, Teacheres and Staffs in Religious Education (Unit‌/‌Person)</t>
  </si>
  <si>
    <r>
      <t xml:space="preserve"> </t>
    </r>
    <r>
      <rPr>
        <sz val="12"/>
        <rFont val="Times New Roman"/>
        <family val="1"/>
      </rPr>
      <t xml:space="preserve"> د خصوصي عمومي زده‌ کړو‌ د ښوونځيو، زده‌ کوونکو او ښوونکو شمېر د ښوونځيو د ډول او‌ ولایت په توپير (باب‌/‌تن) </t>
    </r>
  </si>
  <si>
    <t xml:space="preserve"> تعداد مکاتب، متعلمین و معلمان تعلیمات عمومی خصوصی به تفکیک نوع مکتب و ‌ولایت (باب‌/‌نفر)</t>
  </si>
  <si>
    <t xml:space="preserve"> Number of  Schools, Students, and Teachers in General Private Education by type of Schools and Province (Unit‌/‌Person)</t>
  </si>
  <si>
    <r>
      <t xml:space="preserve"> </t>
    </r>
    <r>
      <rPr>
        <sz val="12"/>
        <color theme="1"/>
        <rFont val="Times New Roman"/>
        <family val="1"/>
      </rPr>
      <t xml:space="preserve"> د امارتي ثانوي زده ‌کړو زده کوونکو شمېر د جنس او ‌ولایت په توپير(تن)</t>
    </r>
  </si>
  <si>
    <t xml:space="preserve"> تعداد متعلمین تعلیمات ثانوی امارتی به تفکیک جنس و ‌ولایت ( نفر)  </t>
  </si>
  <si>
    <t xml:space="preserve"> Number of Emirate Student in Upper Secondarys Education by Sex and Province (Person)</t>
  </si>
  <si>
    <r>
      <t xml:space="preserve"> </t>
    </r>
    <r>
      <rPr>
        <sz val="12"/>
        <color theme="1"/>
        <rFont val="Times New Roman"/>
        <family val="1"/>
      </rPr>
      <t xml:space="preserve"> د امارتي ثانوي ښوونځيو شمېر د ښوونځيو د ډول او ‌ولایت په توپير(باب)</t>
    </r>
  </si>
  <si>
    <t xml:space="preserve"> تعداد مکاتب تعلیمات ثانوی امارتی به تفکیک نوع مکتب و ‌ولایت (باب)  </t>
  </si>
  <si>
    <t xml:space="preserve"> Number of Emirate Upper Secondary Schools by type of School and Province  (Unit)</t>
  </si>
  <si>
    <t xml:space="preserve"> د امارتي منځنیو زده‌ کړو زده کوونکو شمېر د جنس او ‌ولایت په توپير( تن)</t>
  </si>
  <si>
    <t xml:space="preserve"> تعداد متعلمین تعلیمات متوسطه امارتی به تفکیک جنس و‌ ولایت ( نفر)  </t>
  </si>
  <si>
    <t xml:space="preserve"> Number of Emirate Students in Lower Secondary Education by Sex and Province (Person)</t>
  </si>
  <si>
    <r>
      <t xml:space="preserve"> </t>
    </r>
    <r>
      <rPr>
        <sz val="12"/>
        <color theme="1"/>
        <rFont val="Times New Roman"/>
        <family val="1"/>
      </rPr>
      <t xml:space="preserve"> د امارتي منځنیو ښوونځيو شمېر د ښوونځيو د ډول او ولایت په توپير(باب)</t>
    </r>
  </si>
  <si>
    <t xml:space="preserve"> تعداد مکاتب تعلیمات متوسطه امارتی به تفکیک نوع مکتب و ‌ولایت (باب)  </t>
  </si>
  <si>
    <t>Number of Emirate Lower Secondary Schools by type of School and Province ( Unit)</t>
  </si>
  <si>
    <r>
      <t xml:space="preserve"> </t>
    </r>
    <r>
      <rPr>
        <sz val="12"/>
        <color theme="1"/>
        <rFont val="Times New Roman"/>
        <family val="1"/>
      </rPr>
      <t xml:space="preserve"> د امارتي لومړنیو زده‌ کړو زده کوونکو شمېر د جنس او ‌ولایت په توپير(تن ) </t>
    </r>
  </si>
  <si>
    <t xml:space="preserve"> تعداد متعلمین تعلیمات ابتدائیه امارتی به تفکیک جنس و ‌ولایت ( نفر)  </t>
  </si>
  <si>
    <t xml:space="preserve"> Number of Emirate Students in Primary Education by Sex and Province  (Person)</t>
  </si>
  <si>
    <t xml:space="preserve"> تعداد مکاتب تعلیمات ابتدائیه امارتی به تفکیک نوع مکتب و‌ ولایت (باب)  </t>
  </si>
  <si>
    <r>
      <t xml:space="preserve"> </t>
    </r>
    <r>
      <rPr>
        <sz val="12"/>
        <color theme="1"/>
        <rFont val="Times New Roman"/>
        <family val="1"/>
      </rPr>
      <t xml:space="preserve"> دامارتي لمړنیو ښوونځيو شمېر د ښوونځيو‌ د ډول او‌ ولایت په توپير(باب) </t>
    </r>
  </si>
  <si>
    <t xml:space="preserve"> Number of Emirate Primary Schools by type of School and Province (Unit)</t>
  </si>
  <si>
    <t xml:space="preserve"> د امارتي عمومي زده ‌کړو د ښوونکو او ‌زده ‌کوونکو نسبت د ولایت په توپیر(تن) </t>
  </si>
  <si>
    <t xml:space="preserve"> نسبت متعلمین و معلمان تعلیمات عمومی امارتی به تفکیک ولایت (نفر)</t>
  </si>
  <si>
    <t xml:space="preserve"> Emirate General Education Students and Teachers Ratio by Province (Person)</t>
  </si>
  <si>
    <t xml:space="preserve"> د عمومي زده ‌کړو په امارتي ښوونځيو کې د ښوونکو شمېرد جنس او‌ ولایت په تو پیر(تن) </t>
  </si>
  <si>
    <r>
      <t xml:space="preserve"> </t>
    </r>
    <r>
      <rPr>
        <sz val="12"/>
        <rFont val="Times New Roman"/>
        <family val="1"/>
      </rPr>
      <t>تعداد معلمان مکاتب تعلیمات عمومی امارتی به تفکیک جنس و ‌ولایت (نفر)</t>
    </r>
  </si>
  <si>
    <t xml:space="preserve"> Number of Teachers in Emirate General Education Schools by Sex and Province (Person)</t>
  </si>
  <si>
    <t xml:space="preserve"> د عمومي زده ‌کړو په امارتي ښوونځيو کې د زده‌ کوونکو شمېر د جنس او ‌‌‌‌‌ولایت په توپیر(تن) ‌</t>
  </si>
  <si>
    <t xml:space="preserve"> تعداد متعلمین مکاتب تعلیمات عمومی امارتی به تفکیک جنس و ‌ولایت (نفر)</t>
  </si>
  <si>
    <r>
      <t xml:space="preserve"> Number of Students in </t>
    </r>
    <r>
      <rPr>
        <sz val="12"/>
        <color theme="1"/>
        <rFont val="Times New Roman"/>
        <family val="1"/>
      </rPr>
      <t>Emirate</t>
    </r>
    <r>
      <rPr>
        <sz val="12"/>
        <rFont val="Times New Roman"/>
        <family val="1"/>
      </rPr>
      <t xml:space="preserve"> General Education Schools by Sex and Province (Person)</t>
    </r>
  </si>
  <si>
    <t xml:space="preserve"> د ښوونځيو، زده‌ کوونکو، فارغ شویو، ښوونکو او پولو بهرافغان زده ‌کوونکو شمېر(باب‌/‌تن) </t>
  </si>
  <si>
    <t>تعداد مکاتب، متعلمین، معلمان، فارغان و متعلمین افغان خارج مرز (باب‌/‌نفر)</t>
  </si>
  <si>
    <t xml:space="preserve"> Number of Schools, Students, Teachers, Graduates and Afghan Abroad Students (Unit‌/‌Person)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</si>
</sst>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[$-3000401]0"/>
    <numFmt numFmtId="166" formatCode="_(* #,##0_);_(* \(#,##0\);_(* &quot;-&quot;??_);_(@_)"/>
    <numFmt numFmtId="167" formatCode="#.##0"/>
  </numFmts>
  <fonts count="77"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scheme val="minor"/>
    </font>
    <font>
      <sz val="12"/>
      <name val="B Nazanin"/>
      <charset val="178"/>
    </font>
    <font>
      <b/>
      <sz val="10"/>
      <name val="B Nazanin"/>
      <charset val="178"/>
    </font>
    <font>
      <b/>
      <sz val="10"/>
      <color theme="1"/>
      <name val="B Nazanin"/>
      <charset val="178"/>
    </font>
    <font>
      <sz val="10"/>
      <name val="B Nazanin"/>
      <charset val="178"/>
    </font>
    <font>
      <sz val="10"/>
      <color theme="1"/>
      <name val="B Nazanin"/>
      <charset val="178"/>
    </font>
    <font>
      <sz val="11"/>
      <color rgb="FFFF0000"/>
      <name val="Calibri"/>
      <family val="2"/>
      <charset val="178"/>
      <scheme val="minor"/>
    </font>
    <font>
      <b/>
      <sz val="12"/>
      <name val="Times New Roman"/>
      <family val="1"/>
    </font>
    <font>
      <sz val="10"/>
      <name val="Times New Roman"/>
      <family val="1"/>
    </font>
    <font>
      <b/>
      <sz val="12"/>
      <color theme="1"/>
      <name val="Times New Roman"/>
      <family val="1"/>
    </font>
    <font>
      <b/>
      <sz val="10"/>
      <name val="Calibri Light"/>
      <family val="1"/>
      <scheme val="major"/>
    </font>
    <font>
      <sz val="12"/>
      <color theme="1"/>
      <name val="B Nazanin"/>
      <charset val="178"/>
    </font>
    <font>
      <b/>
      <sz val="14"/>
      <color theme="1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1"/>
      <color theme="1"/>
      <name val="B Nazanin"/>
      <charset val="178"/>
    </font>
    <font>
      <sz val="11"/>
      <name val="Calibri"/>
      <family val="2"/>
      <charset val="178"/>
      <scheme val="minor"/>
    </font>
    <font>
      <b/>
      <sz val="12"/>
      <color rgb="FFFF0000"/>
      <name val="Times New Roman"/>
      <family val="1"/>
    </font>
    <font>
      <b/>
      <sz val="10"/>
      <name val="Times New Roman"/>
      <family val="1"/>
    </font>
    <font>
      <b/>
      <sz val="14"/>
      <name val="Times New Roman"/>
      <family val="1"/>
    </font>
    <font>
      <b/>
      <sz val="13"/>
      <name val="Times New Roman"/>
      <family val="1"/>
    </font>
    <font>
      <sz val="12"/>
      <color rgb="FF000099"/>
      <name val="Times New Roman"/>
      <family val="1"/>
    </font>
    <font>
      <b/>
      <sz val="10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color rgb="FFFF0000"/>
      <name val="Calibri"/>
      <family val="2"/>
      <scheme val="minor"/>
    </font>
    <font>
      <b/>
      <sz val="11"/>
      <color rgb="FFFF0000"/>
      <name val="Calibri"/>
      <family val="2"/>
      <charset val="178"/>
      <scheme val="minor"/>
    </font>
    <font>
      <sz val="11"/>
      <color theme="1"/>
      <name val="Arial"/>
      <family val="2"/>
    </font>
    <font>
      <b/>
      <sz val="14"/>
      <name val="Calibri"/>
      <family val="2"/>
      <scheme val="minor"/>
    </font>
    <font>
      <sz val="11"/>
      <color theme="1"/>
      <name val="Calibri"/>
      <family val="2"/>
    </font>
    <font>
      <b/>
      <sz val="11"/>
      <name val="B Nazanin"/>
      <charset val="178"/>
    </font>
    <font>
      <b/>
      <sz val="12"/>
      <color rgb="FFFF0000"/>
      <name val="Calibri"/>
      <family val="2"/>
      <scheme val="minor"/>
    </font>
    <font>
      <b/>
      <sz val="14"/>
      <color rgb="FFFF0000"/>
      <name val="Times New Roman"/>
      <family val="1"/>
    </font>
    <font>
      <b/>
      <sz val="14"/>
      <color theme="1"/>
      <name val="Calibri"/>
      <family val="2"/>
      <charset val="178"/>
      <scheme val="minor"/>
    </font>
    <font>
      <b/>
      <sz val="14"/>
      <name val="Calibri"/>
      <family val="2"/>
      <charset val="178"/>
      <scheme val="minor"/>
    </font>
    <font>
      <b/>
      <sz val="14"/>
      <color rgb="FFFF0000"/>
      <name val="Calibri"/>
      <family val="2"/>
      <charset val="178"/>
      <scheme val="minor"/>
    </font>
    <font>
      <b/>
      <sz val="12"/>
      <color theme="1"/>
      <name val="Calibri Light"/>
      <family val="1"/>
      <scheme val="major"/>
    </font>
    <font>
      <b/>
      <sz val="11"/>
      <name val="Times New Roman"/>
      <family val="1"/>
    </font>
    <font>
      <b/>
      <sz val="10"/>
      <color indexed="8"/>
      <name val="B Nazanin"/>
      <charset val="178"/>
    </font>
    <font>
      <sz val="12"/>
      <name val="Times New Roman"/>
      <family val="1"/>
    </font>
    <font>
      <sz val="12"/>
      <color rgb="FFFF0000"/>
      <name val="Times New Roman"/>
      <family val="1"/>
    </font>
    <font>
      <sz val="12"/>
      <color theme="1"/>
      <name val="Times New Roman"/>
      <family val="1"/>
    </font>
    <font>
      <sz val="11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6"/>
      <color rgb="FF0070C0"/>
      <name val="Calibri"/>
      <family val="2"/>
      <scheme val="minor"/>
    </font>
    <font>
      <sz val="10"/>
      <color theme="1"/>
      <name val="B Mitra"/>
      <charset val="178"/>
    </font>
    <font>
      <sz val="12"/>
      <color rgb="FF000000"/>
      <name val="B Nazanin"/>
      <charset val="178"/>
    </font>
    <font>
      <sz val="10"/>
      <color rgb="FF000000"/>
      <name val="B Nazanin"/>
      <charset val="178"/>
    </font>
    <font>
      <sz val="11"/>
      <color theme="1"/>
      <name val="Nazanin"/>
      <charset val="178"/>
    </font>
    <font>
      <sz val="11"/>
      <name val="Calibri"/>
      <family val="2"/>
      <scheme val="minor"/>
    </font>
    <font>
      <b/>
      <sz val="9"/>
      <name val="Times New Roman"/>
      <family val="1"/>
    </font>
    <font>
      <sz val="9"/>
      <name val="Times New Roman"/>
      <family val="1"/>
    </font>
    <font>
      <sz val="11"/>
      <name val="Times New Roman"/>
      <family val="1"/>
    </font>
    <font>
      <b/>
      <sz val="9"/>
      <color theme="1"/>
      <name val="Times New Roman"/>
      <family val="1"/>
    </font>
    <font>
      <b/>
      <sz val="9"/>
      <color indexed="8"/>
      <name val="Times New Roman"/>
      <family val="1"/>
    </font>
    <font>
      <sz val="10"/>
      <color theme="1"/>
      <name val="Times New Roman"/>
      <family val="1"/>
    </font>
    <font>
      <sz val="9"/>
      <color theme="1"/>
      <name val="Times New Roman"/>
      <family val="1"/>
    </font>
    <font>
      <sz val="12"/>
      <color indexed="8"/>
      <name val="Times New Roman"/>
      <family val="1"/>
    </font>
    <font>
      <b/>
      <sz val="10"/>
      <color indexed="8"/>
      <name val="Times New Roman"/>
      <family val="1"/>
    </font>
    <font>
      <sz val="10"/>
      <color rgb="FF000000"/>
      <name val="Times New Roman"/>
      <family val="1"/>
    </font>
    <font>
      <sz val="12"/>
      <color rgb="FF000000"/>
      <name val="Calibri"/>
      <family val="2"/>
      <scheme val="minor"/>
    </font>
    <font>
      <sz val="9"/>
      <color theme="1"/>
      <name val="Calibri"/>
      <family val="2"/>
      <charset val="178"/>
      <scheme val="minor"/>
    </font>
    <font>
      <sz val="10"/>
      <color theme="1"/>
      <name val="Calibri"/>
      <family val="2"/>
      <charset val="178"/>
      <scheme val="minor"/>
    </font>
    <font>
      <sz val="10"/>
      <color indexed="8"/>
      <name val="Times New Roman"/>
      <family val="1"/>
    </font>
    <font>
      <sz val="10"/>
      <name val="Calibri"/>
      <family val="2"/>
    </font>
    <font>
      <sz val="10"/>
      <color theme="1"/>
      <name val="Calibri"/>
      <family val="2"/>
    </font>
    <font>
      <b/>
      <sz val="11"/>
      <name val="Calibri"/>
      <family val="2"/>
      <charset val="178"/>
      <scheme val="minor"/>
    </font>
    <font>
      <b/>
      <sz val="11"/>
      <color theme="1"/>
      <name val="Calibri"/>
      <family val="2"/>
      <charset val="178"/>
      <scheme val="minor"/>
    </font>
    <font>
      <sz val="10"/>
      <color rgb="FF000000"/>
      <name val="Calibri"/>
      <family val="2"/>
      <charset val="178"/>
      <scheme val="minor"/>
    </font>
    <font>
      <b/>
      <sz val="9"/>
      <color theme="1"/>
      <name val="B Nazanin"/>
      <charset val="178"/>
    </font>
    <font>
      <sz val="11"/>
      <color rgb="FF000000"/>
      <name val="Calibri"/>
      <family val="2"/>
      <scheme val="minor"/>
    </font>
    <font>
      <b/>
      <sz val="10"/>
      <color theme="1"/>
      <name val="Times New Roman"/>
      <family val="1"/>
      <charset val="178"/>
    </font>
    <font>
      <b/>
      <sz val="10"/>
      <name val="Calibri"/>
      <family val="2"/>
    </font>
    <font>
      <b/>
      <sz val="10"/>
      <color rgb="FFFF0000"/>
      <name val="Times New Roman"/>
      <family val="1"/>
    </font>
    <font>
      <sz val="10"/>
      <color rgb="FFFF0000"/>
      <name val="Times New Roman"/>
      <family val="1"/>
    </font>
    <font>
      <b/>
      <sz val="11"/>
      <color theme="1"/>
      <name val="Calibri"/>
      <family val="2"/>
      <scheme val="minor"/>
    </font>
    <font>
      <sz val="10"/>
      <color rgb="FFFF0000"/>
      <name val="B Nazanin"/>
      <charset val="178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4" fillId="0" borderId="0"/>
    <xf numFmtId="0" fontId="14" fillId="0" borderId="0">
      <alignment horizontal="center"/>
    </xf>
    <xf numFmtId="0" fontId="1" fillId="0" borderId="0"/>
    <xf numFmtId="0" fontId="70" fillId="0" borderId="0"/>
  </cellStyleXfs>
  <cellXfs count="1621">
    <xf numFmtId="0" fontId="0" fillId="0" borderId="0" xfId="0"/>
    <xf numFmtId="49" fontId="0" fillId="0" borderId="0" xfId="0" applyNumberFormat="1"/>
    <xf numFmtId="0" fontId="7" fillId="0" borderId="0" xfId="0" applyFont="1"/>
    <xf numFmtId="1" fontId="0" fillId="0" borderId="0" xfId="0" applyNumberFormat="1"/>
    <xf numFmtId="164" fontId="0" fillId="0" borderId="0" xfId="0" applyNumberFormat="1"/>
    <xf numFmtId="49" fontId="9" fillId="0" borderId="0" xfId="0" applyNumberFormat="1" applyFont="1"/>
    <xf numFmtId="0" fontId="9" fillId="0" borderId="0" xfId="0" applyFont="1" applyAlignment="1">
      <alignment horizontal="right" vertical="center" indent="1"/>
    </xf>
    <xf numFmtId="3" fontId="9" fillId="0" borderId="0" xfId="0" applyNumberFormat="1" applyFont="1" applyAlignment="1">
      <alignment horizontal="right" vertical="center" indent="1"/>
    </xf>
    <xf numFmtId="0" fontId="8" fillId="0" borderId="0" xfId="0" applyFont="1" applyAlignment="1">
      <alignment horizontal="right" vertical="center" indent="1"/>
    </xf>
    <xf numFmtId="0" fontId="13" fillId="0" borderId="0" xfId="0" applyFont="1"/>
    <xf numFmtId="0" fontId="10" fillId="0" borderId="0" xfId="0" applyFont="1" applyAlignment="1">
      <alignment horizontal="right"/>
    </xf>
    <xf numFmtId="0" fontId="17" fillId="0" borderId="0" xfId="0" applyFont="1"/>
    <xf numFmtId="1" fontId="17" fillId="0" borderId="0" xfId="0" applyNumberFormat="1" applyFont="1"/>
    <xf numFmtId="1" fontId="5" fillId="0" borderId="0" xfId="0" applyNumberFormat="1" applyFont="1" applyAlignment="1">
      <alignment horizontal="right" vertical="center" indent="1"/>
    </xf>
    <xf numFmtId="1" fontId="5" fillId="2" borderId="0" xfId="0" applyNumberFormat="1" applyFont="1" applyFill="1" applyAlignment="1">
      <alignment horizontal="right" vertical="center" indent="1"/>
    </xf>
    <xf numFmtId="1" fontId="5" fillId="3" borderId="0" xfId="0" applyNumberFormat="1" applyFont="1" applyFill="1" applyAlignment="1">
      <alignment horizontal="right" vertical="center" indent="1"/>
    </xf>
    <xf numFmtId="0" fontId="18" fillId="0" borderId="0" xfId="0" applyFont="1" applyAlignment="1">
      <alignment horizontal="right" vertical="center" wrapText="1" indent="1"/>
    </xf>
    <xf numFmtId="0" fontId="8" fillId="0" borderId="0" xfId="0" applyFont="1" applyAlignment="1">
      <alignment horizontal="right" vertical="center" wrapText="1" indent="1"/>
    </xf>
    <xf numFmtId="0" fontId="8" fillId="3" borderId="0" xfId="0" applyFont="1" applyFill="1" applyAlignment="1">
      <alignment horizontal="center" vertical="center" wrapText="1"/>
    </xf>
    <xf numFmtId="0" fontId="8" fillId="3" borderId="0" xfId="0" applyFont="1" applyFill="1" applyAlignment="1">
      <alignment horizontal="right" wrapText="1"/>
    </xf>
    <xf numFmtId="0" fontId="8" fillId="3" borderId="0" xfId="0" applyFont="1" applyFill="1" applyAlignment="1">
      <alignment horizontal="center" wrapText="1"/>
    </xf>
    <xf numFmtId="3" fontId="0" fillId="0" borderId="0" xfId="0" applyNumberFormat="1"/>
    <xf numFmtId="0" fontId="22" fillId="3" borderId="0" xfId="0" applyFont="1" applyFill="1" applyAlignment="1">
      <alignment horizontal="right" vertical="center" wrapText="1" indent="1"/>
    </xf>
    <xf numFmtId="0" fontId="22" fillId="2" borderId="6" xfId="0" applyFont="1" applyFill="1" applyBorder="1" applyAlignment="1">
      <alignment horizontal="right" vertical="center" wrapText="1" indent="1"/>
    </xf>
    <xf numFmtId="0" fontId="6" fillId="2" borderId="5" xfId="0" applyFont="1" applyFill="1" applyBorder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6" fillId="0" borderId="0" xfId="0" applyFont="1"/>
    <xf numFmtId="1" fontId="6" fillId="0" borderId="0" xfId="0" applyNumberFormat="1" applyFont="1"/>
    <xf numFmtId="0" fontId="16" fillId="0" borderId="0" xfId="0" applyFont="1"/>
    <xf numFmtId="0" fontId="26" fillId="0" borderId="0" xfId="0" applyFont="1"/>
    <xf numFmtId="0" fontId="10" fillId="0" borderId="0" xfId="0" applyFont="1" applyAlignment="1">
      <alignment horizontal="center" vertical="center"/>
    </xf>
    <xf numFmtId="0" fontId="15" fillId="0" borderId="0" xfId="0" applyFont="1" applyAlignment="1">
      <alignment horizontal="right" vertical="center" wrapText="1" indent="1"/>
    </xf>
    <xf numFmtId="0" fontId="18" fillId="2" borderId="0" xfId="0" applyFont="1" applyFill="1" applyAlignment="1">
      <alignment horizontal="right" vertical="center" wrapText="1" indent="1"/>
    </xf>
    <xf numFmtId="0" fontId="5" fillId="0" borderId="0" xfId="0" applyFont="1" applyAlignment="1">
      <alignment horizontal="center" vertical="center"/>
    </xf>
    <xf numFmtId="0" fontId="28" fillId="4" borderId="0" xfId="0" applyFont="1" applyFill="1"/>
    <xf numFmtId="0" fontId="10" fillId="0" borderId="0" xfId="0" applyFont="1" applyAlignment="1">
      <alignment horizontal="right" vertical="center" indent="1"/>
    </xf>
    <xf numFmtId="1" fontId="6" fillId="2" borderId="0" xfId="0" applyNumberFormat="1" applyFont="1" applyFill="1" applyAlignment="1">
      <alignment horizontal="right" vertical="center" indent="1"/>
    </xf>
    <xf numFmtId="1" fontId="6" fillId="3" borderId="0" xfId="0" applyNumberFormat="1" applyFont="1" applyFill="1" applyAlignment="1">
      <alignment horizontal="right" vertical="center" wrapText="1" indent="1"/>
    </xf>
    <xf numFmtId="0" fontId="12" fillId="2" borderId="6" xfId="0" applyFont="1" applyFill="1" applyBorder="1" applyAlignment="1">
      <alignment horizontal="right" vertical="center" wrapText="1" indent="1"/>
    </xf>
    <xf numFmtId="164" fontId="10" fillId="0" borderId="0" xfId="0" applyNumberFormat="1" applyFont="1" applyAlignment="1">
      <alignment horizontal="right" vertical="center" indent="1"/>
    </xf>
    <xf numFmtId="1" fontId="12" fillId="0" borderId="0" xfId="0" applyNumberFormat="1" applyFont="1" applyAlignment="1">
      <alignment horizontal="right" vertical="center" indent="1"/>
    </xf>
    <xf numFmtId="0" fontId="23" fillId="0" borderId="0" xfId="0" applyFont="1"/>
    <xf numFmtId="49" fontId="29" fillId="0" borderId="0" xfId="0" applyNumberFormat="1" applyFont="1"/>
    <xf numFmtId="17" fontId="0" fillId="0" borderId="0" xfId="0" applyNumberFormat="1"/>
    <xf numFmtId="0" fontId="17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 wrapText="1"/>
    </xf>
    <xf numFmtId="0" fontId="15" fillId="0" borderId="0" xfId="1" applyFont="1" applyAlignment="1">
      <alignment horizontal="center" vertical="center" wrapText="1"/>
    </xf>
    <xf numFmtId="3" fontId="15" fillId="0" borderId="0" xfId="1" applyNumberFormat="1" applyFont="1" applyAlignment="1">
      <alignment horizontal="center" vertical="center" wrapText="1"/>
    </xf>
    <xf numFmtId="164" fontId="8" fillId="0" borderId="0" xfId="0" applyNumberFormat="1" applyFont="1" applyAlignment="1">
      <alignment horizontal="right" vertical="center" indent="1"/>
    </xf>
    <xf numFmtId="164" fontId="7" fillId="0" borderId="0" xfId="0" applyNumberFormat="1" applyFont="1"/>
    <xf numFmtId="164" fontId="31" fillId="0" borderId="0" xfId="0" applyNumberFormat="1" applyFont="1"/>
    <xf numFmtId="0" fontId="8" fillId="0" borderId="0" xfId="1" applyFont="1" applyAlignment="1">
      <alignment horizontal="right" vertical="center" indent="1"/>
    </xf>
    <xf numFmtId="0" fontId="33" fillId="0" borderId="0" xfId="0" applyFont="1"/>
    <xf numFmtId="0" fontId="15" fillId="0" borderId="0" xfId="1" applyFont="1" applyAlignment="1">
      <alignment horizontal="right" vertical="center" wrapText="1" indent="1"/>
    </xf>
    <xf numFmtId="1" fontId="8" fillId="0" borderId="0" xfId="1" applyNumberFormat="1" applyFont="1" applyAlignment="1">
      <alignment horizontal="right" vertical="center" indent="1"/>
    </xf>
    <xf numFmtId="0" fontId="34" fillId="0" borderId="0" xfId="0" applyFont="1"/>
    <xf numFmtId="0" fontId="35" fillId="0" borderId="0" xfId="0" applyFont="1"/>
    <xf numFmtId="0" fontId="13" fillId="0" borderId="0" xfId="1" applyFont="1" applyAlignment="1">
      <alignment horizontal="right" vertical="center" wrapText="1" indent="1"/>
    </xf>
    <xf numFmtId="2" fontId="8" fillId="0" borderId="0" xfId="1" applyNumberFormat="1" applyFont="1" applyAlignment="1">
      <alignment horizontal="right" vertical="center" indent="1"/>
    </xf>
    <xf numFmtId="2" fontId="7" fillId="0" borderId="0" xfId="0" applyNumberFormat="1" applyFont="1"/>
    <xf numFmtId="0" fontId="10" fillId="0" borderId="0" xfId="1" applyFont="1" applyAlignment="1">
      <alignment horizontal="center" vertical="center" wrapText="1"/>
    </xf>
    <xf numFmtId="0" fontId="20" fillId="0" borderId="0" xfId="0" applyFont="1" applyAlignment="1">
      <alignment horizontal="right" vertical="center" indent="1"/>
    </xf>
    <xf numFmtId="0" fontId="32" fillId="0" borderId="0" xfId="0" applyFont="1" applyAlignment="1">
      <alignment horizontal="right" vertical="center" indent="1"/>
    </xf>
    <xf numFmtId="0" fontId="18" fillId="0" borderId="0" xfId="1" applyFont="1" applyAlignment="1">
      <alignment horizontal="right" vertical="center" wrapText="1" indent="1"/>
    </xf>
    <xf numFmtId="1" fontId="15" fillId="0" borderId="0" xfId="1" applyNumberFormat="1" applyFont="1" applyAlignment="1">
      <alignment horizontal="right" vertical="center" wrapText="1" indent="1"/>
    </xf>
    <xf numFmtId="49" fontId="3" fillId="0" borderId="3" xfId="0" applyNumberFormat="1" applyFont="1" applyBorder="1" applyAlignment="1">
      <alignment horizontal="center" vertical="center"/>
    </xf>
    <xf numFmtId="0" fontId="3" fillId="0" borderId="3" xfId="1" applyFont="1" applyBorder="1" applyAlignment="1">
      <alignment horizontal="center" vertical="center" wrapText="1"/>
    </xf>
    <xf numFmtId="0" fontId="8" fillId="0" borderId="0" xfId="1" applyFont="1" applyAlignment="1">
      <alignment horizontal="right" vertical="center" wrapText="1" indent="1"/>
    </xf>
    <xf numFmtId="0" fontId="37" fillId="0" borderId="0" xfId="1" applyFont="1" applyAlignment="1">
      <alignment horizontal="center" vertical="center" wrapText="1"/>
    </xf>
    <xf numFmtId="0" fontId="39" fillId="2" borderId="0" xfId="1" applyFont="1" applyFill="1" applyAlignment="1">
      <alignment horizontal="right" vertical="center" wrapText="1" indent="1"/>
    </xf>
    <xf numFmtId="0" fontId="42" fillId="0" borderId="0" xfId="0" applyFont="1" applyAlignment="1">
      <alignment horizontal="center"/>
    </xf>
    <xf numFmtId="0" fontId="44" fillId="0" borderId="0" xfId="0" applyFont="1"/>
    <xf numFmtId="164" fontId="43" fillId="0" borderId="0" xfId="0" applyNumberFormat="1" applyFont="1"/>
    <xf numFmtId="0" fontId="9" fillId="0" borderId="0" xfId="0" applyFont="1" applyAlignment="1">
      <alignment horizontal="right" vertical="center" wrapText="1" indent="1"/>
    </xf>
    <xf numFmtId="1" fontId="4" fillId="2" borderId="9" xfId="0" applyNumberFormat="1" applyFont="1" applyFill="1" applyBorder="1" applyAlignment="1">
      <alignment horizontal="center" vertical="center"/>
    </xf>
    <xf numFmtId="165" fontId="6" fillId="0" borderId="0" xfId="0" applyNumberFormat="1" applyFont="1"/>
    <xf numFmtId="165" fontId="30" fillId="3" borderId="0" xfId="0" applyNumberFormat="1" applyFont="1" applyFill="1" applyAlignment="1">
      <alignment horizontal="right" vertical="center" wrapText="1" indent="1"/>
    </xf>
    <xf numFmtId="1" fontId="6" fillId="0" borderId="0" xfId="1" applyNumberFormat="1" applyFont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/>
    </xf>
    <xf numFmtId="1" fontId="3" fillId="2" borderId="0" xfId="0" applyNumberFormat="1" applyFont="1" applyFill="1" applyAlignment="1">
      <alignment horizontal="center" vertical="center" wrapText="1"/>
    </xf>
    <xf numFmtId="1" fontId="4" fillId="2" borderId="0" xfId="0" applyNumberFormat="1" applyFont="1" applyFill="1" applyAlignment="1">
      <alignment horizontal="center" vertical="center" wrapText="1"/>
    </xf>
    <xf numFmtId="0" fontId="46" fillId="0" borderId="0" xfId="0" applyFont="1" applyAlignment="1">
      <alignment horizontal="center" vertical="center" readingOrder="2"/>
    </xf>
    <xf numFmtId="1" fontId="15" fillId="0" borderId="0" xfId="1" applyNumberFormat="1" applyFont="1" applyAlignment="1">
      <alignment horizontal="center" vertical="center" wrapText="1"/>
    </xf>
    <xf numFmtId="0" fontId="5" fillId="0" borderId="0" xfId="0" applyFont="1" applyAlignment="1">
      <alignment vertical="center"/>
    </xf>
    <xf numFmtId="0" fontId="47" fillId="0" borderId="0" xfId="0" applyFont="1" applyAlignment="1">
      <alignment readingOrder="2"/>
    </xf>
    <xf numFmtId="0" fontId="6" fillId="0" borderId="0" xfId="0" applyFont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2" borderId="11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/>
    </xf>
    <xf numFmtId="0" fontId="48" fillId="0" borderId="0" xfId="0" applyFont="1"/>
    <xf numFmtId="1" fontId="48" fillId="0" borderId="0" xfId="0" applyNumberFormat="1" applyFont="1"/>
    <xf numFmtId="0" fontId="4" fillId="2" borderId="10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0" fillId="3" borderId="0" xfId="0" applyFill="1"/>
    <xf numFmtId="1" fontId="6" fillId="2" borderId="0" xfId="1" applyNumberFormat="1" applyFont="1" applyFill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38" fillId="0" borderId="3" xfId="1" applyFont="1" applyBorder="1" applyAlignment="1">
      <alignment horizontal="center" vertical="center" wrapText="1"/>
    </xf>
    <xf numFmtId="1" fontId="6" fillId="2" borderId="6" xfId="0" applyNumberFormat="1" applyFont="1" applyFill="1" applyBorder="1" applyAlignment="1">
      <alignment horizontal="right" vertical="center" indent="1"/>
    </xf>
    <xf numFmtId="0" fontId="0" fillId="0" borderId="1" xfId="0" applyBorder="1"/>
    <xf numFmtId="0" fontId="0" fillId="0" borderId="10" xfId="0" applyBorder="1"/>
    <xf numFmtId="0" fontId="0" fillId="0" borderId="11" xfId="0" applyBorder="1"/>
    <xf numFmtId="1" fontId="6" fillId="2" borderId="1" xfId="1" applyNumberFormat="1" applyFont="1" applyFill="1" applyBorder="1" applyAlignment="1">
      <alignment horizontal="center" vertical="center"/>
    </xf>
    <xf numFmtId="1" fontId="6" fillId="2" borderId="8" xfId="1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6" fillId="0" borderId="0" xfId="0" applyFont="1" applyAlignment="1">
      <alignment horizontal="center" vertical="center"/>
    </xf>
    <xf numFmtId="1" fontId="26" fillId="3" borderId="0" xfId="0" applyNumberFormat="1" applyFont="1" applyFill="1" applyAlignment="1">
      <alignment horizontal="center" vertical="center"/>
    </xf>
    <xf numFmtId="1" fontId="17" fillId="0" borderId="0" xfId="0" applyNumberFormat="1" applyFont="1" applyAlignment="1">
      <alignment horizontal="center" vertical="center"/>
    </xf>
    <xf numFmtId="0" fontId="19" fillId="0" borderId="0" xfId="0" applyFont="1" applyAlignment="1">
      <alignment horizontal="center" vertical="center" wrapText="1"/>
    </xf>
    <xf numFmtId="0" fontId="2" fillId="0" borderId="3" xfId="0" applyFont="1" applyBorder="1" applyAlignment="1">
      <alignment horizontal="center"/>
    </xf>
    <xf numFmtId="0" fontId="3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/>
    </xf>
    <xf numFmtId="49" fontId="3" fillId="0" borderId="13" xfId="0" applyNumberFormat="1" applyFont="1" applyBorder="1" applyAlignment="1">
      <alignment horizontal="center" vertical="center"/>
    </xf>
    <xf numFmtId="0" fontId="3" fillId="0" borderId="13" xfId="1" applyFont="1" applyBorder="1" applyAlignment="1">
      <alignment horizontal="center" vertical="center" wrapText="1"/>
    </xf>
    <xf numFmtId="0" fontId="38" fillId="0" borderId="13" xfId="1" applyFont="1" applyBorder="1" applyAlignment="1">
      <alignment horizontal="center" vertical="center" wrapText="1"/>
    </xf>
    <xf numFmtId="0" fontId="38" fillId="0" borderId="0" xfId="1" applyFont="1" applyAlignment="1">
      <alignment horizontal="center" vertical="center" wrapText="1"/>
    </xf>
    <xf numFmtId="0" fontId="42" fillId="0" borderId="0" xfId="0" applyFont="1"/>
    <xf numFmtId="0" fontId="56" fillId="0" borderId="0" xfId="0" applyFont="1"/>
    <xf numFmtId="1" fontId="9" fillId="3" borderId="5" xfId="0" applyNumberFormat="1" applyFont="1" applyFill="1" applyBorder="1" applyAlignment="1">
      <alignment horizontal="center" vertical="center"/>
    </xf>
    <xf numFmtId="49" fontId="9" fillId="3" borderId="5" xfId="0" applyNumberFormat="1" applyFont="1" applyFill="1" applyBorder="1" applyAlignment="1">
      <alignment horizontal="center" vertical="center"/>
    </xf>
    <xf numFmtId="49" fontId="19" fillId="0" borderId="5" xfId="0" applyNumberFormat="1" applyFont="1" applyBorder="1" applyAlignment="1">
      <alignment horizontal="center" vertical="center"/>
    </xf>
    <xf numFmtId="1" fontId="9" fillId="0" borderId="11" xfId="0" applyNumberFormat="1" applyFont="1" applyBorder="1" applyAlignment="1">
      <alignment horizontal="right" vertical="center" indent="2"/>
    </xf>
    <xf numFmtId="1" fontId="9" fillId="0" borderId="0" xfId="0" applyNumberFormat="1" applyFont="1" applyAlignment="1">
      <alignment horizontal="right" vertical="center" indent="2"/>
    </xf>
    <xf numFmtId="1" fontId="9" fillId="0" borderId="6" xfId="0" applyNumberFormat="1" applyFont="1" applyBorder="1" applyAlignment="1">
      <alignment horizontal="right" vertical="center" wrapText="1" indent="2"/>
    </xf>
    <xf numFmtId="1" fontId="9" fillId="2" borderId="11" xfId="0" applyNumberFormat="1" applyFont="1" applyFill="1" applyBorder="1" applyAlignment="1">
      <alignment horizontal="right" vertical="center" indent="2"/>
    </xf>
    <xf numFmtId="1" fontId="9" fillId="2" borderId="0" xfId="0" applyNumberFormat="1" applyFont="1" applyFill="1" applyAlignment="1">
      <alignment horizontal="right" vertical="center" indent="2"/>
    </xf>
    <xf numFmtId="1" fontId="9" fillId="2" borderId="6" xfId="0" applyNumberFormat="1" applyFont="1" applyFill="1" applyBorder="1" applyAlignment="1">
      <alignment horizontal="right" vertical="center" indent="2"/>
    </xf>
    <xf numFmtId="0" fontId="55" fillId="2" borderId="6" xfId="0" applyFont="1" applyFill="1" applyBorder="1" applyAlignment="1">
      <alignment horizontal="center" vertical="center"/>
    </xf>
    <xf numFmtId="1" fontId="9" fillId="3" borderId="11" xfId="0" applyNumberFormat="1" applyFont="1" applyFill="1" applyBorder="1" applyAlignment="1">
      <alignment horizontal="right" vertical="center" wrapText="1" indent="2"/>
    </xf>
    <xf numFmtId="1" fontId="9" fillId="3" borderId="0" xfId="0" applyNumberFormat="1" applyFont="1" applyFill="1" applyAlignment="1">
      <alignment horizontal="right" vertical="center" wrapText="1" indent="2"/>
    </xf>
    <xf numFmtId="1" fontId="9" fillId="3" borderId="0" xfId="0" applyNumberFormat="1" applyFont="1" applyFill="1" applyAlignment="1">
      <alignment horizontal="right" vertical="center" indent="2"/>
    </xf>
    <xf numFmtId="1" fontId="9" fillId="3" borderId="6" xfId="0" applyNumberFormat="1" applyFont="1" applyFill="1" applyBorder="1" applyAlignment="1">
      <alignment horizontal="right" vertical="center" indent="2"/>
    </xf>
    <xf numFmtId="1" fontId="9" fillId="2" borderId="6" xfId="0" applyNumberFormat="1" applyFont="1" applyFill="1" applyBorder="1" applyAlignment="1">
      <alignment horizontal="right" vertical="center" wrapText="1" indent="2"/>
    </xf>
    <xf numFmtId="1" fontId="9" fillId="3" borderId="6" xfId="0" applyNumberFormat="1" applyFont="1" applyFill="1" applyBorder="1" applyAlignment="1">
      <alignment horizontal="right" vertical="center" wrapText="1" indent="2"/>
    </xf>
    <xf numFmtId="0" fontId="55" fillId="3" borderId="6" xfId="0" applyFont="1" applyFill="1" applyBorder="1" applyAlignment="1">
      <alignment horizontal="center" vertical="center"/>
    </xf>
    <xf numFmtId="1" fontId="9" fillId="3" borderId="11" xfId="0" applyNumberFormat="1" applyFont="1" applyFill="1" applyBorder="1" applyAlignment="1">
      <alignment horizontal="center" vertical="center" wrapText="1"/>
    </xf>
    <xf numFmtId="1" fontId="55" fillId="3" borderId="0" xfId="0" applyNumberFormat="1" applyFont="1" applyFill="1" applyAlignment="1">
      <alignment horizontal="center" vertical="center" wrapText="1"/>
    </xf>
    <xf numFmtId="1" fontId="55" fillId="3" borderId="5" xfId="0" applyNumberFormat="1" applyFont="1" applyFill="1" applyBorder="1" applyAlignment="1">
      <alignment horizontal="center" vertical="center" wrapText="1"/>
    </xf>
    <xf numFmtId="0" fontId="55" fillId="3" borderId="5" xfId="0" applyFont="1" applyFill="1" applyBorder="1" applyAlignment="1">
      <alignment horizontal="center" vertical="center"/>
    </xf>
    <xf numFmtId="0" fontId="55" fillId="2" borderId="5" xfId="0" applyFont="1" applyFill="1" applyBorder="1" applyAlignment="1">
      <alignment horizontal="center" vertical="center"/>
    </xf>
    <xf numFmtId="49" fontId="19" fillId="0" borderId="5" xfId="0" applyNumberFormat="1" applyFont="1" applyBorder="1" applyAlignment="1">
      <alignment horizontal="center" vertical="center" wrapText="1"/>
    </xf>
    <xf numFmtId="1" fontId="19" fillId="2" borderId="10" xfId="0" applyNumberFormat="1" applyFont="1" applyFill="1" applyBorder="1" applyAlignment="1">
      <alignment horizontal="right" vertical="center" indent="1"/>
    </xf>
    <xf numFmtId="1" fontId="9" fillId="0" borderId="11" xfId="0" applyNumberFormat="1" applyFont="1" applyBorder="1" applyAlignment="1">
      <alignment horizontal="right" vertical="center" indent="1"/>
    </xf>
    <xf numFmtId="1" fontId="9" fillId="0" borderId="0" xfId="0" applyNumberFormat="1" applyFont="1" applyAlignment="1">
      <alignment horizontal="right" vertical="center" indent="1"/>
    </xf>
    <xf numFmtId="1" fontId="9" fillId="0" borderId="5" xfId="0" applyNumberFormat="1" applyFont="1" applyBorder="1" applyAlignment="1">
      <alignment horizontal="center" vertical="center"/>
    </xf>
    <xf numFmtId="1" fontId="9" fillId="2" borderId="11" xfId="0" applyNumberFormat="1" applyFont="1" applyFill="1" applyBorder="1" applyAlignment="1">
      <alignment horizontal="right" vertical="center" indent="1"/>
    </xf>
    <xf numFmtId="1" fontId="9" fillId="2" borderId="0" xfId="0" applyNumberFormat="1" applyFont="1" applyFill="1" applyAlignment="1">
      <alignment horizontal="right" vertical="center" indent="1"/>
    </xf>
    <xf numFmtId="1" fontId="9" fillId="3" borderId="11" xfId="0" applyNumberFormat="1" applyFont="1" applyFill="1" applyBorder="1" applyAlignment="1">
      <alignment horizontal="right" vertical="center" indent="1"/>
    </xf>
    <xf numFmtId="1" fontId="9" fillId="3" borderId="0" xfId="0" applyNumberFormat="1" applyFont="1" applyFill="1" applyAlignment="1">
      <alignment horizontal="right" vertical="center" indent="1"/>
    </xf>
    <xf numFmtId="1" fontId="9" fillId="3" borderId="6" xfId="0" applyNumberFormat="1" applyFont="1" applyFill="1" applyBorder="1" applyAlignment="1">
      <alignment horizontal="right" vertical="center" indent="1"/>
    </xf>
    <xf numFmtId="1" fontId="55" fillId="3" borderId="5" xfId="0" applyNumberFormat="1" applyFont="1" applyFill="1" applyBorder="1" applyAlignment="1">
      <alignment horizontal="center" vertical="center"/>
    </xf>
    <xf numFmtId="0" fontId="55" fillId="3" borderId="7" xfId="0" applyFont="1" applyFill="1" applyBorder="1" applyAlignment="1">
      <alignment horizontal="center" vertical="center"/>
    </xf>
    <xf numFmtId="1" fontId="55" fillId="3" borderId="6" xfId="0" applyNumberFormat="1" applyFont="1" applyFill="1" applyBorder="1" applyAlignment="1">
      <alignment horizontal="right" vertical="center" indent="1"/>
    </xf>
    <xf numFmtId="1" fontId="55" fillId="3" borderId="11" xfId="0" applyNumberFormat="1" applyFont="1" applyFill="1" applyBorder="1" applyAlignment="1">
      <alignment horizontal="right" vertical="center" indent="1"/>
    </xf>
    <xf numFmtId="1" fontId="55" fillId="3" borderId="0" xfId="0" applyNumberFormat="1" applyFont="1" applyFill="1" applyAlignment="1">
      <alignment horizontal="right" vertical="center" indent="1"/>
    </xf>
    <xf numFmtId="1" fontId="55" fillId="3" borderId="11" xfId="0" applyNumberFormat="1" applyFont="1" applyFill="1" applyBorder="1" applyAlignment="1">
      <alignment horizontal="right" vertical="center" wrapText="1" indent="1"/>
    </xf>
    <xf numFmtId="1" fontId="55" fillId="3" borderId="0" xfId="0" applyNumberFormat="1" applyFont="1" applyFill="1" applyAlignment="1">
      <alignment horizontal="right" vertical="center" wrapText="1" indent="1"/>
    </xf>
    <xf numFmtId="1" fontId="55" fillId="3" borderId="8" xfId="0" applyNumberFormat="1" applyFont="1" applyFill="1" applyBorder="1" applyAlignment="1">
      <alignment horizontal="right" vertical="center" indent="1"/>
    </xf>
    <xf numFmtId="1" fontId="9" fillId="3" borderId="11" xfId="0" applyNumberFormat="1" applyFont="1" applyFill="1" applyBorder="1" applyAlignment="1">
      <alignment horizontal="right" vertical="center" wrapText="1" indent="1"/>
    </xf>
    <xf numFmtId="1" fontId="9" fillId="3" borderId="0" xfId="0" applyNumberFormat="1" applyFont="1" applyFill="1" applyAlignment="1">
      <alignment horizontal="right" vertical="center" wrapText="1" indent="1"/>
    </xf>
    <xf numFmtId="1" fontId="55" fillId="3" borderId="6" xfId="0" applyNumberFormat="1" applyFont="1" applyFill="1" applyBorder="1" applyAlignment="1">
      <alignment horizontal="right" vertical="center" wrapText="1" indent="1"/>
    </xf>
    <xf numFmtId="0" fontId="55" fillId="2" borderId="7" xfId="0" applyFont="1" applyFill="1" applyBorder="1" applyAlignment="1">
      <alignment horizontal="center" vertical="center"/>
    </xf>
    <xf numFmtId="1" fontId="9" fillId="3" borderId="12" xfId="0" applyNumberFormat="1" applyFont="1" applyFill="1" applyBorder="1" applyAlignment="1">
      <alignment horizontal="right" vertical="center" wrapText="1" indent="1"/>
    </xf>
    <xf numFmtId="1" fontId="9" fillId="3" borderId="1" xfId="0" applyNumberFormat="1" applyFont="1" applyFill="1" applyBorder="1" applyAlignment="1">
      <alignment horizontal="right" vertical="center" wrapText="1" indent="1"/>
    </xf>
    <xf numFmtId="1" fontId="55" fillId="3" borderId="12" xfId="0" applyNumberFormat="1" applyFont="1" applyFill="1" applyBorder="1" applyAlignment="1">
      <alignment horizontal="right" vertical="center" indent="1"/>
    </xf>
    <xf numFmtId="1" fontId="55" fillId="3" borderId="1" xfId="0" applyNumberFormat="1" applyFont="1" applyFill="1" applyBorder="1" applyAlignment="1">
      <alignment horizontal="right" vertical="center" indent="1"/>
    </xf>
    <xf numFmtId="0" fontId="42" fillId="0" borderId="1" xfId="0" applyFont="1" applyBorder="1"/>
    <xf numFmtId="0" fontId="3" fillId="0" borderId="13" xfId="0" applyFont="1" applyBorder="1" applyAlignment="1">
      <alignment horizontal="center" vertical="center"/>
    </xf>
    <xf numFmtId="0" fontId="52" fillId="0" borderId="0" xfId="0" applyFont="1"/>
    <xf numFmtId="0" fontId="52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 wrapText="1" indent="1"/>
    </xf>
    <xf numFmtId="1" fontId="8" fillId="0" borderId="0" xfId="0" applyNumberFormat="1" applyFont="1" applyAlignment="1">
      <alignment horizontal="right" vertical="center" wrapText="1" indent="1"/>
    </xf>
    <xf numFmtId="1" fontId="55" fillId="3" borderId="11" xfId="1" applyNumberFormat="1" applyFont="1" applyFill="1" applyBorder="1" applyAlignment="1">
      <alignment horizontal="center" vertical="center"/>
    </xf>
    <xf numFmtId="1" fontId="55" fillId="3" borderId="0" xfId="1" applyNumberFormat="1" applyFont="1" applyFill="1" applyAlignment="1">
      <alignment horizontal="center" vertical="center"/>
    </xf>
    <xf numFmtId="1" fontId="9" fillId="0" borderId="0" xfId="1" applyNumberFormat="1" applyFont="1" applyAlignment="1">
      <alignment horizontal="center" vertical="center" wrapText="1"/>
    </xf>
    <xf numFmtId="0" fontId="23" fillId="2" borderId="11" xfId="0" applyFont="1" applyFill="1" applyBorder="1" applyAlignment="1">
      <alignment horizontal="center" vertical="center"/>
    </xf>
    <xf numFmtId="0" fontId="55" fillId="2" borderId="11" xfId="0" applyFont="1" applyFill="1" applyBorder="1" applyAlignment="1">
      <alignment horizontal="center" vertical="center"/>
    </xf>
    <xf numFmtId="0" fontId="55" fillId="3" borderId="11" xfId="0" applyFont="1" applyFill="1" applyBorder="1" applyAlignment="1">
      <alignment horizontal="center" vertical="center"/>
    </xf>
    <xf numFmtId="0" fontId="55" fillId="2" borderId="12" xfId="0" applyFont="1" applyFill="1" applyBorder="1" applyAlignment="1">
      <alignment horizontal="center" vertical="center"/>
    </xf>
    <xf numFmtId="0" fontId="55" fillId="2" borderId="1" xfId="0" applyFont="1" applyFill="1" applyBorder="1" applyAlignment="1">
      <alignment horizontal="center" vertical="center"/>
    </xf>
    <xf numFmtId="0" fontId="55" fillId="2" borderId="8" xfId="0" applyFont="1" applyFill="1" applyBorder="1" applyAlignment="1">
      <alignment horizontal="center" vertical="center"/>
    </xf>
    <xf numFmtId="1" fontId="9" fillId="3" borderId="11" xfId="0" applyNumberFormat="1" applyFont="1" applyFill="1" applyBorder="1" applyAlignment="1">
      <alignment horizontal="center" vertical="center"/>
    </xf>
    <xf numFmtId="1" fontId="9" fillId="3" borderId="0" xfId="0" applyNumberFormat="1" applyFont="1" applyFill="1" applyAlignment="1">
      <alignment horizontal="center" vertical="center"/>
    </xf>
    <xf numFmtId="0" fontId="9" fillId="3" borderId="5" xfId="0" applyFont="1" applyFill="1" applyBorder="1" applyAlignment="1">
      <alignment horizontal="center" vertical="center" wrapText="1"/>
    </xf>
    <xf numFmtId="1" fontId="9" fillId="2" borderId="8" xfId="0" applyNumberFormat="1" applyFont="1" applyFill="1" applyBorder="1" applyAlignment="1">
      <alignment horizontal="right" vertical="center" wrapText="1" indent="2"/>
    </xf>
    <xf numFmtId="1" fontId="9" fillId="2" borderId="1" xfId="0" applyNumberFormat="1" applyFont="1" applyFill="1" applyBorder="1" applyAlignment="1">
      <alignment horizontal="right" vertical="center" indent="2"/>
    </xf>
    <xf numFmtId="1" fontId="9" fillId="2" borderId="8" xfId="0" applyNumberFormat="1" applyFont="1" applyFill="1" applyBorder="1" applyAlignment="1">
      <alignment horizontal="right" vertical="center" indent="2"/>
    </xf>
    <xf numFmtId="0" fontId="17" fillId="0" borderId="0" xfId="0" applyFont="1" applyAlignment="1">
      <alignment vertical="top"/>
    </xf>
    <xf numFmtId="1" fontId="9" fillId="2" borderId="6" xfId="0" applyNumberFormat="1" applyFont="1" applyFill="1" applyBorder="1" applyAlignment="1">
      <alignment horizontal="right" vertical="center" indent="3"/>
    </xf>
    <xf numFmtId="1" fontId="9" fillId="0" borderId="6" xfId="0" applyNumberFormat="1" applyFont="1" applyBorder="1" applyAlignment="1">
      <alignment horizontal="right" vertical="center" indent="3"/>
    </xf>
    <xf numFmtId="1" fontId="9" fillId="2" borderId="8" xfId="0" applyNumberFormat="1" applyFont="1" applyFill="1" applyBorder="1" applyAlignment="1">
      <alignment horizontal="right" vertical="center" indent="3"/>
    </xf>
    <xf numFmtId="0" fontId="41" fillId="0" borderId="0" xfId="0" applyFont="1"/>
    <xf numFmtId="1" fontId="55" fillId="3" borderId="7" xfId="0" applyNumberFormat="1" applyFont="1" applyFill="1" applyBorder="1" applyAlignment="1">
      <alignment horizontal="center" vertical="center"/>
    </xf>
    <xf numFmtId="1" fontId="9" fillId="3" borderId="6" xfId="0" applyNumberFormat="1" applyFont="1" applyFill="1" applyBorder="1" applyAlignment="1">
      <alignment horizontal="right" vertical="center" wrapText="1" indent="1"/>
    </xf>
    <xf numFmtId="1" fontId="55" fillId="3" borderId="12" xfId="0" applyNumberFormat="1" applyFont="1" applyFill="1" applyBorder="1" applyAlignment="1">
      <alignment horizontal="right" vertical="center" wrapText="1" indent="1"/>
    </xf>
    <xf numFmtId="1" fontId="55" fillId="3" borderId="1" xfId="0" applyNumberFormat="1" applyFont="1" applyFill="1" applyBorder="1" applyAlignment="1">
      <alignment horizontal="right" vertical="center" wrapText="1" indent="1"/>
    </xf>
    <xf numFmtId="3" fontId="9" fillId="3" borderId="0" xfId="0" applyNumberFormat="1" applyFont="1" applyFill="1" applyAlignment="1">
      <alignment horizontal="right" vertical="center" wrapText="1" indent="1"/>
    </xf>
    <xf numFmtId="1" fontId="9" fillId="3" borderId="1" xfId="0" applyNumberFormat="1" applyFont="1" applyFill="1" applyBorder="1" applyAlignment="1">
      <alignment horizontal="right" vertical="center" indent="1"/>
    </xf>
    <xf numFmtId="1" fontId="9" fillId="3" borderId="8" xfId="0" applyNumberFormat="1" applyFont="1" applyFill="1" applyBorder="1" applyAlignment="1">
      <alignment horizontal="right" vertical="center" indent="1"/>
    </xf>
    <xf numFmtId="0" fontId="56" fillId="0" borderId="9" xfId="0" applyFont="1" applyBorder="1"/>
    <xf numFmtId="0" fontId="55" fillId="0" borderId="0" xfId="0" applyFont="1" applyAlignment="1">
      <alignment vertical="center" wrapText="1"/>
    </xf>
    <xf numFmtId="0" fontId="42" fillId="3" borderId="0" xfId="0" applyFont="1" applyFill="1" applyAlignment="1">
      <alignment vertical="center"/>
    </xf>
    <xf numFmtId="0" fontId="9" fillId="0" borderId="9" xfId="0" applyFont="1" applyBorder="1" applyAlignment="1">
      <alignment vertical="center"/>
    </xf>
    <xf numFmtId="0" fontId="55" fillId="2" borderId="0" xfId="0" applyFont="1" applyFill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55" fillId="3" borderId="0" xfId="0" applyFont="1" applyFill="1" applyAlignment="1">
      <alignment horizontal="center" vertical="center"/>
    </xf>
    <xf numFmtId="1" fontId="19" fillId="2" borderId="0" xfId="0" applyNumberFormat="1" applyFont="1" applyFill="1" applyAlignment="1">
      <alignment horizontal="right" vertical="center" indent="1"/>
    </xf>
    <xf numFmtId="0" fontId="58" fillId="0" borderId="3" xfId="1" applyFont="1" applyBorder="1" applyAlignment="1">
      <alignment horizontal="center" vertical="center" wrapText="1"/>
    </xf>
    <xf numFmtId="0" fontId="23" fillId="2" borderId="10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1" fontId="19" fillId="2" borderId="6" xfId="0" applyNumberFormat="1" applyFont="1" applyFill="1" applyBorder="1" applyAlignment="1">
      <alignment horizontal="right" vertical="center" indent="2"/>
    </xf>
    <xf numFmtId="1" fontId="19" fillId="2" borderId="0" xfId="0" applyNumberFormat="1" applyFont="1" applyFill="1" applyAlignment="1">
      <alignment horizontal="right" vertical="center" indent="2"/>
    </xf>
    <xf numFmtId="1" fontId="9" fillId="0" borderId="6" xfId="0" applyNumberFormat="1" applyFont="1" applyBorder="1" applyAlignment="1">
      <alignment horizontal="right" vertical="center" indent="2"/>
    </xf>
    <xf numFmtId="1" fontId="9" fillId="0" borderId="12" xfId="0" applyNumberFormat="1" applyFont="1" applyBorder="1" applyAlignment="1">
      <alignment horizontal="right" vertical="center" indent="1"/>
    </xf>
    <xf numFmtId="1" fontId="9" fillId="0" borderId="1" xfId="0" applyNumberFormat="1" applyFont="1" applyBorder="1" applyAlignment="1">
      <alignment horizontal="right" vertical="center" indent="1"/>
    </xf>
    <xf numFmtId="1" fontId="9" fillId="0" borderId="8" xfId="0" applyNumberFormat="1" applyFont="1" applyBorder="1" applyAlignment="1">
      <alignment horizontal="right" vertical="center" indent="2"/>
    </xf>
    <xf numFmtId="1" fontId="9" fillId="0" borderId="1" xfId="0" applyNumberFormat="1" applyFont="1" applyBorder="1" applyAlignment="1">
      <alignment horizontal="right" vertical="center" indent="2"/>
    </xf>
    <xf numFmtId="1" fontId="9" fillId="0" borderId="8" xfId="0" applyNumberFormat="1" applyFont="1" applyBorder="1" applyAlignment="1">
      <alignment horizontal="right" vertical="center" wrapText="1" indent="2"/>
    </xf>
    <xf numFmtId="1" fontId="9" fillId="2" borderId="4" xfId="0" applyNumberFormat="1" applyFont="1" applyFill="1" applyBorder="1" applyAlignment="1">
      <alignment horizontal="right" vertical="center" wrapText="1" indent="2"/>
    </xf>
    <xf numFmtId="1" fontId="9" fillId="2" borderId="12" xfId="0" applyNumberFormat="1" applyFont="1" applyFill="1" applyBorder="1" applyAlignment="1">
      <alignment horizontal="right" vertical="center" indent="2"/>
    </xf>
    <xf numFmtId="1" fontId="55" fillId="3" borderId="11" xfId="0" applyNumberFormat="1" applyFont="1" applyFill="1" applyBorder="1" applyAlignment="1">
      <alignment horizontal="right" vertical="center" indent="4"/>
    </xf>
    <xf numFmtId="1" fontId="55" fillId="3" borderId="0" xfId="0" applyNumberFormat="1" applyFont="1" applyFill="1" applyAlignment="1">
      <alignment horizontal="right" vertical="center" indent="4"/>
    </xf>
    <xf numFmtId="1" fontId="55" fillId="3" borderId="6" xfId="0" applyNumberFormat="1" applyFont="1" applyFill="1" applyBorder="1" applyAlignment="1">
      <alignment horizontal="right" vertical="center" indent="4"/>
    </xf>
    <xf numFmtId="0" fontId="60" fillId="0" borderId="0" xfId="0" applyFont="1"/>
    <xf numFmtId="1" fontId="55" fillId="3" borderId="8" xfId="0" applyNumberFormat="1" applyFont="1" applyFill="1" applyBorder="1" applyAlignment="1">
      <alignment horizontal="right" vertical="center" wrapText="1" indent="1"/>
    </xf>
    <xf numFmtId="0" fontId="55" fillId="0" borderId="7" xfId="0" applyFont="1" applyBorder="1" applyAlignment="1">
      <alignment horizontal="center" vertical="center"/>
    </xf>
    <xf numFmtId="0" fontId="55" fillId="0" borderId="5" xfId="0" applyFont="1" applyBorder="1" applyAlignment="1">
      <alignment horizontal="center" vertical="center"/>
    </xf>
    <xf numFmtId="0" fontId="9" fillId="0" borderId="5" xfId="0" applyFont="1" applyBorder="1" applyAlignment="1">
      <alignment horizontal="left" vertical="center" wrapText="1" indent="1"/>
    </xf>
    <xf numFmtId="0" fontId="9" fillId="3" borderId="5" xfId="0" applyFont="1" applyFill="1" applyBorder="1" applyAlignment="1">
      <alignment horizontal="right" vertical="center" wrapText="1" indent="1"/>
    </xf>
    <xf numFmtId="0" fontId="9" fillId="2" borderId="5" xfId="0" applyFont="1" applyFill="1" applyBorder="1" applyAlignment="1">
      <alignment horizontal="left" vertical="center" wrapText="1" indent="1"/>
    </xf>
    <xf numFmtId="0" fontId="9" fillId="3" borderId="5" xfId="0" applyFont="1" applyFill="1" applyBorder="1" applyAlignment="1">
      <alignment horizontal="left" vertical="center" wrapText="1" indent="1"/>
    </xf>
    <xf numFmtId="0" fontId="9" fillId="3" borderId="11" xfId="0" applyFont="1" applyFill="1" applyBorder="1" applyAlignment="1">
      <alignment horizontal="left" vertical="center" wrapText="1" indent="1"/>
    </xf>
    <xf numFmtId="0" fontId="56" fillId="0" borderId="0" xfId="0" applyFont="1" applyAlignment="1">
      <alignment horizontal="right" vertical="center"/>
    </xf>
    <xf numFmtId="0" fontId="61" fillId="0" borderId="0" xfId="0" applyFont="1"/>
    <xf numFmtId="1" fontId="9" fillId="3" borderId="0" xfId="0" applyNumberFormat="1" applyFont="1" applyFill="1" applyAlignment="1">
      <alignment horizontal="right" vertical="center"/>
    </xf>
    <xf numFmtId="0" fontId="9" fillId="3" borderId="6" xfId="0" applyFont="1" applyFill="1" applyBorder="1" applyAlignment="1">
      <alignment horizontal="right" vertical="center" indent="1"/>
    </xf>
    <xf numFmtId="0" fontId="9" fillId="3" borderId="6" xfId="0" applyFont="1" applyFill="1" applyBorder="1" applyAlignment="1">
      <alignment horizontal="right" vertical="center" wrapText="1" indent="1"/>
    </xf>
    <xf numFmtId="0" fontId="9" fillId="3" borderId="0" xfId="0" applyFont="1" applyFill="1" applyAlignment="1">
      <alignment horizontal="right" vertical="center" wrapText="1" indent="1"/>
    </xf>
    <xf numFmtId="0" fontId="9" fillId="2" borderId="0" xfId="0" applyFont="1" applyFill="1" applyAlignment="1">
      <alignment horizontal="right" vertical="center" wrapText="1" indent="1"/>
    </xf>
    <xf numFmtId="0" fontId="9" fillId="3" borderId="5" xfId="1" applyFont="1" applyFill="1" applyBorder="1" applyAlignment="1">
      <alignment horizontal="left" vertical="center" wrapText="1" indent="1"/>
    </xf>
    <xf numFmtId="0" fontId="9" fillId="3" borderId="6" xfId="1" applyFont="1" applyFill="1" applyBorder="1" applyAlignment="1">
      <alignment horizontal="right" vertical="center" wrapText="1" indent="1"/>
    </xf>
    <xf numFmtId="0" fontId="9" fillId="3" borderId="5" xfId="1" applyFont="1" applyFill="1" applyBorder="1" applyAlignment="1">
      <alignment horizontal="right" vertical="center" wrapText="1" indent="1"/>
    </xf>
    <xf numFmtId="0" fontId="9" fillId="3" borderId="5" xfId="0" applyFont="1" applyFill="1" applyBorder="1" applyAlignment="1">
      <alignment horizontal="right" vertical="center" indent="1"/>
    </xf>
    <xf numFmtId="0" fontId="23" fillId="2" borderId="6" xfId="0" applyFont="1" applyFill="1" applyBorder="1" applyAlignment="1">
      <alignment horizontal="center" vertical="center"/>
    </xf>
    <xf numFmtId="0" fontId="9" fillId="3" borderId="11" xfId="1" applyFont="1" applyFill="1" applyBorder="1" applyAlignment="1">
      <alignment horizontal="left" vertical="center" wrapText="1" indent="1"/>
    </xf>
    <xf numFmtId="0" fontId="19" fillId="2" borderId="2" xfId="0" applyFont="1" applyFill="1" applyBorder="1" applyAlignment="1">
      <alignment horizontal="left" vertical="center" wrapText="1" indent="1"/>
    </xf>
    <xf numFmtId="0" fontId="23" fillId="2" borderId="0" xfId="0" applyFont="1" applyFill="1" applyAlignment="1">
      <alignment horizontal="right" vertical="center" indent="1"/>
    </xf>
    <xf numFmtId="0" fontId="23" fillId="2" borderId="5" xfId="0" applyFont="1" applyFill="1" applyBorder="1" applyAlignment="1">
      <alignment horizontal="center" vertical="center"/>
    </xf>
    <xf numFmtId="0" fontId="63" fillId="2" borderId="5" xfId="0" applyFont="1" applyFill="1" applyBorder="1" applyAlignment="1">
      <alignment horizontal="left" vertical="center" wrapText="1" indent="1"/>
    </xf>
    <xf numFmtId="0" fontId="63" fillId="2" borderId="0" xfId="0" applyFont="1" applyFill="1" applyAlignment="1">
      <alignment horizontal="right" vertical="center" wrapText="1" indent="1"/>
    </xf>
    <xf numFmtId="0" fontId="63" fillId="0" borderId="0" xfId="0" applyFont="1" applyAlignment="1">
      <alignment horizontal="right" vertical="center" wrapText="1" indent="1"/>
    </xf>
    <xf numFmtId="0" fontId="63" fillId="0" borderId="5" xfId="0" applyFont="1" applyBorder="1" applyAlignment="1">
      <alignment horizontal="left" vertical="center" wrapText="1" indent="1"/>
    </xf>
    <xf numFmtId="0" fontId="55" fillId="0" borderId="5" xfId="0" applyFont="1" applyBorder="1" applyAlignment="1">
      <alignment horizontal="left" vertical="center" wrapText="1" indent="1"/>
    </xf>
    <xf numFmtId="0" fontId="55" fillId="0" borderId="0" xfId="0" applyFont="1" applyAlignment="1">
      <alignment horizontal="right" vertical="center" wrapText="1" indent="1"/>
    </xf>
    <xf numFmtId="0" fontId="63" fillId="0" borderId="11" xfId="0" applyFont="1" applyBorder="1" applyAlignment="1">
      <alignment horizontal="left" vertical="center" wrapText="1" indent="1"/>
    </xf>
    <xf numFmtId="0" fontId="63" fillId="2" borderId="11" xfId="0" applyFont="1" applyFill="1" applyBorder="1" applyAlignment="1">
      <alignment horizontal="left" vertical="center" wrapText="1" indent="1"/>
    </xf>
    <xf numFmtId="0" fontId="55" fillId="2" borderId="0" xfId="0" applyFont="1" applyFill="1" applyAlignment="1">
      <alignment horizontal="right" vertical="center" wrapText="1" indent="1"/>
    </xf>
    <xf numFmtId="0" fontId="63" fillId="0" borderId="0" xfId="0" applyFont="1" applyAlignment="1">
      <alignment horizontal="right" vertical="center" indent="1"/>
    </xf>
    <xf numFmtId="0" fontId="9" fillId="0" borderId="11" xfId="0" applyFont="1" applyBorder="1" applyAlignment="1">
      <alignment horizontal="left" vertical="center" wrapText="1" indent="1"/>
    </xf>
    <xf numFmtId="0" fontId="63" fillId="0" borderId="12" xfId="0" applyFont="1" applyBorder="1" applyAlignment="1">
      <alignment horizontal="left" vertical="center" wrapText="1" indent="1"/>
    </xf>
    <xf numFmtId="0" fontId="63" fillId="0" borderId="1" xfId="0" applyFont="1" applyBorder="1" applyAlignment="1">
      <alignment horizontal="right" vertical="center" wrapText="1" indent="1"/>
    </xf>
    <xf numFmtId="0" fontId="9" fillId="2" borderId="11" xfId="0" applyFont="1" applyFill="1" applyBorder="1" applyAlignment="1">
      <alignment horizontal="left" vertical="center" wrapText="1" indent="1"/>
    </xf>
    <xf numFmtId="0" fontId="63" fillId="3" borderId="0" xfId="0" applyFont="1" applyFill="1" applyAlignment="1">
      <alignment horizontal="right" vertical="center" wrapText="1" indent="1"/>
    </xf>
    <xf numFmtId="0" fontId="63" fillId="2" borderId="7" xfId="0" applyFont="1" applyFill="1" applyBorder="1" applyAlignment="1">
      <alignment horizontal="left" vertical="center" wrapText="1" indent="1"/>
    </xf>
    <xf numFmtId="0" fontId="63" fillId="2" borderId="1" xfId="0" applyFont="1" applyFill="1" applyBorder="1" applyAlignment="1">
      <alignment horizontal="right" vertical="center" wrapText="1" indent="1"/>
    </xf>
    <xf numFmtId="0" fontId="9" fillId="2" borderId="7" xfId="0" applyFont="1" applyFill="1" applyBorder="1" applyAlignment="1">
      <alignment horizontal="left" vertical="center" wrapText="1" indent="1"/>
    </xf>
    <xf numFmtId="0" fontId="9" fillId="3" borderId="5" xfId="0" applyFont="1" applyFill="1" applyBorder="1" applyAlignment="1">
      <alignment horizontal="left" vertical="center" wrapText="1" indent="2" readingOrder="1"/>
    </xf>
    <xf numFmtId="0" fontId="9" fillId="3" borderId="0" xfId="0" applyFont="1" applyFill="1" applyAlignment="1">
      <alignment horizontal="right" vertical="center" wrapText="1" indent="2"/>
    </xf>
    <xf numFmtId="0" fontId="9" fillId="3" borderId="11" xfId="0" applyFont="1" applyFill="1" applyBorder="1" applyAlignment="1">
      <alignment horizontal="right" vertical="center" wrapText="1" indent="2"/>
    </xf>
    <xf numFmtId="0" fontId="55" fillId="3" borderId="11" xfId="0" applyFont="1" applyFill="1" applyBorder="1" applyAlignment="1">
      <alignment horizontal="right" vertical="center" wrapText="1" indent="2"/>
    </xf>
    <xf numFmtId="1" fontId="9" fillId="3" borderId="11" xfId="0" applyNumberFormat="1" applyFont="1" applyFill="1" applyBorder="1" applyAlignment="1">
      <alignment horizontal="right" vertical="center" indent="3"/>
    </xf>
    <xf numFmtId="0" fontId="55" fillId="3" borderId="5" xfId="0" applyFont="1" applyFill="1" applyBorder="1" applyAlignment="1">
      <alignment horizontal="right" vertical="center" wrapText="1" indent="1"/>
    </xf>
    <xf numFmtId="0" fontId="55" fillId="3" borderId="11" xfId="0" applyFont="1" applyFill="1" applyBorder="1" applyAlignment="1">
      <alignment horizontal="left" vertical="center" indent="2"/>
    </xf>
    <xf numFmtId="0" fontId="55" fillId="3" borderId="11" xfId="0" applyFont="1" applyFill="1" applyBorder="1" applyAlignment="1">
      <alignment horizontal="left" vertical="center" wrapText="1" indent="1"/>
    </xf>
    <xf numFmtId="0" fontId="9" fillId="3" borderId="0" xfId="0" applyFont="1" applyFill="1" applyAlignment="1">
      <alignment horizontal="right" vertical="center" indent="2"/>
    </xf>
    <xf numFmtId="0" fontId="9" fillId="3" borderId="0" xfId="1" applyFont="1" applyFill="1" applyAlignment="1">
      <alignment horizontal="right" vertical="center" wrapText="1" indent="2"/>
    </xf>
    <xf numFmtId="0" fontId="55" fillId="3" borderId="5" xfId="0" applyFont="1" applyFill="1" applyBorder="1" applyAlignment="1">
      <alignment horizontal="right" vertical="center" indent="1"/>
    </xf>
    <xf numFmtId="0" fontId="55" fillId="3" borderId="5" xfId="0" applyFont="1" applyFill="1" applyBorder="1" applyAlignment="1">
      <alignment horizontal="right" vertical="center" indent="3"/>
    </xf>
    <xf numFmtId="1" fontId="9" fillId="3" borderId="0" xfId="0" applyNumberFormat="1" applyFont="1" applyFill="1" applyAlignment="1">
      <alignment horizontal="right" vertical="center" indent="3"/>
    </xf>
    <xf numFmtId="0" fontId="55" fillId="3" borderId="5" xfId="0" applyFont="1" applyFill="1" applyBorder="1" applyAlignment="1">
      <alignment horizontal="left" vertical="center" wrapText="1" indent="1"/>
    </xf>
    <xf numFmtId="0" fontId="23" fillId="3" borderId="11" xfId="0" applyFont="1" applyFill="1" applyBorder="1" applyAlignment="1">
      <alignment horizontal="center" vertical="center"/>
    </xf>
    <xf numFmtId="0" fontId="55" fillId="3" borderId="7" xfId="0" applyFont="1" applyFill="1" applyBorder="1" applyAlignment="1">
      <alignment horizontal="left" vertical="center" wrapText="1" indent="1"/>
    </xf>
    <xf numFmtId="1" fontId="9" fillId="3" borderId="12" xfId="0" applyNumberFormat="1" applyFont="1" applyFill="1" applyBorder="1" applyAlignment="1">
      <alignment horizontal="right" vertical="center" indent="1"/>
    </xf>
    <xf numFmtId="0" fontId="9" fillId="3" borderId="7" xfId="0" applyFont="1" applyFill="1" applyBorder="1" applyAlignment="1">
      <alignment horizontal="right" vertical="center" wrapText="1" indent="1"/>
    </xf>
    <xf numFmtId="0" fontId="55" fillId="3" borderId="0" xfId="0" applyFont="1" applyFill="1" applyAlignment="1">
      <alignment horizontal="right" vertical="center" wrapText="1" indent="1"/>
    </xf>
    <xf numFmtId="0" fontId="55" fillId="3" borderId="0" xfId="0" applyFont="1" applyFill="1" applyAlignment="1">
      <alignment horizontal="center" vertical="center" wrapText="1"/>
    </xf>
    <xf numFmtId="0" fontId="55" fillId="3" borderId="5" xfId="0" applyFont="1" applyFill="1" applyBorder="1" applyAlignment="1">
      <alignment horizontal="left" wrapText="1" indent="1"/>
    </xf>
    <xf numFmtId="0" fontId="9" fillId="3" borderId="12" xfId="0" applyFont="1" applyFill="1" applyBorder="1" applyAlignment="1">
      <alignment horizontal="left" vertical="center" wrapText="1" indent="1"/>
    </xf>
    <xf numFmtId="0" fontId="9" fillId="3" borderId="5" xfId="0" applyFont="1" applyFill="1" applyBorder="1" applyAlignment="1">
      <alignment horizontal="left" vertical="center" indent="1"/>
    </xf>
    <xf numFmtId="0" fontId="9" fillId="3" borderId="4" xfId="0" applyFont="1" applyFill="1" applyBorder="1" applyAlignment="1">
      <alignment horizontal="center" vertical="center"/>
    </xf>
    <xf numFmtId="1" fontId="9" fillId="3" borderId="11" xfId="0" applyNumberFormat="1" applyFont="1" applyFill="1" applyBorder="1" applyAlignment="1">
      <alignment horizontal="right" vertical="center"/>
    </xf>
    <xf numFmtId="1" fontId="55" fillId="3" borderId="11" xfId="0" applyNumberFormat="1" applyFont="1" applyFill="1" applyBorder="1" applyAlignment="1">
      <alignment horizontal="right" vertical="center"/>
    </xf>
    <xf numFmtId="1" fontId="55" fillId="3" borderId="0" xfId="0" applyNumberFormat="1" applyFont="1" applyFill="1" applyAlignment="1">
      <alignment horizontal="right" vertical="center"/>
    </xf>
    <xf numFmtId="1" fontId="9" fillId="2" borderId="9" xfId="0" applyNumberFormat="1" applyFont="1" applyFill="1" applyBorder="1" applyAlignment="1">
      <alignment horizontal="right" vertical="center" indent="2"/>
    </xf>
    <xf numFmtId="1" fontId="9" fillId="2" borderId="4" xfId="0" applyNumberFormat="1" applyFont="1" applyFill="1" applyBorder="1" applyAlignment="1">
      <alignment horizontal="right" vertical="center" indent="2"/>
    </xf>
    <xf numFmtId="0" fontId="19" fillId="0" borderId="3" xfId="0" applyFont="1" applyBorder="1" applyAlignment="1">
      <alignment horizontal="center" vertical="center" wrapText="1"/>
    </xf>
    <xf numFmtId="0" fontId="53" fillId="0" borderId="7" xfId="0" applyFont="1" applyBorder="1" applyAlignment="1">
      <alignment horizontal="center" vertical="center"/>
    </xf>
    <xf numFmtId="0" fontId="52" fillId="3" borderId="0" xfId="1" applyFont="1" applyFill="1" applyAlignment="1">
      <alignment horizontal="center" vertical="center" wrapText="1"/>
    </xf>
    <xf numFmtId="0" fontId="5" fillId="0" borderId="13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/>
    </xf>
    <xf numFmtId="0" fontId="9" fillId="3" borderId="0" xfId="0" applyFont="1" applyFill="1" applyAlignment="1">
      <alignment horizontal="center" vertical="center" wrapText="1"/>
    </xf>
    <xf numFmtId="0" fontId="9" fillId="0" borderId="0" xfId="0" applyFont="1" applyAlignment="1">
      <alignment horizontal="right" vertical="center" wrapText="1" indent="1" readingOrder="2"/>
    </xf>
    <xf numFmtId="0" fontId="9" fillId="3" borderId="2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right" vertical="center" wrapText="1" indent="1"/>
    </xf>
    <xf numFmtId="0" fontId="9" fillId="3" borderId="0" xfId="0" applyFont="1" applyFill="1" applyAlignment="1">
      <alignment horizontal="left" vertical="center" wrapText="1" indent="1"/>
    </xf>
    <xf numFmtId="0" fontId="9" fillId="3" borderId="11" xfId="0" applyFont="1" applyFill="1" applyBorder="1" applyAlignment="1">
      <alignment horizontal="right" vertical="center" wrapText="1" indent="1"/>
    </xf>
    <xf numFmtId="0" fontId="0" fillId="0" borderId="0" xfId="0" applyAlignment="1">
      <alignment horizontal="right"/>
    </xf>
    <xf numFmtId="0" fontId="32" fillId="0" borderId="0" xfId="1" applyFont="1" applyAlignment="1">
      <alignment horizontal="right" vertical="center" wrapText="1" indent="1"/>
    </xf>
    <xf numFmtId="0" fontId="32" fillId="0" borderId="0" xfId="1" applyFont="1" applyAlignment="1">
      <alignment horizontal="right" vertical="center" indent="1"/>
    </xf>
    <xf numFmtId="0" fontId="20" fillId="0" borderId="0" xfId="1" applyFont="1" applyAlignment="1">
      <alignment horizontal="right" vertical="center" indent="1"/>
    </xf>
    <xf numFmtId="0" fontId="20" fillId="0" borderId="0" xfId="1" applyFont="1" applyAlignment="1">
      <alignment horizontal="right" vertical="center" wrapText="1" indent="1"/>
    </xf>
    <xf numFmtId="0" fontId="56" fillId="0" borderId="0" xfId="0" applyFont="1" applyAlignment="1">
      <alignment horizontal="left"/>
    </xf>
    <xf numFmtId="0" fontId="19" fillId="0" borderId="3" xfId="1" applyFont="1" applyBorder="1" applyAlignment="1" applyProtection="1">
      <alignment horizontal="center" vertical="center" wrapText="1"/>
      <protection locked="0"/>
    </xf>
    <xf numFmtId="0" fontId="51" fillId="0" borderId="9" xfId="0" applyFont="1" applyBorder="1" applyAlignment="1">
      <alignment vertical="center"/>
    </xf>
    <xf numFmtId="0" fontId="9" fillId="2" borderId="5" xfId="0" applyFont="1" applyFill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23" fillId="3" borderId="2" xfId="0" applyFont="1" applyFill="1" applyBorder="1" applyAlignment="1">
      <alignment horizontal="center" vertical="center"/>
    </xf>
    <xf numFmtId="0" fontId="39" fillId="3" borderId="0" xfId="0" applyFont="1" applyFill="1" applyAlignment="1">
      <alignment horizontal="right" vertical="center"/>
    </xf>
    <xf numFmtId="0" fontId="10" fillId="0" borderId="0" xfId="0" applyFont="1" applyAlignment="1">
      <alignment horizontal="right" vertical="center" wrapText="1" indent="1"/>
    </xf>
    <xf numFmtId="1" fontId="10" fillId="0" borderId="0" xfId="0" applyNumberFormat="1" applyFont="1" applyAlignment="1">
      <alignment horizontal="right" vertical="center" indent="1"/>
    </xf>
    <xf numFmtId="0" fontId="41" fillId="0" borderId="3" xfId="0" applyFont="1" applyBorder="1" applyAlignment="1">
      <alignment horizontal="center"/>
    </xf>
    <xf numFmtId="0" fontId="41" fillId="0" borderId="14" xfId="0" applyFont="1" applyBorder="1" applyAlignment="1">
      <alignment horizontal="center"/>
    </xf>
    <xf numFmtId="0" fontId="19" fillId="0" borderId="14" xfId="0" applyFont="1" applyBorder="1" applyAlignment="1">
      <alignment horizontal="center" vertical="center" wrapText="1"/>
    </xf>
    <xf numFmtId="0" fontId="23" fillId="2" borderId="0" xfId="0" applyFont="1" applyFill="1" applyAlignment="1">
      <alignment horizontal="center" vertical="center"/>
    </xf>
    <xf numFmtId="0" fontId="39" fillId="0" borderId="3" xfId="0" applyFont="1" applyBorder="1" applyAlignment="1">
      <alignment horizontal="center" vertical="center"/>
    </xf>
    <xf numFmtId="0" fontId="39" fillId="0" borderId="13" xfId="0" applyFont="1" applyBorder="1" applyAlignment="1">
      <alignment horizontal="center" vertical="center"/>
    </xf>
    <xf numFmtId="0" fontId="42" fillId="3" borderId="11" xfId="0" applyFont="1" applyFill="1" applyBorder="1" applyAlignment="1">
      <alignment horizontal="center" vertical="center"/>
    </xf>
    <xf numFmtId="0" fontId="42" fillId="3" borderId="0" xfId="0" applyFont="1" applyFill="1" applyAlignment="1">
      <alignment horizontal="center" vertical="center"/>
    </xf>
    <xf numFmtId="0" fontId="42" fillId="2" borderId="11" xfId="0" applyFont="1" applyFill="1" applyBorder="1" applyAlignment="1">
      <alignment horizontal="center" vertical="center"/>
    </xf>
    <xf numFmtId="0" fontId="42" fillId="2" borderId="0" xfId="0" applyFont="1" applyFill="1" applyAlignment="1">
      <alignment horizontal="center" vertical="center"/>
    </xf>
    <xf numFmtId="0" fontId="42" fillId="3" borderId="12" xfId="0" applyFont="1" applyFill="1" applyBorder="1" applyAlignment="1">
      <alignment horizontal="center" vertical="center"/>
    </xf>
    <xf numFmtId="0" fontId="42" fillId="3" borderId="1" xfId="0" applyFont="1" applyFill="1" applyBorder="1" applyAlignment="1">
      <alignment horizontal="center" vertical="center"/>
    </xf>
    <xf numFmtId="0" fontId="42" fillId="3" borderId="8" xfId="0" applyFont="1" applyFill="1" applyBorder="1" applyAlignment="1">
      <alignment horizontal="center" vertical="center"/>
    </xf>
    <xf numFmtId="0" fontId="39" fillId="0" borderId="0" xfId="0" applyFont="1" applyAlignment="1">
      <alignment vertical="center"/>
    </xf>
    <xf numFmtId="0" fontId="41" fillId="0" borderId="1" xfId="0" applyFont="1" applyBorder="1" applyAlignment="1">
      <alignment vertical="center"/>
    </xf>
    <xf numFmtId="1" fontId="55" fillId="3" borderId="0" xfId="1" applyNumberFormat="1" applyFont="1" applyFill="1" applyAlignment="1">
      <alignment horizontal="right" vertical="center" indent="2"/>
    </xf>
    <xf numFmtId="1" fontId="9" fillId="3" borderId="0" xfId="1" applyNumberFormat="1" applyFont="1" applyFill="1" applyAlignment="1">
      <alignment horizontal="right" vertical="center" indent="2"/>
    </xf>
    <xf numFmtId="0" fontId="19" fillId="0" borderId="13" xfId="1" applyFont="1" applyBorder="1" applyAlignment="1" applyProtection="1">
      <alignment horizontal="center" vertical="center" wrapText="1"/>
      <protection locked="0"/>
    </xf>
    <xf numFmtId="0" fontId="58" fillId="0" borderId="13" xfId="1" applyFont="1" applyBorder="1" applyAlignment="1">
      <alignment horizontal="center" vertical="center" wrapText="1"/>
    </xf>
    <xf numFmtId="0" fontId="58" fillId="3" borderId="8" xfId="1" applyFont="1" applyFill="1" applyBorder="1" applyAlignment="1">
      <alignment horizontal="center" vertical="center"/>
    </xf>
    <xf numFmtId="0" fontId="53" fillId="3" borderId="8" xfId="0" applyFont="1" applyFill="1" applyBorder="1" applyAlignment="1">
      <alignment horizontal="center" vertical="center" wrapText="1"/>
    </xf>
    <xf numFmtId="0" fontId="50" fillId="3" borderId="7" xfId="0" applyFont="1" applyFill="1" applyBorder="1" applyAlignment="1">
      <alignment horizontal="center" vertical="center" wrapText="1"/>
    </xf>
    <xf numFmtId="0" fontId="39" fillId="0" borderId="0" xfId="0" applyFont="1" applyAlignment="1">
      <alignment horizontal="center" vertical="center"/>
    </xf>
    <xf numFmtId="0" fontId="37" fillId="0" borderId="0" xfId="0" applyFont="1" applyAlignment="1">
      <alignment horizontal="center" vertical="center" wrapText="1"/>
    </xf>
    <xf numFmtId="1" fontId="64" fillId="0" borderId="0" xfId="0" applyNumberFormat="1" applyFont="1" applyAlignment="1">
      <alignment horizontal="right" vertical="center" indent="2"/>
    </xf>
    <xf numFmtId="0" fontId="65" fillId="3" borderId="11" xfId="0" applyFont="1" applyFill="1" applyBorder="1" applyAlignment="1">
      <alignment horizontal="center" vertical="center"/>
    </xf>
    <xf numFmtId="0" fontId="10" fillId="0" borderId="0" xfId="0" applyFont="1"/>
    <xf numFmtId="0" fontId="18" fillId="0" borderId="0" xfId="0" applyFont="1"/>
    <xf numFmtId="0" fontId="8" fillId="0" borderId="0" xfId="0" applyFont="1"/>
    <xf numFmtId="1" fontId="9" fillId="2" borderId="0" xfId="0" applyNumberFormat="1" applyFont="1" applyFill="1" applyAlignment="1">
      <alignment wrapText="1"/>
    </xf>
    <xf numFmtId="1" fontId="65" fillId="3" borderId="11" xfId="0" applyNumberFormat="1" applyFont="1" applyFill="1" applyBorder="1" applyAlignment="1">
      <alignment horizontal="right" vertical="center" indent="1"/>
    </xf>
    <xf numFmtId="1" fontId="9" fillId="2" borderId="10" xfId="0" applyNumberFormat="1" applyFont="1" applyFill="1" applyBorder="1" applyAlignment="1">
      <alignment horizontal="right" vertical="center" indent="2"/>
    </xf>
    <xf numFmtId="0" fontId="9" fillId="3" borderId="7" xfId="0" applyFont="1" applyFill="1" applyBorder="1" applyAlignment="1">
      <alignment horizontal="left" vertical="center" wrapText="1" indent="1"/>
    </xf>
    <xf numFmtId="1" fontId="9" fillId="3" borderId="12" xfId="0" applyNumberFormat="1" applyFont="1" applyFill="1" applyBorder="1" applyAlignment="1">
      <alignment horizontal="right" vertical="center" wrapText="1" indent="2"/>
    </xf>
    <xf numFmtId="1" fontId="9" fillId="3" borderId="1" xfId="0" applyNumberFormat="1" applyFont="1" applyFill="1" applyBorder="1" applyAlignment="1">
      <alignment horizontal="right" vertical="center" indent="2"/>
    </xf>
    <xf numFmtId="1" fontId="9" fillId="3" borderId="8" xfId="0" applyNumberFormat="1" applyFont="1" applyFill="1" applyBorder="1" applyAlignment="1">
      <alignment horizontal="right" vertical="center" indent="2"/>
    </xf>
    <xf numFmtId="1" fontId="9" fillId="3" borderId="1" xfId="0" applyNumberFormat="1" applyFont="1" applyFill="1" applyBorder="1" applyAlignment="1">
      <alignment horizontal="right" vertical="center" wrapText="1" indent="2"/>
    </xf>
    <xf numFmtId="1" fontId="9" fillId="3" borderId="8" xfId="0" applyNumberFormat="1" applyFont="1" applyFill="1" applyBorder="1" applyAlignment="1">
      <alignment horizontal="right" vertical="center" wrapText="1" indent="2"/>
    </xf>
    <xf numFmtId="0" fontId="9" fillId="3" borderId="1" xfId="0" applyFont="1" applyFill="1" applyBorder="1" applyAlignment="1">
      <alignment horizontal="right" vertical="center" wrapText="1" indent="1"/>
    </xf>
    <xf numFmtId="0" fontId="9" fillId="3" borderId="8" xfId="0" applyFont="1" applyFill="1" applyBorder="1" applyAlignment="1">
      <alignment horizontal="right" vertical="center" wrapText="1" indent="1"/>
    </xf>
    <xf numFmtId="1" fontId="9" fillId="3" borderId="0" xfId="0" applyNumberFormat="1" applyFont="1" applyFill="1" applyAlignment="1">
      <alignment horizontal="center" vertical="center" wrapText="1"/>
    </xf>
    <xf numFmtId="1" fontId="9" fillId="3" borderId="8" xfId="0" applyNumberFormat="1" applyFont="1" applyFill="1" applyBorder="1" applyAlignment="1">
      <alignment horizontal="right" vertical="center" wrapText="1" indent="1"/>
    </xf>
    <xf numFmtId="0" fontId="9" fillId="3" borderId="1" xfId="0" applyFont="1" applyFill="1" applyBorder="1" applyAlignment="1">
      <alignment horizontal="left" vertical="center" wrapText="1" indent="1"/>
    </xf>
    <xf numFmtId="0" fontId="41" fillId="0" borderId="14" xfId="0" applyFont="1" applyBorder="1"/>
    <xf numFmtId="0" fontId="55" fillId="3" borderId="6" xfId="0" applyFont="1" applyFill="1" applyBorder="1" applyAlignment="1">
      <alignment horizontal="right" vertical="center" wrapText="1" indent="2"/>
    </xf>
    <xf numFmtId="0" fontId="9" fillId="3" borderId="8" xfId="1" applyFont="1" applyFill="1" applyBorder="1" applyAlignment="1">
      <alignment horizontal="right" vertical="center" wrapText="1" indent="1"/>
    </xf>
    <xf numFmtId="49" fontId="0" fillId="0" borderId="0" xfId="0" applyNumberFormat="1" applyAlignment="1">
      <alignment horizontal="center" vertical="center"/>
    </xf>
    <xf numFmtId="0" fontId="9" fillId="3" borderId="5" xfId="0" applyFont="1" applyFill="1" applyBorder="1" applyAlignment="1">
      <alignment horizontal="right" vertical="center" wrapText="1" indent="2" readingOrder="2"/>
    </xf>
    <xf numFmtId="0" fontId="41" fillId="0" borderId="0" xfId="0" applyFont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42" fillId="0" borderId="2" xfId="0" applyFont="1" applyBorder="1" applyAlignment="1">
      <alignment horizontal="center" vertical="center"/>
    </xf>
    <xf numFmtId="0" fontId="42" fillId="0" borderId="11" xfId="0" applyFont="1" applyBorder="1" applyAlignment="1">
      <alignment horizontal="center" vertical="center"/>
    </xf>
    <xf numFmtId="0" fontId="42" fillId="0" borderId="6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41" fillId="0" borderId="6" xfId="0" applyFont="1" applyBorder="1" applyAlignment="1">
      <alignment horizontal="center" vertical="center"/>
    </xf>
    <xf numFmtId="0" fontId="42" fillId="0" borderId="12" xfId="0" applyFont="1" applyBorder="1" applyAlignment="1">
      <alignment horizontal="center" vertical="center"/>
    </xf>
    <xf numFmtId="0" fontId="42" fillId="0" borderId="8" xfId="0" applyFont="1" applyBorder="1" applyAlignment="1">
      <alignment horizontal="center" vertical="center"/>
    </xf>
    <xf numFmtId="0" fontId="67" fillId="0" borderId="0" xfId="0" applyFont="1"/>
    <xf numFmtId="0" fontId="24" fillId="0" borderId="11" xfId="0" applyFont="1" applyBorder="1"/>
    <xf numFmtId="0" fontId="10" fillId="0" borderId="6" xfId="0" applyFont="1" applyBorder="1"/>
    <xf numFmtId="0" fontId="42" fillId="0" borderId="9" xfId="0" applyFont="1" applyBorder="1" applyAlignment="1">
      <alignment horizontal="right" vertical="center"/>
    </xf>
    <xf numFmtId="0" fontId="9" fillId="0" borderId="0" xfId="0" applyFont="1" applyAlignment="1">
      <alignment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5" xfId="1" applyFont="1" applyFill="1" applyBorder="1" applyAlignment="1">
      <alignment horizontal="center" vertical="center" wrapText="1"/>
    </xf>
    <xf numFmtId="0" fontId="8" fillId="3" borderId="0" xfId="0" applyFont="1" applyFill="1" applyAlignment="1">
      <alignment horizontal="right" vertical="center" wrapText="1" indent="1"/>
    </xf>
    <xf numFmtId="0" fontId="23" fillId="3" borderId="5" xfId="0" applyFont="1" applyFill="1" applyBorder="1" applyAlignment="1">
      <alignment horizontal="center" vertical="center"/>
    </xf>
    <xf numFmtId="0" fontId="24" fillId="0" borderId="0" xfId="0" applyFont="1" applyAlignment="1">
      <alignment vertical="center"/>
    </xf>
    <xf numFmtId="0" fontId="24" fillId="0" borderId="0" xfId="0" applyFont="1" applyAlignment="1">
      <alignment horizontal="center" vertical="center" wrapText="1"/>
    </xf>
    <xf numFmtId="1" fontId="5" fillId="0" borderId="0" xfId="0" applyNumberFormat="1" applyFont="1" applyAlignment="1">
      <alignment horizontal="right" vertical="center" indent="2"/>
    </xf>
    <xf numFmtId="0" fontId="39" fillId="2" borderId="0" xfId="1" applyFont="1" applyFill="1" applyAlignment="1">
      <alignment horizontal="center" vertical="center"/>
    </xf>
    <xf numFmtId="0" fontId="39" fillId="2" borderId="0" xfId="1" applyFont="1" applyFill="1" applyAlignment="1">
      <alignment horizontal="center" vertical="center" wrapText="1"/>
    </xf>
    <xf numFmtId="0" fontId="18" fillId="0" borderId="0" xfId="1" applyFont="1" applyAlignment="1">
      <alignment horizontal="center" vertical="center" wrapText="1"/>
    </xf>
    <xf numFmtId="0" fontId="8" fillId="0" borderId="0" xfId="1" applyFont="1" applyAlignment="1">
      <alignment horizontal="center" vertical="center"/>
    </xf>
    <xf numFmtId="0" fontId="18" fillId="3" borderId="0" xfId="1" applyFont="1" applyFill="1" applyAlignment="1">
      <alignment horizontal="right" vertical="center" wrapText="1" indent="1"/>
    </xf>
    <xf numFmtId="0" fontId="8" fillId="0" borderId="0" xfId="1" applyFont="1" applyAlignment="1">
      <alignment horizontal="center" vertical="center" wrapText="1"/>
    </xf>
    <xf numFmtId="0" fontId="39" fillId="0" borderId="0" xfId="1" applyFont="1" applyAlignment="1">
      <alignment horizontal="right" vertical="center" wrapText="1" indent="1"/>
    </xf>
    <xf numFmtId="0" fontId="39" fillId="0" borderId="0" xfId="1" applyFont="1" applyAlignment="1">
      <alignment horizontal="center" vertical="center"/>
    </xf>
    <xf numFmtId="0" fontId="39" fillId="0" borderId="0" xfId="1" applyFont="1" applyAlignment="1">
      <alignment horizontal="center" vertical="center" wrapText="1"/>
    </xf>
    <xf numFmtId="0" fontId="52" fillId="3" borderId="0" xfId="0" applyFont="1" applyFill="1" applyAlignment="1">
      <alignment horizontal="left" vertical="center" wrapText="1" indent="1"/>
    </xf>
    <xf numFmtId="0" fontId="23" fillId="3" borderId="0" xfId="0" applyFont="1" applyFill="1" applyAlignment="1">
      <alignment horizontal="center" vertical="center"/>
    </xf>
    <xf numFmtId="0" fontId="23" fillId="0" borderId="0" xfId="0" applyFont="1" applyAlignment="1">
      <alignment horizontal="center" vertical="center"/>
    </xf>
    <xf numFmtId="49" fontId="19" fillId="0" borderId="0" xfId="0" applyNumberFormat="1" applyFont="1" applyAlignment="1">
      <alignment horizontal="center" vertical="center"/>
    </xf>
    <xf numFmtId="49" fontId="19" fillId="0" borderId="0" xfId="0" applyNumberFormat="1" applyFont="1" applyAlignment="1">
      <alignment horizontal="center" vertical="center" wrapText="1"/>
    </xf>
    <xf numFmtId="0" fontId="53" fillId="3" borderId="0" xfId="0" applyFont="1" applyFill="1" applyAlignment="1">
      <alignment horizontal="center" vertical="center"/>
    </xf>
    <xf numFmtId="0" fontId="9" fillId="3" borderId="5" xfId="0" applyFont="1" applyFill="1" applyBorder="1" applyAlignment="1">
      <alignment horizontal="left" vertical="center" wrapText="1" indent="2"/>
    </xf>
    <xf numFmtId="0" fontId="9" fillId="3" borderId="5" xfId="0" applyFont="1" applyFill="1" applyBorder="1" applyAlignment="1">
      <alignment horizontal="right" vertical="center" wrapText="1" indent="2"/>
    </xf>
    <xf numFmtId="0" fontId="19" fillId="3" borderId="2" xfId="0" applyFont="1" applyFill="1" applyBorder="1" applyAlignment="1">
      <alignment horizontal="left" vertical="center" wrapText="1" indent="1"/>
    </xf>
    <xf numFmtId="0" fontId="19" fillId="3" borderId="2" xfId="0" applyFont="1" applyFill="1" applyBorder="1" applyAlignment="1">
      <alignment horizontal="right" vertical="center" wrapText="1" indent="1"/>
    </xf>
    <xf numFmtId="0" fontId="55" fillId="3" borderId="1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right" vertical="center" indent="1"/>
    </xf>
    <xf numFmtId="0" fontId="56" fillId="3" borderId="9" xfId="0" applyFont="1" applyFill="1" applyBorder="1" applyAlignment="1">
      <alignment vertical="center"/>
    </xf>
    <xf numFmtId="0" fontId="19" fillId="3" borderId="5" xfId="0" applyFont="1" applyFill="1" applyBorder="1" applyAlignment="1">
      <alignment horizontal="right" vertical="center" indent="1"/>
    </xf>
    <xf numFmtId="0" fontId="55" fillId="3" borderId="7" xfId="0" applyFont="1" applyFill="1" applyBorder="1" applyAlignment="1">
      <alignment horizontal="right" vertical="center" indent="1"/>
    </xf>
    <xf numFmtId="1" fontId="19" fillId="3" borderId="10" xfId="0" applyNumberFormat="1" applyFont="1" applyFill="1" applyBorder="1" applyAlignment="1">
      <alignment horizontal="right" vertical="center" indent="1"/>
    </xf>
    <xf numFmtId="1" fontId="19" fillId="3" borderId="9" xfId="0" applyNumberFormat="1" applyFont="1" applyFill="1" applyBorder="1" applyAlignment="1">
      <alignment horizontal="right" vertical="center" indent="1"/>
    </xf>
    <xf numFmtId="1" fontId="23" fillId="3" borderId="4" xfId="0" applyNumberFormat="1" applyFont="1" applyFill="1" applyBorder="1" applyAlignment="1">
      <alignment horizontal="right" vertical="center" indent="1"/>
    </xf>
    <xf numFmtId="0" fontId="23" fillId="3" borderId="2" xfId="0" applyFont="1" applyFill="1" applyBorder="1" applyAlignment="1">
      <alignment horizontal="right" vertical="center" wrapText="1" indent="1"/>
    </xf>
    <xf numFmtId="49" fontId="19" fillId="3" borderId="5" xfId="0" applyNumberFormat="1" applyFont="1" applyFill="1" applyBorder="1" applyAlignment="1">
      <alignment horizontal="center" vertical="center"/>
    </xf>
    <xf numFmtId="1" fontId="23" fillId="3" borderId="10" xfId="0" applyNumberFormat="1" applyFont="1" applyFill="1" applyBorder="1" applyAlignment="1">
      <alignment horizontal="right" vertical="center" indent="1"/>
    </xf>
    <xf numFmtId="1" fontId="23" fillId="3" borderId="9" xfId="0" applyNumberFormat="1" applyFont="1" applyFill="1" applyBorder="1" applyAlignment="1">
      <alignment horizontal="right" vertical="center" indent="1"/>
    </xf>
    <xf numFmtId="1" fontId="19" fillId="3" borderId="10" xfId="0" applyNumberFormat="1" applyFont="1" applyFill="1" applyBorder="1" applyAlignment="1">
      <alignment horizontal="right" vertical="center" wrapText="1" indent="1"/>
    </xf>
    <xf numFmtId="1" fontId="19" fillId="3" borderId="9" xfId="0" applyNumberFormat="1" applyFont="1" applyFill="1" applyBorder="1" applyAlignment="1">
      <alignment horizontal="right" vertical="center" wrapText="1" indent="1"/>
    </xf>
    <xf numFmtId="0" fontId="55" fillId="3" borderId="6" xfId="0" applyFont="1" applyFill="1" applyBorder="1" applyAlignment="1">
      <alignment horizontal="right" vertical="center" wrapText="1" indent="1"/>
    </xf>
    <xf numFmtId="0" fontId="56" fillId="3" borderId="0" xfId="0" applyFont="1" applyFill="1" applyAlignment="1">
      <alignment vertical="top"/>
    </xf>
    <xf numFmtId="1" fontId="23" fillId="3" borderId="10" xfId="0" applyNumberFormat="1" applyFont="1" applyFill="1" applyBorder="1" applyAlignment="1">
      <alignment horizontal="right" vertical="center" wrapText="1" indent="1"/>
    </xf>
    <xf numFmtId="1" fontId="23" fillId="3" borderId="9" xfId="0" applyNumberFormat="1" applyFont="1" applyFill="1" applyBorder="1" applyAlignment="1">
      <alignment horizontal="right" vertical="center" wrapText="1" indent="1"/>
    </xf>
    <xf numFmtId="1" fontId="23" fillId="3" borderId="4" xfId="0" applyNumberFormat="1" applyFont="1" applyFill="1" applyBorder="1" applyAlignment="1">
      <alignment horizontal="right" vertical="center" wrapText="1" indent="1"/>
    </xf>
    <xf numFmtId="0" fontId="56" fillId="3" borderId="0" xfId="0" applyFont="1" applyFill="1" applyAlignment="1">
      <alignment vertical="center"/>
    </xf>
    <xf numFmtId="0" fontId="19" fillId="3" borderId="6" xfId="0" applyFont="1" applyFill="1" applyBorder="1" applyAlignment="1">
      <alignment horizontal="right" vertical="center" wrapText="1" indent="1"/>
    </xf>
    <xf numFmtId="0" fontId="23" fillId="3" borderId="4" xfId="0" applyFont="1" applyFill="1" applyBorder="1" applyAlignment="1">
      <alignment horizontal="right" vertical="center" wrapText="1" indent="1"/>
    </xf>
    <xf numFmtId="0" fontId="56" fillId="3" borderId="9" xfId="0" applyFont="1" applyFill="1" applyBorder="1" applyAlignment="1">
      <alignment vertical="top"/>
    </xf>
    <xf numFmtId="1" fontId="19" fillId="3" borderId="4" xfId="0" applyNumberFormat="1" applyFont="1" applyFill="1" applyBorder="1" applyAlignment="1">
      <alignment horizontal="right" vertical="center" indent="1"/>
    </xf>
    <xf numFmtId="0" fontId="42" fillId="3" borderId="0" xfId="0" applyFont="1" applyFill="1"/>
    <xf numFmtId="164" fontId="0" fillId="3" borderId="0" xfId="0" applyNumberFormat="1" applyFill="1"/>
    <xf numFmtId="49" fontId="0" fillId="3" borderId="0" xfId="0" applyNumberFormat="1" applyFill="1"/>
    <xf numFmtId="1" fontId="0" fillId="3" borderId="0" xfId="0" applyNumberFormat="1" applyFill="1"/>
    <xf numFmtId="0" fontId="10" fillId="3" borderId="0" xfId="0" applyFont="1" applyFill="1" applyAlignment="1">
      <alignment horizontal="right" vertical="center" wrapText="1" indent="1"/>
    </xf>
    <xf numFmtId="1" fontId="42" fillId="3" borderId="0" xfId="0" applyNumberFormat="1" applyFont="1" applyFill="1"/>
    <xf numFmtId="3" fontId="0" fillId="3" borderId="0" xfId="0" applyNumberFormat="1" applyFill="1"/>
    <xf numFmtId="1" fontId="9" fillId="3" borderId="6" xfId="0" applyNumberFormat="1" applyFont="1" applyFill="1" applyBorder="1" applyAlignment="1">
      <alignment horizontal="right" vertical="center" indent="3"/>
    </xf>
    <xf numFmtId="0" fontId="10" fillId="3" borderId="0" xfId="0" applyFont="1" applyFill="1" applyAlignment="1">
      <alignment horizontal="right" vertical="center" indent="2"/>
    </xf>
    <xf numFmtId="1" fontId="9" fillId="3" borderId="8" xfId="0" applyNumberFormat="1" applyFont="1" applyFill="1" applyBorder="1" applyAlignment="1">
      <alignment horizontal="right" vertical="center" indent="3"/>
    </xf>
    <xf numFmtId="0" fontId="55" fillId="3" borderId="7" xfId="0" applyFont="1" applyFill="1" applyBorder="1" applyAlignment="1">
      <alignment horizontal="right" vertical="center" indent="3"/>
    </xf>
    <xf numFmtId="0" fontId="23" fillId="3" borderId="0" xfId="0" applyFont="1" applyFill="1" applyAlignment="1">
      <alignment vertical="center" wrapText="1"/>
    </xf>
    <xf numFmtId="0" fontId="24" fillId="3" borderId="0" xfId="0" applyFont="1" applyFill="1" applyAlignment="1">
      <alignment horizontal="right" vertical="center"/>
    </xf>
    <xf numFmtId="1" fontId="19" fillId="3" borderId="4" xfId="0" applyNumberFormat="1" applyFont="1" applyFill="1" applyBorder="1" applyAlignment="1">
      <alignment horizontal="center" vertical="center" wrapText="1"/>
    </xf>
    <xf numFmtId="0" fontId="19" fillId="3" borderId="0" xfId="0" applyFont="1" applyFill="1" applyAlignment="1">
      <alignment horizontal="right" vertical="center" indent="2"/>
    </xf>
    <xf numFmtId="0" fontId="55" fillId="3" borderId="5" xfId="0" applyFont="1" applyFill="1" applyBorder="1"/>
    <xf numFmtId="0" fontId="0" fillId="3" borderId="0" xfId="0" applyFill="1" applyAlignment="1">
      <alignment horizontal="center" vertical="center"/>
    </xf>
    <xf numFmtId="0" fontId="23" fillId="3" borderId="9" xfId="0" applyFont="1" applyFill="1" applyBorder="1" applyAlignment="1">
      <alignment horizontal="center" vertical="center" wrapText="1"/>
    </xf>
    <xf numFmtId="0" fontId="19" fillId="3" borderId="2" xfId="0" applyFont="1" applyFill="1" applyBorder="1" applyAlignment="1">
      <alignment horizontal="right" vertical="center" indent="2"/>
    </xf>
    <xf numFmtId="1" fontId="9" fillId="3" borderId="11" xfId="0" applyNumberFormat="1" applyFont="1" applyFill="1" applyBorder="1" applyAlignment="1">
      <alignment horizontal="right" vertical="center" indent="2"/>
    </xf>
    <xf numFmtId="1" fontId="9" fillId="3" borderId="12" xfId="0" applyNumberFormat="1" applyFont="1" applyFill="1" applyBorder="1" applyAlignment="1">
      <alignment horizontal="right" vertical="center" indent="2"/>
    </xf>
    <xf numFmtId="0" fontId="55" fillId="3" borderId="8" xfId="0" applyFont="1" applyFill="1" applyBorder="1" applyAlignment="1">
      <alignment horizontal="center" vertical="center"/>
    </xf>
    <xf numFmtId="0" fontId="0" fillId="3" borderId="0" xfId="0" applyFill="1" applyAlignment="1">
      <alignment horizontal="center"/>
    </xf>
    <xf numFmtId="0" fontId="55" fillId="3" borderId="5" xfId="0" applyFont="1" applyFill="1" applyBorder="1" applyAlignment="1">
      <alignment horizontal="right" vertical="center" wrapText="1" indent="2"/>
    </xf>
    <xf numFmtId="1" fontId="9" fillId="3" borderId="8" xfId="0" applyNumberFormat="1" applyFont="1" applyFill="1" applyBorder="1" applyAlignment="1">
      <alignment horizontal="right" vertical="center" indent="4"/>
    </xf>
    <xf numFmtId="0" fontId="55" fillId="3" borderId="7" xfId="0" applyFont="1" applyFill="1" applyBorder="1" applyAlignment="1">
      <alignment horizontal="right" vertical="center" wrapText="1" indent="2"/>
    </xf>
    <xf numFmtId="0" fontId="9" fillId="3" borderId="6" xfId="0" applyFont="1" applyFill="1" applyBorder="1" applyAlignment="1">
      <alignment horizontal="right" vertical="center" wrapText="1" indent="2"/>
    </xf>
    <xf numFmtId="0" fontId="7" fillId="3" borderId="0" xfId="0" applyFont="1" applyFill="1"/>
    <xf numFmtId="0" fontId="8" fillId="3" borderId="0" xfId="0" applyFont="1" applyFill="1" applyAlignment="1">
      <alignment horizontal="right" vertical="center" wrapText="1" indent="2"/>
    </xf>
    <xf numFmtId="0" fontId="10" fillId="3" borderId="0" xfId="0" applyFont="1" applyFill="1" applyAlignment="1">
      <alignment vertical="center" wrapText="1"/>
    </xf>
    <xf numFmtId="0" fontId="8" fillId="3" borderId="0" xfId="0" applyFont="1" applyFill="1" applyAlignment="1">
      <alignment vertical="top" wrapText="1"/>
    </xf>
    <xf numFmtId="0" fontId="11" fillId="3" borderId="0" xfId="0" applyFont="1" applyFill="1" applyAlignment="1">
      <alignment vertical="center" wrapText="1" readingOrder="1"/>
    </xf>
    <xf numFmtId="0" fontId="11" fillId="3" borderId="0" xfId="0" applyFont="1" applyFill="1" applyAlignment="1">
      <alignment vertical="center"/>
    </xf>
    <xf numFmtId="3" fontId="9" fillId="3" borderId="0" xfId="0" applyNumberFormat="1" applyFont="1" applyFill="1" applyAlignment="1">
      <alignment horizontal="right" vertical="center" indent="1"/>
    </xf>
    <xf numFmtId="0" fontId="9" fillId="3" borderId="0" xfId="0" applyFont="1" applyFill="1" applyAlignment="1">
      <alignment horizontal="right" vertical="center" indent="1"/>
    </xf>
    <xf numFmtId="165" fontId="0" fillId="3" borderId="0" xfId="0" applyNumberFormat="1" applyFill="1"/>
    <xf numFmtId="0" fontId="43" fillId="3" borderId="0" xfId="0" applyFont="1" applyFill="1"/>
    <xf numFmtId="2" fontId="55" fillId="3" borderId="11" xfId="0" applyNumberFormat="1" applyFont="1" applyFill="1" applyBorder="1" applyAlignment="1">
      <alignment horizontal="right" vertical="center" wrapText="1" indent="2"/>
    </xf>
    <xf numFmtId="1" fontId="0" fillId="3" borderId="0" xfId="0" applyNumberFormat="1" applyFill="1" applyAlignment="1">
      <alignment horizontal="center" vertical="center"/>
    </xf>
    <xf numFmtId="49" fontId="0" fillId="3" borderId="0" xfId="0" applyNumberFormat="1" applyFill="1" applyAlignment="1">
      <alignment horizontal="center" vertical="center"/>
    </xf>
    <xf numFmtId="1" fontId="16" fillId="3" borderId="0" xfId="0" applyNumberFormat="1" applyFont="1" applyFill="1"/>
    <xf numFmtId="0" fontId="16" fillId="3" borderId="0" xfId="0" applyFont="1" applyFill="1"/>
    <xf numFmtId="0" fontId="30" fillId="3" borderId="0" xfId="0" applyFont="1" applyFill="1" applyAlignment="1">
      <alignment horizontal="right" vertical="center" wrapText="1" indent="1"/>
    </xf>
    <xf numFmtId="0" fontId="19" fillId="3" borderId="5" xfId="0" applyFont="1" applyFill="1" applyBorder="1" applyAlignment="1">
      <alignment horizontal="left" vertical="center" wrapText="1" indent="1"/>
    </xf>
    <xf numFmtId="0" fontId="19" fillId="3" borderId="0" xfId="0" applyFont="1" applyFill="1" applyAlignment="1">
      <alignment horizontal="center" vertical="center"/>
    </xf>
    <xf numFmtId="0" fontId="23" fillId="3" borderId="6" xfId="0" applyFont="1" applyFill="1" applyBorder="1" applyAlignment="1">
      <alignment horizontal="center" vertical="center"/>
    </xf>
    <xf numFmtId="0" fontId="19" fillId="3" borderId="6" xfId="1" applyFont="1" applyFill="1" applyBorder="1" applyAlignment="1">
      <alignment horizontal="right" vertical="center" wrapText="1" indent="1"/>
    </xf>
    <xf numFmtId="0" fontId="19" fillId="3" borderId="6" xfId="0" applyFont="1" applyFill="1" applyBorder="1" applyAlignment="1">
      <alignment horizontal="center" vertical="center"/>
    </xf>
    <xf numFmtId="0" fontId="19" fillId="3" borderId="2" xfId="1" applyFont="1" applyFill="1" applyBorder="1" applyAlignment="1">
      <alignment horizontal="right" vertical="center" wrapText="1" indent="1"/>
    </xf>
    <xf numFmtId="49" fontId="23" fillId="3" borderId="5" xfId="0" applyNumberFormat="1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9" fillId="3" borderId="7" xfId="1" applyFont="1" applyFill="1" applyBorder="1" applyAlignment="1">
      <alignment horizontal="right" vertical="center" wrapText="1" indent="1"/>
    </xf>
    <xf numFmtId="0" fontId="9" fillId="3" borderId="7" xfId="1" applyFont="1" applyFill="1" applyBorder="1" applyAlignment="1">
      <alignment horizontal="center" vertical="center" wrapText="1"/>
    </xf>
    <xf numFmtId="49" fontId="4" fillId="3" borderId="5" xfId="0" applyNumberFormat="1" applyFont="1" applyFill="1" applyBorder="1" applyAlignment="1">
      <alignment horizontal="center" vertical="center"/>
    </xf>
    <xf numFmtId="0" fontId="19" fillId="3" borderId="2" xfId="1" applyFont="1" applyFill="1" applyBorder="1" applyAlignment="1">
      <alignment horizontal="left" vertical="center" wrapText="1" indent="1"/>
    </xf>
    <xf numFmtId="0" fontId="9" fillId="3" borderId="7" xfId="1" applyFont="1" applyFill="1" applyBorder="1" applyAlignment="1">
      <alignment horizontal="left" vertical="center" wrapText="1" indent="1"/>
    </xf>
    <xf numFmtId="1" fontId="23" fillId="3" borderId="0" xfId="0" applyNumberFormat="1" applyFont="1" applyFill="1" applyAlignment="1">
      <alignment horizontal="right" vertical="center" indent="2"/>
    </xf>
    <xf numFmtId="1" fontId="55" fillId="3" borderId="1" xfId="1" applyNumberFormat="1" applyFont="1" applyFill="1" applyBorder="1" applyAlignment="1">
      <alignment horizontal="right" vertical="center" indent="2"/>
    </xf>
    <xf numFmtId="1" fontId="55" fillId="3" borderId="6" xfId="1" applyNumberFormat="1" applyFont="1" applyFill="1" applyBorder="1" applyAlignment="1">
      <alignment horizontal="center" vertical="center"/>
    </xf>
    <xf numFmtId="1" fontId="55" fillId="3" borderId="8" xfId="1" applyNumberFormat="1" applyFont="1" applyFill="1" applyBorder="1" applyAlignment="1">
      <alignment horizontal="center" vertical="center"/>
    </xf>
    <xf numFmtId="0" fontId="23" fillId="3" borderId="4" xfId="0" applyFont="1" applyFill="1" applyBorder="1" applyAlignment="1">
      <alignment horizontal="center" vertical="center"/>
    </xf>
    <xf numFmtId="0" fontId="19" fillId="3" borderId="4" xfId="0" applyFont="1" applyFill="1" applyBorder="1" applyAlignment="1">
      <alignment horizontal="right" vertical="center" wrapText="1" indent="1"/>
    </xf>
    <xf numFmtId="0" fontId="8" fillId="3" borderId="0" xfId="0" applyFont="1" applyFill="1" applyAlignment="1">
      <alignment horizontal="right" vertical="center" indent="1"/>
    </xf>
    <xf numFmtId="1" fontId="55" fillId="3" borderId="11" xfId="0" applyNumberFormat="1" applyFont="1" applyFill="1" applyBorder="1" applyAlignment="1">
      <alignment horizontal="center" vertical="center"/>
    </xf>
    <xf numFmtId="0" fontId="10" fillId="3" borderId="0" xfId="0" applyFont="1" applyFill="1" applyAlignment="1">
      <alignment horizontal="right" vertical="center" indent="1"/>
    </xf>
    <xf numFmtId="1" fontId="55" fillId="3" borderId="12" xfId="0" applyNumberFormat="1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right" vertical="center" indent="1"/>
    </xf>
    <xf numFmtId="1" fontId="23" fillId="3" borderId="11" xfId="0" applyNumberFormat="1" applyFont="1" applyFill="1" applyBorder="1" applyAlignment="1">
      <alignment horizontal="center" vertical="center"/>
    </xf>
    <xf numFmtId="1" fontId="55" fillId="3" borderId="12" xfId="1" applyNumberFormat="1" applyFont="1" applyFill="1" applyBorder="1" applyAlignment="1">
      <alignment horizontal="center" vertical="center"/>
    </xf>
    <xf numFmtId="1" fontId="55" fillId="3" borderId="1" xfId="1" applyNumberFormat="1" applyFont="1" applyFill="1" applyBorder="1" applyAlignment="1">
      <alignment horizontal="center" vertical="center"/>
    </xf>
    <xf numFmtId="0" fontId="19" fillId="3" borderId="11" xfId="1" applyFont="1" applyFill="1" applyBorder="1" applyAlignment="1">
      <alignment horizontal="left" vertical="center" wrapText="1" indent="1"/>
    </xf>
    <xf numFmtId="0" fontId="41" fillId="3" borderId="0" xfId="0" applyFont="1" applyFill="1"/>
    <xf numFmtId="0" fontId="56" fillId="3" borderId="0" xfId="0" applyFont="1" applyFill="1"/>
    <xf numFmtId="0" fontId="51" fillId="3" borderId="9" xfId="0" applyFont="1" applyFill="1" applyBorder="1" applyAlignment="1">
      <alignment vertical="center"/>
    </xf>
    <xf numFmtId="1" fontId="19" fillId="3" borderId="0" xfId="0" applyNumberFormat="1" applyFont="1" applyFill="1" applyAlignment="1">
      <alignment horizontal="right" vertical="center" indent="1"/>
    </xf>
    <xf numFmtId="1" fontId="19" fillId="3" borderId="2" xfId="0" applyNumberFormat="1" applyFont="1" applyFill="1" applyBorder="1" applyAlignment="1">
      <alignment horizontal="center" vertical="center"/>
    </xf>
    <xf numFmtId="0" fontId="52" fillId="3" borderId="0" xfId="0" applyFont="1" applyFill="1"/>
    <xf numFmtId="0" fontId="39" fillId="3" borderId="0" xfId="0" applyFont="1" applyFill="1" applyAlignment="1">
      <alignment vertical="center"/>
    </xf>
    <xf numFmtId="1" fontId="23" fillId="3" borderId="11" xfId="0" applyNumberFormat="1" applyFont="1" applyFill="1" applyBorder="1" applyAlignment="1">
      <alignment horizontal="right" vertical="center" indent="1"/>
    </xf>
    <xf numFmtId="1" fontId="23" fillId="3" borderId="0" xfId="0" applyNumberFormat="1" applyFont="1" applyFill="1" applyAlignment="1">
      <alignment horizontal="right" vertical="center" indent="1"/>
    </xf>
    <xf numFmtId="0" fontId="51" fillId="3" borderId="0" xfId="0" applyFont="1" applyFill="1" applyAlignment="1">
      <alignment vertical="top"/>
    </xf>
    <xf numFmtId="0" fontId="51" fillId="3" borderId="9" xfId="0" applyFont="1" applyFill="1" applyBorder="1" applyAlignment="1">
      <alignment vertical="top"/>
    </xf>
    <xf numFmtId="1" fontId="19" fillId="3" borderId="4" xfId="0" applyNumberFormat="1" applyFont="1" applyFill="1" applyBorder="1" applyAlignment="1">
      <alignment horizontal="right" vertical="center" wrapText="1" indent="1"/>
    </xf>
    <xf numFmtId="49" fontId="19" fillId="3" borderId="2" xfId="0" applyNumberFormat="1" applyFont="1" applyFill="1" applyBorder="1" applyAlignment="1">
      <alignment horizontal="center" vertical="center"/>
    </xf>
    <xf numFmtId="1" fontId="23" fillId="3" borderId="11" xfId="0" applyNumberFormat="1" applyFont="1" applyFill="1" applyBorder="1" applyAlignment="1">
      <alignment horizontal="right" vertical="center" wrapText="1" indent="1"/>
    </xf>
    <xf numFmtId="0" fontId="42" fillId="3" borderId="0" xfId="0" applyFont="1" applyFill="1" applyAlignment="1">
      <alignment readingOrder="1"/>
    </xf>
    <xf numFmtId="0" fontId="48" fillId="3" borderId="0" xfId="0" applyFont="1" applyFill="1"/>
    <xf numFmtId="1" fontId="48" fillId="3" borderId="0" xfId="0" applyNumberFormat="1" applyFont="1" applyFill="1"/>
    <xf numFmtId="1" fontId="65" fillId="3" borderId="0" xfId="0" applyNumberFormat="1" applyFont="1" applyFill="1" applyAlignment="1">
      <alignment horizontal="right" vertical="center" indent="1"/>
    </xf>
    <xf numFmtId="0" fontId="55" fillId="3" borderId="9" xfId="0" applyFont="1" applyFill="1" applyBorder="1" applyAlignment="1">
      <alignment horizontal="right" vertical="top"/>
    </xf>
    <xf numFmtId="0" fontId="17" fillId="3" borderId="0" xfId="0" applyFont="1" applyFill="1"/>
    <xf numFmtId="0" fontId="27" fillId="3" borderId="0" xfId="0" applyFont="1" applyFill="1" applyAlignment="1">
      <alignment horizontal="left"/>
    </xf>
    <xf numFmtId="1" fontId="17" fillId="3" borderId="0" xfId="0" applyNumberFormat="1" applyFont="1" applyFill="1"/>
    <xf numFmtId="0" fontId="0" fillId="3" borderId="0" xfId="0" applyFill="1" applyAlignment="1">
      <alignment horizontal="left"/>
    </xf>
    <xf numFmtId="1" fontId="19" fillId="3" borderId="11" xfId="0" applyNumberFormat="1" applyFont="1" applyFill="1" applyBorder="1" applyAlignment="1">
      <alignment horizontal="right" vertical="center" indent="1"/>
    </xf>
    <xf numFmtId="1" fontId="19" fillId="3" borderId="6" xfId="0" applyNumberFormat="1" applyFont="1" applyFill="1" applyBorder="1" applyAlignment="1">
      <alignment horizontal="right" vertical="center" indent="1"/>
    </xf>
    <xf numFmtId="0" fontId="55" fillId="3" borderId="0" xfId="0" applyFont="1" applyFill="1" applyAlignment="1">
      <alignment horizontal="right" wrapText="1"/>
    </xf>
    <xf numFmtId="0" fontId="55" fillId="3" borderId="0" xfId="0" applyFont="1" applyFill="1"/>
    <xf numFmtId="165" fontId="55" fillId="3" borderId="0" xfId="0" applyNumberFormat="1" applyFont="1" applyFill="1"/>
    <xf numFmtId="1" fontId="55" fillId="3" borderId="0" xfId="0" applyNumberFormat="1" applyFont="1" applyFill="1"/>
    <xf numFmtId="49" fontId="42" fillId="3" borderId="0" xfId="0" applyNumberFormat="1" applyFont="1" applyFill="1"/>
    <xf numFmtId="0" fontId="55" fillId="3" borderId="5" xfId="0" applyFont="1" applyFill="1" applyBorder="1" applyAlignment="1">
      <alignment horizontal="left" vertical="center" indent="3"/>
    </xf>
    <xf numFmtId="0" fontId="55" fillId="3" borderId="7" xfId="0" applyFont="1" applyFill="1" applyBorder="1" applyAlignment="1">
      <alignment horizontal="left" vertical="center" indent="3"/>
    </xf>
    <xf numFmtId="1" fontId="9" fillId="3" borderId="1" xfId="0" applyNumberFormat="1" applyFont="1" applyFill="1" applyBorder="1" applyAlignment="1">
      <alignment horizontal="right" vertical="center" indent="3"/>
    </xf>
    <xf numFmtId="0" fontId="52" fillId="3" borderId="0" xfId="0" applyFont="1" applyFill="1" applyAlignment="1">
      <alignment horizontal="left" vertical="center" indent="1"/>
    </xf>
    <xf numFmtId="1" fontId="9" fillId="3" borderId="12" xfId="0" applyNumberFormat="1" applyFont="1" applyFill="1" applyBorder="1" applyAlignment="1">
      <alignment horizontal="center" vertical="center" wrapText="1"/>
    </xf>
    <xf numFmtId="1" fontId="9" fillId="3" borderId="1" xfId="0" applyNumberFormat="1" applyFont="1" applyFill="1" applyBorder="1" applyAlignment="1">
      <alignment horizontal="center" vertical="center" wrapText="1"/>
    </xf>
    <xf numFmtId="1" fontId="55" fillId="3" borderId="7" xfId="0" applyNumberFormat="1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right" vertical="center" indent="2"/>
    </xf>
    <xf numFmtId="1" fontId="9" fillId="3" borderId="6" xfId="0" applyNumberFormat="1" applyFont="1" applyFill="1" applyBorder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1" fontId="9" fillId="3" borderId="11" xfId="0" applyNumberFormat="1" applyFont="1" applyFill="1" applyBorder="1" applyAlignment="1">
      <alignment horizontal="right" vertical="center" indent="4"/>
    </xf>
    <xf numFmtId="1" fontId="9" fillId="3" borderId="12" xfId="0" applyNumberFormat="1" applyFont="1" applyFill="1" applyBorder="1" applyAlignment="1">
      <alignment horizontal="right" vertical="center" indent="4"/>
    </xf>
    <xf numFmtId="1" fontId="9" fillId="3" borderId="1" xfId="0" applyNumberFormat="1" applyFont="1" applyFill="1" applyBorder="1" applyAlignment="1">
      <alignment horizontal="right" vertical="center" indent="4"/>
    </xf>
    <xf numFmtId="0" fontId="11" fillId="3" borderId="0" xfId="0" applyFont="1" applyFill="1" applyAlignment="1">
      <alignment horizontal="left" vertical="center" wrapText="1" readingOrder="1"/>
    </xf>
    <xf numFmtId="0" fontId="6" fillId="3" borderId="0" xfId="0" applyFont="1" applyFill="1"/>
    <xf numFmtId="0" fontId="23" fillId="3" borderId="2" xfId="0" applyFont="1" applyFill="1" applyBorder="1" applyAlignment="1">
      <alignment horizontal="left" vertical="center" wrapText="1" indent="1"/>
    </xf>
    <xf numFmtId="0" fontId="55" fillId="3" borderId="2" xfId="0" applyFont="1" applyFill="1" applyBorder="1" applyAlignment="1">
      <alignment horizontal="center" vertical="center"/>
    </xf>
    <xf numFmtId="0" fontId="0" fillId="3" borderId="0" xfId="0" applyFill="1" applyAlignment="1">
      <alignment wrapText="1"/>
    </xf>
    <xf numFmtId="0" fontId="23" fillId="3" borderId="11" xfId="0" applyFont="1" applyFill="1" applyBorder="1" applyAlignment="1">
      <alignment horizontal="left" vertical="center" wrapText="1" indent="1"/>
    </xf>
    <xf numFmtId="0" fontId="23" fillId="3" borderId="10" xfId="0" applyFont="1" applyFill="1" applyBorder="1" applyAlignment="1">
      <alignment horizontal="left" vertical="center" wrapText="1" indent="1"/>
    </xf>
    <xf numFmtId="0" fontId="55" fillId="3" borderId="6" xfId="0" applyFont="1" applyFill="1" applyBorder="1"/>
    <xf numFmtId="0" fontId="23" fillId="3" borderId="2" xfId="0" applyFont="1" applyFill="1" applyBorder="1" applyAlignment="1">
      <alignment horizontal="left" vertical="center" indent="1"/>
    </xf>
    <xf numFmtId="1" fontId="42" fillId="3" borderId="0" xfId="0" applyNumberFormat="1" applyFont="1" applyFill="1" applyAlignment="1">
      <alignment horizontal="left"/>
    </xf>
    <xf numFmtId="1" fontId="27" fillId="3" borderId="0" xfId="0" applyNumberFormat="1" applyFont="1" applyFill="1" applyAlignment="1">
      <alignment horizontal="left"/>
    </xf>
    <xf numFmtId="0" fontId="55" fillId="3" borderId="4" xfId="0" applyFont="1" applyFill="1" applyBorder="1"/>
    <xf numFmtId="1" fontId="9" fillId="3" borderId="5" xfId="0" applyNumberFormat="1" applyFont="1" applyFill="1" applyBorder="1"/>
    <xf numFmtId="0" fontId="56" fillId="3" borderId="9" xfId="0" applyFont="1" applyFill="1" applyBorder="1" applyAlignment="1">
      <alignment horizontal="right" vertical="top"/>
    </xf>
    <xf numFmtId="0" fontId="23" fillId="3" borderId="10" xfId="0" applyFont="1" applyFill="1" applyBorder="1" applyAlignment="1">
      <alignment horizontal="left" vertical="center" indent="1"/>
    </xf>
    <xf numFmtId="0" fontId="19" fillId="3" borderId="10" xfId="0" applyFont="1" applyFill="1" applyBorder="1" applyAlignment="1">
      <alignment horizontal="left" vertical="center" indent="1"/>
    </xf>
    <xf numFmtId="0" fontId="9" fillId="3" borderId="11" xfId="0" applyFont="1" applyFill="1" applyBorder="1" applyAlignment="1">
      <alignment horizontal="left" vertical="center" indent="1"/>
    </xf>
    <xf numFmtId="0" fontId="52" fillId="3" borderId="0" xfId="0" applyFont="1" applyFill="1" applyAlignment="1">
      <alignment horizontal="left"/>
    </xf>
    <xf numFmtId="0" fontId="13" fillId="3" borderId="0" xfId="0" applyFont="1" applyFill="1" applyAlignment="1">
      <alignment vertical="center"/>
    </xf>
    <xf numFmtId="0" fontId="42" fillId="3" borderId="5" xfId="0" applyFont="1" applyFill="1" applyBorder="1" applyAlignment="1">
      <alignment horizontal="center" vertical="center"/>
    </xf>
    <xf numFmtId="49" fontId="9" fillId="3" borderId="0" xfId="0" applyNumberFormat="1" applyFont="1" applyFill="1"/>
    <xf numFmtId="0" fontId="42" fillId="3" borderId="7" xfId="0" applyFont="1" applyFill="1" applyBorder="1" applyAlignment="1">
      <alignment horizontal="center" vertical="center"/>
    </xf>
    <xf numFmtId="0" fontId="41" fillId="3" borderId="0" xfId="0" applyFont="1" applyFill="1" applyAlignment="1">
      <alignment horizontal="center" vertical="center"/>
    </xf>
    <xf numFmtId="0" fontId="41" fillId="3" borderId="1" xfId="0" applyFont="1" applyFill="1" applyBorder="1" applyAlignment="1">
      <alignment vertical="center"/>
    </xf>
    <xf numFmtId="0" fontId="9" fillId="3" borderId="2" xfId="0" applyFont="1" applyFill="1" applyBorder="1" applyAlignment="1">
      <alignment horizontal="center" vertical="center" wrapText="1"/>
    </xf>
    <xf numFmtId="0" fontId="9" fillId="3" borderId="7" xfId="0" applyFont="1" applyFill="1" applyBorder="1" applyAlignment="1">
      <alignment horizontal="center" vertical="center" wrapText="1"/>
    </xf>
    <xf numFmtId="0" fontId="20" fillId="3" borderId="0" xfId="0" applyFont="1" applyFill="1" applyAlignment="1">
      <alignment horizontal="center" vertical="center"/>
    </xf>
    <xf numFmtId="0" fontId="21" fillId="3" borderId="0" xfId="0" applyFont="1" applyFill="1" applyAlignment="1">
      <alignment horizontal="center" vertical="center" wrapText="1"/>
    </xf>
    <xf numFmtId="0" fontId="19" fillId="3" borderId="0" xfId="0" applyFont="1" applyFill="1" applyAlignment="1">
      <alignment horizontal="center" vertical="center" wrapText="1"/>
    </xf>
    <xf numFmtId="0" fontId="19" fillId="3" borderId="0" xfId="0" applyFont="1" applyFill="1" applyAlignment="1">
      <alignment horizontal="center"/>
    </xf>
    <xf numFmtId="0" fontId="52" fillId="3" borderId="0" xfId="0" applyFont="1" applyFill="1" applyAlignment="1">
      <alignment horizontal="center"/>
    </xf>
    <xf numFmtId="166" fontId="0" fillId="0" borderId="0" xfId="0" applyNumberFormat="1" applyAlignment="1">
      <alignment vertical="center"/>
    </xf>
    <xf numFmtId="0" fontId="39" fillId="3" borderId="0" xfId="0" applyFont="1" applyFill="1" applyAlignment="1">
      <alignment horizontal="center" vertical="center"/>
    </xf>
    <xf numFmtId="0" fontId="55" fillId="3" borderId="2" xfId="0" applyFont="1" applyFill="1" applyBorder="1"/>
    <xf numFmtId="0" fontId="3" fillId="0" borderId="3" xfId="1" applyFont="1" applyBorder="1" applyAlignment="1" applyProtection="1">
      <alignment horizontal="center" vertical="center" wrapText="1"/>
      <protection locked="0"/>
    </xf>
    <xf numFmtId="0" fontId="3" fillId="0" borderId="13" xfId="1" applyFont="1" applyBorder="1" applyAlignment="1" applyProtection="1">
      <alignment horizontal="center" vertical="center" wrapText="1"/>
      <protection locked="0"/>
    </xf>
    <xf numFmtId="0" fontId="16" fillId="0" borderId="7" xfId="0" applyFont="1" applyBorder="1" applyAlignment="1">
      <alignment horizontal="center" vertical="center"/>
    </xf>
    <xf numFmtId="0" fontId="16" fillId="0" borderId="12" xfId="0" applyFont="1" applyBorder="1" applyAlignment="1">
      <alignment horizontal="center" vertical="center"/>
    </xf>
    <xf numFmtId="0" fontId="19" fillId="3" borderId="5" xfId="0" applyFont="1" applyFill="1" applyBorder="1" applyAlignment="1">
      <alignment horizontal="right" vertical="center" wrapText="1" indent="1" readingOrder="2"/>
    </xf>
    <xf numFmtId="0" fontId="51" fillId="0" borderId="0" xfId="0" applyFont="1" applyAlignment="1">
      <alignment vertical="center"/>
    </xf>
    <xf numFmtId="0" fontId="42" fillId="0" borderId="0" xfId="0" applyFont="1" applyAlignment="1">
      <alignment wrapText="1"/>
    </xf>
    <xf numFmtId="0" fontId="42" fillId="0" borderId="0" xfId="0" applyFont="1" applyAlignment="1">
      <alignment horizontal="center" wrapText="1"/>
    </xf>
    <xf numFmtId="0" fontId="0" fillId="0" borderId="0" xfId="0" applyAlignment="1">
      <alignment wrapText="1"/>
    </xf>
    <xf numFmtId="0" fontId="19" fillId="3" borderId="5" xfId="0" applyFont="1" applyFill="1" applyBorder="1" applyAlignment="1">
      <alignment horizontal="center" vertical="center"/>
    </xf>
    <xf numFmtId="0" fontId="19" fillId="3" borderId="2" xfId="0" applyFont="1" applyFill="1" applyBorder="1" applyAlignment="1">
      <alignment horizontal="left" vertical="center" wrapText="1" indent="1" readingOrder="1"/>
    </xf>
    <xf numFmtId="1" fontId="19" fillId="3" borderId="5" xfId="0" applyNumberFormat="1" applyFont="1" applyFill="1" applyBorder="1" applyAlignment="1">
      <alignment horizontal="center" vertical="center"/>
    </xf>
    <xf numFmtId="0" fontId="19" fillId="3" borderId="0" xfId="0" applyFont="1" applyFill="1" applyAlignment="1">
      <alignment horizontal="right" vertical="center" wrapText="1" indent="1"/>
    </xf>
    <xf numFmtId="0" fontId="19" fillId="3" borderId="5" xfId="0" applyFont="1" applyFill="1" applyBorder="1" applyAlignment="1">
      <alignment horizontal="left" vertical="center" wrapText="1" indent="1" readingOrder="1"/>
    </xf>
    <xf numFmtId="0" fontId="23" fillId="3" borderId="0" xfId="0" applyFont="1" applyFill="1" applyAlignment="1">
      <alignment horizontal="right" vertical="center" wrapText="1" indent="1"/>
    </xf>
    <xf numFmtId="1" fontId="9" fillId="3" borderId="5" xfId="0" applyNumberFormat="1" applyFont="1" applyFill="1" applyBorder="1" applyAlignment="1">
      <alignment horizontal="right" vertical="center" wrapText="1" indent="3"/>
    </xf>
    <xf numFmtId="1" fontId="9" fillId="3" borderId="6" xfId="0" applyNumberFormat="1" applyFont="1" applyFill="1" applyBorder="1" applyAlignment="1">
      <alignment horizontal="right" vertical="center" wrapText="1" indent="3"/>
    </xf>
    <xf numFmtId="1" fontId="19" fillId="3" borderId="5" xfId="0" applyNumberFormat="1" applyFont="1" applyFill="1" applyBorder="1" applyAlignment="1">
      <alignment horizontal="right" vertical="center" wrapText="1" indent="3"/>
    </xf>
    <xf numFmtId="1" fontId="19" fillId="3" borderId="6" xfId="0" applyNumberFormat="1" applyFont="1" applyFill="1" applyBorder="1" applyAlignment="1">
      <alignment horizontal="right" vertical="center" wrapText="1" indent="3"/>
    </xf>
    <xf numFmtId="1" fontId="23" fillId="3" borderId="11" xfId="0" applyNumberFormat="1" applyFont="1" applyFill="1" applyBorder="1" applyAlignment="1">
      <alignment horizontal="right" vertical="center" indent="4"/>
    </xf>
    <xf numFmtId="1" fontId="23" fillId="3" borderId="0" xfId="0" applyNumberFormat="1" applyFont="1" applyFill="1" applyAlignment="1">
      <alignment horizontal="right" vertical="center" indent="4"/>
    </xf>
    <xf numFmtId="1" fontId="23" fillId="3" borderId="6" xfId="0" applyNumberFormat="1" applyFont="1" applyFill="1" applyBorder="1" applyAlignment="1">
      <alignment horizontal="right" vertical="center" indent="4"/>
    </xf>
    <xf numFmtId="0" fontId="23" fillId="3" borderId="5" xfId="0" applyFont="1" applyFill="1" applyBorder="1" applyAlignment="1">
      <alignment horizontal="right" vertical="center" wrapText="1" indent="1"/>
    </xf>
    <xf numFmtId="0" fontId="23" fillId="3" borderId="5" xfId="0" applyFont="1" applyFill="1" applyBorder="1" applyAlignment="1">
      <alignment horizontal="left" vertical="center" indent="1"/>
    </xf>
    <xf numFmtId="1" fontId="19" fillId="3" borderId="0" xfId="0" applyNumberFormat="1" applyFont="1" applyFill="1" applyAlignment="1">
      <alignment horizontal="right" vertical="center" indent="4"/>
    </xf>
    <xf numFmtId="1" fontId="19" fillId="3" borderId="6" xfId="0" applyNumberFormat="1" applyFont="1" applyFill="1" applyBorder="1" applyAlignment="1">
      <alignment horizontal="right" vertical="center" indent="4"/>
    </xf>
    <xf numFmtId="0" fontId="55" fillId="3" borderId="12" xfId="0" applyFont="1" applyFill="1" applyBorder="1" applyAlignment="1">
      <alignment horizontal="left" vertical="center" indent="2"/>
    </xf>
    <xf numFmtId="0" fontId="19" fillId="3" borderId="11" xfId="0" applyFont="1" applyFill="1" applyBorder="1" applyAlignment="1">
      <alignment horizontal="left" vertical="center" wrapText="1" indent="1"/>
    </xf>
    <xf numFmtId="1" fontId="23" fillId="3" borderId="0" xfId="0" applyNumberFormat="1" applyFont="1" applyFill="1" applyAlignment="1">
      <alignment horizontal="right" vertical="center" wrapText="1" indent="1"/>
    </xf>
    <xf numFmtId="1" fontId="19" fillId="3" borderId="11" xfId="0" applyNumberFormat="1" applyFont="1" applyFill="1" applyBorder="1" applyAlignment="1">
      <alignment horizontal="right" vertical="center" wrapText="1" indent="1"/>
    </xf>
    <xf numFmtId="1" fontId="19" fillId="3" borderId="0" xfId="0" applyNumberFormat="1" applyFont="1" applyFill="1" applyAlignment="1">
      <alignment horizontal="right" vertical="center" wrapText="1" indent="1"/>
    </xf>
    <xf numFmtId="1" fontId="19" fillId="3" borderId="6" xfId="0" applyNumberFormat="1" applyFont="1" applyFill="1" applyBorder="1" applyAlignment="1">
      <alignment horizontal="right" vertical="center" wrapText="1" indent="1"/>
    </xf>
    <xf numFmtId="0" fontId="19" fillId="3" borderId="5" xfId="0" applyFont="1" applyFill="1" applyBorder="1" applyAlignment="1">
      <alignment horizontal="left" vertical="center" indent="1"/>
    </xf>
    <xf numFmtId="1" fontId="23" fillId="3" borderId="6" xfId="0" applyNumberFormat="1" applyFont="1" applyFill="1" applyBorder="1" applyAlignment="1">
      <alignment horizontal="right" vertical="center" indent="1"/>
    </xf>
    <xf numFmtId="1" fontId="19" fillId="3" borderId="6" xfId="0" applyNumberFormat="1" applyFont="1" applyFill="1" applyBorder="1" applyAlignment="1">
      <alignment horizontal="right" vertical="center" wrapText="1" indent="4"/>
    </xf>
    <xf numFmtId="1" fontId="9" fillId="3" borderId="6" xfId="0" applyNumberFormat="1" applyFont="1" applyFill="1" applyBorder="1" applyAlignment="1">
      <alignment horizontal="right" vertical="center" wrapText="1" indent="4"/>
    </xf>
    <xf numFmtId="0" fontId="68" fillId="0" borderId="0" xfId="0" applyFont="1" applyAlignment="1">
      <alignment horizontal="center" vertical="center" readingOrder="2"/>
    </xf>
    <xf numFmtId="1" fontId="9" fillId="2" borderId="5" xfId="0" applyNumberFormat="1" applyFont="1" applyFill="1" applyBorder="1" applyAlignment="1">
      <alignment horizontal="center" vertical="center"/>
    </xf>
    <xf numFmtId="0" fontId="55" fillId="2" borderId="5" xfId="0" applyFont="1" applyFill="1" applyBorder="1" applyAlignment="1">
      <alignment horizontal="left" vertical="center" wrapText="1" indent="1"/>
    </xf>
    <xf numFmtId="1" fontId="9" fillId="2" borderId="6" xfId="0" applyNumberFormat="1" applyFont="1" applyFill="1" applyBorder="1" applyAlignment="1">
      <alignment horizontal="right" vertical="center" indent="1"/>
    </xf>
    <xf numFmtId="0" fontId="9" fillId="2" borderId="6" xfId="0" applyFont="1" applyFill="1" applyBorder="1" applyAlignment="1">
      <alignment horizontal="right" vertical="center" wrapText="1" indent="1"/>
    </xf>
    <xf numFmtId="1" fontId="0" fillId="2" borderId="0" xfId="0" applyNumberFormat="1" applyFill="1" applyAlignment="1">
      <alignment horizontal="center"/>
    </xf>
    <xf numFmtId="164" fontId="10" fillId="2" borderId="0" xfId="0" applyNumberFormat="1" applyFont="1" applyFill="1" applyAlignment="1">
      <alignment vertical="center"/>
    </xf>
    <xf numFmtId="0" fontId="10" fillId="2" borderId="0" xfId="0" applyFont="1" applyFill="1" applyAlignment="1">
      <alignment vertical="center"/>
    </xf>
    <xf numFmtId="0" fontId="0" fillId="2" borderId="0" xfId="0" applyFill="1"/>
    <xf numFmtId="1" fontId="8" fillId="2" borderId="0" xfId="0" applyNumberFormat="1" applyFont="1" applyFill="1" applyAlignment="1">
      <alignment horizontal="right" vertical="center" indent="1"/>
    </xf>
    <xf numFmtId="0" fontId="8" fillId="2" borderId="0" xfId="0" applyFont="1" applyFill="1" applyAlignment="1">
      <alignment horizontal="right" vertical="center" indent="1"/>
    </xf>
    <xf numFmtId="1" fontId="0" fillId="2" borderId="0" xfId="0" applyNumberFormat="1" applyFill="1"/>
    <xf numFmtId="0" fontId="9" fillId="2" borderId="5" xfId="0" applyFont="1" applyFill="1" applyBorder="1" applyAlignment="1">
      <alignment horizontal="right" vertical="center" wrapText="1" indent="1"/>
    </xf>
    <xf numFmtId="0" fontId="9" fillId="2" borderId="11" xfId="0" applyFont="1" applyFill="1" applyBorder="1" applyAlignment="1">
      <alignment horizontal="right" vertical="center" wrapText="1" indent="1"/>
    </xf>
    <xf numFmtId="1" fontId="9" fillId="2" borderId="7" xfId="0" applyNumberFormat="1" applyFont="1" applyFill="1" applyBorder="1" applyAlignment="1">
      <alignment horizontal="center" vertical="center"/>
    </xf>
    <xf numFmtId="0" fontId="55" fillId="2" borderId="7" xfId="0" applyFont="1" applyFill="1" applyBorder="1" applyAlignment="1">
      <alignment horizontal="left" vertical="center" wrapText="1" indent="1"/>
    </xf>
    <xf numFmtId="1" fontId="9" fillId="2" borderId="1" xfId="0" applyNumberFormat="1" applyFont="1" applyFill="1" applyBorder="1" applyAlignment="1">
      <alignment horizontal="right" vertical="center" indent="1"/>
    </xf>
    <xf numFmtId="1" fontId="9" fillId="2" borderId="12" xfId="0" applyNumberFormat="1" applyFont="1" applyFill="1" applyBorder="1" applyAlignment="1">
      <alignment horizontal="right" vertical="center" indent="1"/>
    </xf>
    <xf numFmtId="1" fontId="9" fillId="2" borderId="8" xfId="0" applyNumberFormat="1" applyFont="1" applyFill="1" applyBorder="1" applyAlignment="1">
      <alignment horizontal="right" vertical="center" indent="1"/>
    </xf>
    <xf numFmtId="0" fontId="9" fillId="2" borderId="8" xfId="0" applyFont="1" applyFill="1" applyBorder="1" applyAlignment="1">
      <alignment horizontal="right" vertical="center" wrapText="1" indent="1"/>
    </xf>
    <xf numFmtId="0" fontId="23" fillId="2" borderId="2" xfId="0" applyFont="1" applyFill="1" applyBorder="1" applyAlignment="1">
      <alignment horizontal="center" vertical="center"/>
    </xf>
    <xf numFmtId="0" fontId="53" fillId="2" borderId="7" xfId="0" applyFont="1" applyFill="1" applyBorder="1" applyAlignment="1">
      <alignment horizontal="center" vertical="center"/>
    </xf>
    <xf numFmtId="0" fontId="55" fillId="2" borderId="5" xfId="0" applyFont="1" applyFill="1" applyBorder="1" applyAlignment="1">
      <alignment horizontal="right" vertical="center" wrapText="1" indent="1"/>
    </xf>
    <xf numFmtId="0" fontId="55" fillId="2" borderId="6" xfId="0" applyFont="1" applyFill="1" applyBorder="1" applyAlignment="1">
      <alignment horizontal="right" vertical="center" wrapText="1" indent="1"/>
    </xf>
    <xf numFmtId="0" fontId="55" fillId="2" borderId="6" xfId="0" applyFont="1" applyFill="1" applyBorder="1" applyAlignment="1">
      <alignment horizontal="right" vertical="center" wrapText="1" indent="2"/>
    </xf>
    <xf numFmtId="1" fontId="9" fillId="2" borderId="11" xfId="0" applyNumberFormat="1" applyFont="1" applyFill="1" applyBorder="1" applyAlignment="1">
      <alignment horizontal="right" vertical="center" indent="3"/>
    </xf>
    <xf numFmtId="1" fontId="9" fillId="2" borderId="0" xfId="0" applyNumberFormat="1" applyFont="1" applyFill="1" applyAlignment="1">
      <alignment horizontal="right" vertical="center" indent="3"/>
    </xf>
    <xf numFmtId="0" fontId="55" fillId="2" borderId="5" xfId="0" applyFont="1" applyFill="1" applyBorder="1" applyAlignment="1">
      <alignment horizontal="right" vertical="center" indent="1"/>
    </xf>
    <xf numFmtId="0" fontId="55" fillId="2" borderId="5" xfId="0" applyFont="1" applyFill="1" applyBorder="1" applyAlignment="1">
      <alignment horizontal="left" vertical="center" indent="3"/>
    </xf>
    <xf numFmtId="0" fontId="55" fillId="2" borderId="5" xfId="0" applyFont="1" applyFill="1" applyBorder="1" applyAlignment="1">
      <alignment horizontal="right" vertical="center" indent="3"/>
    </xf>
    <xf numFmtId="0" fontId="42" fillId="3" borderId="0" xfId="0" applyFont="1" applyFill="1" applyAlignment="1">
      <alignment horizontal="left" vertical="center"/>
    </xf>
    <xf numFmtId="0" fontId="42" fillId="3" borderId="0" xfId="0" applyFont="1" applyFill="1" applyAlignment="1">
      <alignment horizontal="right" vertical="center"/>
    </xf>
    <xf numFmtId="0" fontId="5" fillId="2" borderId="0" xfId="0" applyFont="1" applyFill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right" vertical="center" indent="1"/>
    </xf>
    <xf numFmtId="0" fontId="10" fillId="2" borderId="6" xfId="0" applyFont="1" applyFill="1" applyBorder="1" applyAlignment="1">
      <alignment horizontal="right" vertical="center" wrapText="1" indent="1"/>
    </xf>
    <xf numFmtId="1" fontId="55" fillId="2" borderId="11" xfId="0" applyNumberFormat="1" applyFont="1" applyFill="1" applyBorder="1" applyAlignment="1">
      <alignment horizontal="right" vertical="center" indent="1"/>
    </xf>
    <xf numFmtId="1" fontId="55" fillId="2" borderId="0" xfId="0" applyNumberFormat="1" applyFont="1" applyFill="1" applyAlignment="1">
      <alignment horizontal="right" vertical="center" indent="1"/>
    </xf>
    <xf numFmtId="1" fontId="55" fillId="2" borderId="6" xfId="0" applyNumberFormat="1" applyFont="1" applyFill="1" applyBorder="1" applyAlignment="1">
      <alignment horizontal="right" vertical="center" indent="1"/>
    </xf>
    <xf numFmtId="0" fontId="8" fillId="2" borderId="0" xfId="0" applyFont="1" applyFill="1"/>
    <xf numFmtId="1" fontId="17" fillId="2" borderId="0" xfId="0" applyNumberFormat="1" applyFont="1" applyFill="1"/>
    <xf numFmtId="1" fontId="26" fillId="2" borderId="0" xfId="0" applyNumberFormat="1" applyFont="1" applyFill="1"/>
    <xf numFmtId="0" fontId="7" fillId="2" borderId="0" xfId="0" applyFont="1" applyFill="1"/>
    <xf numFmtId="0" fontId="10" fillId="2" borderId="0" xfId="0" applyFont="1" applyFill="1" applyAlignment="1">
      <alignment horizontal="right" vertical="center" indent="1"/>
    </xf>
    <xf numFmtId="1" fontId="66" fillId="2" borderId="0" xfId="0" applyNumberFormat="1" applyFont="1" applyFill="1"/>
    <xf numFmtId="0" fontId="17" fillId="2" borderId="0" xfId="0" applyFont="1" applyFill="1"/>
    <xf numFmtId="0" fontId="26" fillId="2" borderId="0" xfId="0" applyFont="1" applyFill="1"/>
    <xf numFmtId="0" fontId="10" fillId="2" borderId="0" xfId="0" applyFont="1" applyFill="1"/>
    <xf numFmtId="0" fontId="18" fillId="2" borderId="0" xfId="0" applyFont="1" applyFill="1"/>
    <xf numFmtId="1" fontId="55" fillId="2" borderId="11" xfId="0" applyNumberFormat="1" applyFont="1" applyFill="1" applyBorder="1" applyAlignment="1">
      <alignment horizontal="right" vertical="center" wrapText="1" indent="1"/>
    </xf>
    <xf numFmtId="1" fontId="55" fillId="2" borderId="0" xfId="0" applyNumberFormat="1" applyFont="1" applyFill="1" applyAlignment="1">
      <alignment horizontal="right" vertical="center" wrapText="1" indent="1"/>
    </xf>
    <xf numFmtId="1" fontId="9" fillId="2" borderId="11" xfId="0" applyNumberFormat="1" applyFont="1" applyFill="1" applyBorder="1" applyAlignment="1">
      <alignment horizontal="right" vertical="center" wrapText="1" indent="1"/>
    </xf>
    <xf numFmtId="1" fontId="9" fillId="2" borderId="0" xfId="0" applyNumberFormat="1" applyFont="1" applyFill="1" applyAlignment="1">
      <alignment horizontal="right" vertical="center" wrapText="1" indent="1"/>
    </xf>
    <xf numFmtId="1" fontId="55" fillId="2" borderId="12" xfId="0" applyNumberFormat="1" applyFont="1" applyFill="1" applyBorder="1" applyAlignment="1">
      <alignment horizontal="right" vertical="center" wrapText="1" indent="1"/>
    </xf>
    <xf numFmtId="1" fontId="55" fillId="2" borderId="1" xfId="0" applyNumberFormat="1" applyFont="1" applyFill="1" applyBorder="1" applyAlignment="1">
      <alignment horizontal="right" vertical="center" wrapText="1" indent="1"/>
    </xf>
    <xf numFmtId="1" fontId="55" fillId="2" borderId="8" xfId="0" applyNumberFormat="1" applyFont="1" applyFill="1" applyBorder="1" applyAlignment="1">
      <alignment horizontal="right" vertical="center" indent="1"/>
    </xf>
    <xf numFmtId="1" fontId="55" fillId="2" borderId="12" xfId="0" applyNumberFormat="1" applyFont="1" applyFill="1" applyBorder="1" applyAlignment="1">
      <alignment horizontal="right" vertical="center" indent="1"/>
    </xf>
    <xf numFmtId="1" fontId="55" fillId="2" borderId="1" xfId="0" applyNumberFormat="1" applyFont="1" applyFill="1" applyBorder="1" applyAlignment="1">
      <alignment horizontal="right" vertical="center" indent="1"/>
    </xf>
    <xf numFmtId="1" fontId="55" fillId="2" borderId="0" xfId="0" applyNumberFormat="1" applyFont="1" applyFill="1" applyAlignment="1">
      <alignment horizontal="center" vertical="center" wrapText="1"/>
    </xf>
    <xf numFmtId="1" fontId="55" fillId="2" borderId="6" xfId="0" applyNumberFormat="1" applyFont="1" applyFill="1" applyBorder="1" applyAlignment="1">
      <alignment horizontal="right" vertical="center" wrapText="1" indent="1"/>
    </xf>
    <xf numFmtId="0" fontId="55" fillId="3" borderId="0" xfId="0" applyFont="1" applyFill="1" applyAlignment="1">
      <alignment vertical="top"/>
    </xf>
    <xf numFmtId="164" fontId="0" fillId="2" borderId="0" xfId="0" applyNumberFormat="1" applyFill="1"/>
    <xf numFmtId="1" fontId="9" fillId="2" borderId="6" xfId="0" applyNumberFormat="1" applyFont="1" applyFill="1" applyBorder="1" applyAlignment="1">
      <alignment horizontal="right" vertical="center" wrapText="1" indent="1"/>
    </xf>
    <xf numFmtId="49" fontId="19" fillId="2" borderId="0" xfId="0" applyNumberFormat="1" applyFont="1" applyFill="1" applyAlignment="1">
      <alignment horizontal="center" vertical="center"/>
    </xf>
    <xf numFmtId="49" fontId="19" fillId="2" borderId="0" xfId="0" applyNumberFormat="1" applyFont="1" applyFill="1" applyAlignment="1">
      <alignment horizontal="center" vertical="center" wrapText="1"/>
    </xf>
    <xf numFmtId="0" fontId="9" fillId="2" borderId="7" xfId="0" applyFont="1" applyFill="1" applyBorder="1" applyAlignment="1">
      <alignment horizontal="right" vertical="center" wrapText="1" indent="1"/>
    </xf>
    <xf numFmtId="0" fontId="42" fillId="3" borderId="9" xfId="0" applyFont="1" applyFill="1" applyBorder="1" applyAlignment="1">
      <alignment vertical="top"/>
    </xf>
    <xf numFmtId="0" fontId="55" fillId="2" borderId="11" xfId="0" applyFont="1" applyFill="1" applyBorder="1" applyAlignment="1">
      <alignment horizontal="left" vertical="center" wrapText="1" indent="1"/>
    </xf>
    <xf numFmtId="0" fontId="49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1" fontId="39" fillId="2" borderId="0" xfId="0" applyNumberFormat="1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26" fillId="2" borderId="0" xfId="0" applyFont="1" applyFill="1" applyAlignment="1">
      <alignment horizontal="center" vertical="center"/>
    </xf>
    <xf numFmtId="0" fontId="17" fillId="2" borderId="0" xfId="0" applyFont="1" applyFill="1" applyAlignment="1">
      <alignment horizontal="center" vertical="center"/>
    </xf>
    <xf numFmtId="1" fontId="64" fillId="3" borderId="11" xfId="0" applyNumberFormat="1" applyFont="1" applyFill="1" applyBorder="1" applyAlignment="1">
      <alignment horizontal="right" vertical="center" wrapText="1" indent="1"/>
    </xf>
    <xf numFmtId="1" fontId="10" fillId="2" borderId="0" xfId="0" applyNumberFormat="1" applyFont="1" applyFill="1" applyAlignment="1">
      <alignment horizontal="right" vertical="center" indent="1"/>
    </xf>
    <xf numFmtId="1" fontId="9" fillId="2" borderId="11" xfId="0" applyNumberFormat="1" applyFont="1" applyFill="1" applyBorder="1" applyAlignment="1">
      <alignment horizontal="center" vertical="center" wrapText="1"/>
    </xf>
    <xf numFmtId="1" fontId="55" fillId="2" borderId="5" xfId="0" applyNumberFormat="1" applyFont="1" applyFill="1" applyBorder="1" applyAlignment="1">
      <alignment horizontal="center" vertical="center" wrapText="1"/>
    </xf>
    <xf numFmtId="0" fontId="9" fillId="2" borderId="0" xfId="0" applyFont="1" applyFill="1" applyAlignment="1">
      <alignment horizontal="right" vertical="center" wrapText="1" indent="2"/>
    </xf>
    <xf numFmtId="0" fontId="9" fillId="2" borderId="0" xfId="0" applyFont="1" applyFill="1" applyAlignment="1">
      <alignment horizontal="right" vertical="center" indent="2"/>
    </xf>
    <xf numFmtId="0" fontId="9" fillId="2" borderId="0" xfId="1" applyFont="1" applyFill="1" applyAlignment="1">
      <alignment horizontal="right" vertical="center" wrapText="1" indent="2"/>
    </xf>
    <xf numFmtId="1" fontId="9" fillId="2" borderId="11" xfId="0" applyNumberFormat="1" applyFont="1" applyFill="1" applyBorder="1" applyAlignment="1">
      <alignment horizontal="right" vertical="center" wrapText="1" indent="2"/>
    </xf>
    <xf numFmtId="1" fontId="9" fillId="2" borderId="0" xfId="0" applyNumberFormat="1" applyFont="1" applyFill="1" applyAlignment="1">
      <alignment horizontal="right" vertical="center" wrapText="1" indent="2"/>
    </xf>
    <xf numFmtId="0" fontId="55" fillId="2" borderId="0" xfId="0" applyFont="1" applyFill="1" applyAlignment="1">
      <alignment horizontal="center" vertical="center" wrapText="1"/>
    </xf>
    <xf numFmtId="0" fontId="22" fillId="2" borderId="0" xfId="0" applyFont="1" applyFill="1" applyAlignment="1">
      <alignment horizontal="right" vertical="center" wrapText="1" indent="1"/>
    </xf>
    <xf numFmtId="0" fontId="9" fillId="2" borderId="0" xfId="0" applyFont="1" applyFill="1" applyAlignment="1">
      <alignment horizontal="center" vertical="center" wrapText="1"/>
    </xf>
    <xf numFmtId="0" fontId="55" fillId="2" borderId="12" xfId="0" applyFont="1" applyFill="1" applyBorder="1" applyAlignment="1">
      <alignment horizontal="left" vertical="center" wrapText="1" indent="1"/>
    </xf>
    <xf numFmtId="0" fontId="9" fillId="2" borderId="5" xfId="0" applyFont="1" applyFill="1" applyBorder="1" applyAlignment="1">
      <alignment horizontal="left" vertical="center" wrapText="1" indent="2"/>
    </xf>
    <xf numFmtId="1" fontId="9" fillId="2" borderId="5" xfId="0" applyNumberFormat="1" applyFont="1" applyFill="1" applyBorder="1" applyAlignment="1">
      <alignment horizontal="right" vertical="center" wrapText="1" indent="3"/>
    </xf>
    <xf numFmtId="1" fontId="9" fillId="2" borderId="6" xfId="0" applyNumberFormat="1" applyFont="1" applyFill="1" applyBorder="1" applyAlignment="1">
      <alignment horizontal="right" vertical="center" wrapText="1" indent="3"/>
    </xf>
    <xf numFmtId="0" fontId="9" fillId="2" borderId="6" xfId="0" applyFont="1" applyFill="1" applyBorder="1" applyAlignment="1">
      <alignment horizontal="right" vertical="center" wrapText="1" indent="2"/>
    </xf>
    <xf numFmtId="49" fontId="0" fillId="2" borderId="0" xfId="0" applyNumberFormat="1" applyFill="1"/>
    <xf numFmtId="0" fontId="19" fillId="2" borderId="5" xfId="0" applyFont="1" applyFill="1" applyBorder="1" applyAlignment="1">
      <alignment horizontal="left" vertical="center" wrapText="1" indent="1"/>
    </xf>
    <xf numFmtId="1" fontId="19" fillId="2" borderId="5" xfId="0" applyNumberFormat="1" applyFont="1" applyFill="1" applyBorder="1" applyAlignment="1">
      <alignment horizontal="right" vertical="center" wrapText="1" indent="3"/>
    </xf>
    <xf numFmtId="1" fontId="19" fillId="2" borderId="6" xfId="0" applyNumberFormat="1" applyFont="1" applyFill="1" applyBorder="1" applyAlignment="1">
      <alignment horizontal="right" vertical="center" wrapText="1" indent="3"/>
    </xf>
    <xf numFmtId="0" fontId="19" fillId="2" borderId="6" xfId="0" applyFont="1" applyFill="1" applyBorder="1" applyAlignment="1">
      <alignment horizontal="right" vertical="center" wrapText="1" indent="1"/>
    </xf>
    <xf numFmtId="0" fontId="8" fillId="2" borderId="0" xfId="0" applyFont="1" applyFill="1" applyAlignment="1">
      <alignment horizontal="right" vertical="center" wrapText="1" indent="2"/>
    </xf>
    <xf numFmtId="1" fontId="5" fillId="2" borderId="0" xfId="0" applyNumberFormat="1" applyFont="1" applyFill="1" applyAlignment="1">
      <alignment horizontal="center" vertical="center" wrapText="1"/>
    </xf>
    <xf numFmtId="49" fontId="9" fillId="2" borderId="0" xfId="0" applyNumberFormat="1" applyFont="1" applyFill="1"/>
    <xf numFmtId="49" fontId="9" fillId="2" borderId="5" xfId="0" applyNumberFormat="1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left" vertical="center" wrapText="1" indent="2" readingOrder="1"/>
    </xf>
    <xf numFmtId="0" fontId="43" fillId="2" borderId="0" xfId="0" applyFont="1" applyFill="1"/>
    <xf numFmtId="0" fontId="44" fillId="2" borderId="0" xfId="0" applyFont="1" applyFill="1"/>
    <xf numFmtId="0" fontId="9" fillId="2" borderId="11" xfId="0" applyFont="1" applyFill="1" applyBorder="1" applyAlignment="1">
      <alignment horizontal="right" vertical="center" wrapText="1" indent="2"/>
    </xf>
    <xf numFmtId="2" fontId="55" fillId="2" borderId="0" xfId="0" applyNumberFormat="1" applyFont="1" applyFill="1" applyAlignment="1">
      <alignment horizontal="right" vertical="center" wrapText="1" indent="2"/>
    </xf>
    <xf numFmtId="0" fontId="55" fillId="2" borderId="11" xfId="0" applyFont="1" applyFill="1" applyBorder="1" applyAlignment="1">
      <alignment horizontal="right" vertical="center" wrapText="1" indent="2"/>
    </xf>
    <xf numFmtId="49" fontId="19" fillId="2" borderId="7" xfId="0" applyNumberFormat="1" applyFont="1" applyFill="1" applyBorder="1" applyAlignment="1">
      <alignment horizontal="center" vertical="center"/>
    </xf>
    <xf numFmtId="0" fontId="19" fillId="2" borderId="7" xfId="0" applyFont="1" applyFill="1" applyBorder="1" applyAlignment="1">
      <alignment horizontal="left" vertical="center" wrapText="1" indent="1" readingOrder="1"/>
    </xf>
    <xf numFmtId="0" fontId="23" fillId="2" borderId="12" xfId="0" applyFont="1" applyFill="1" applyBorder="1" applyAlignment="1">
      <alignment horizontal="right" vertical="center" wrapText="1" indent="1"/>
    </xf>
    <xf numFmtId="0" fontId="8" fillId="2" borderId="0" xfId="0" applyFont="1" applyFill="1" applyAlignment="1">
      <alignment horizontal="right" vertical="center" wrapText="1" indent="1"/>
    </xf>
    <xf numFmtId="1" fontId="19" fillId="2" borderId="6" xfId="0" applyNumberFormat="1" applyFont="1" applyFill="1" applyBorder="1" applyAlignment="1">
      <alignment horizontal="right" vertical="center" wrapText="1" indent="4"/>
    </xf>
    <xf numFmtId="0" fontId="19" fillId="2" borderId="5" xfId="0" applyFont="1" applyFill="1" applyBorder="1" applyAlignment="1">
      <alignment horizontal="right" vertical="center" wrapText="1" indent="1"/>
    </xf>
    <xf numFmtId="1" fontId="9" fillId="2" borderId="6" xfId="0" applyNumberFormat="1" applyFont="1" applyFill="1" applyBorder="1" applyAlignment="1">
      <alignment horizontal="right" vertical="center" wrapText="1" indent="4"/>
    </xf>
    <xf numFmtId="0" fontId="9" fillId="2" borderId="5" xfId="0" applyFont="1" applyFill="1" applyBorder="1" applyAlignment="1">
      <alignment horizontal="right" vertical="center" wrapText="1" indent="2" readingOrder="2"/>
    </xf>
    <xf numFmtId="0" fontId="19" fillId="2" borderId="5" xfId="0" applyFont="1" applyFill="1" applyBorder="1" applyAlignment="1">
      <alignment horizontal="right" vertical="center" wrapText="1" indent="1" readingOrder="2"/>
    </xf>
    <xf numFmtId="0" fontId="3" fillId="2" borderId="0" xfId="0" applyFont="1" applyFill="1" applyAlignment="1">
      <alignment horizontal="center" vertical="center" wrapText="1"/>
    </xf>
    <xf numFmtId="0" fontId="9" fillId="2" borderId="7" xfId="0" applyFont="1" applyFill="1" applyBorder="1" applyAlignment="1">
      <alignment horizontal="left" vertical="center" wrapText="1" indent="2"/>
    </xf>
    <xf numFmtId="1" fontId="9" fillId="2" borderId="8" xfId="0" applyNumberFormat="1" applyFont="1" applyFill="1" applyBorder="1" applyAlignment="1">
      <alignment horizontal="right" vertical="center" wrapText="1" indent="4"/>
    </xf>
    <xf numFmtId="0" fontId="0" fillId="2" borderId="11" xfId="0" applyFill="1" applyBorder="1"/>
    <xf numFmtId="0" fontId="9" fillId="2" borderId="5" xfId="0" applyFont="1" applyFill="1" applyBorder="1" applyAlignment="1">
      <alignment horizontal="right" vertical="center" indent="1"/>
    </xf>
    <xf numFmtId="164" fontId="8" fillId="2" borderId="0" xfId="1" applyNumberFormat="1" applyFont="1" applyFill="1" applyAlignment="1">
      <alignment horizontal="right" vertical="center" indent="1"/>
    </xf>
    <xf numFmtId="0" fontId="8" fillId="2" borderId="0" xfId="1" applyFont="1" applyFill="1" applyAlignment="1">
      <alignment horizontal="right" vertical="center" indent="1"/>
    </xf>
    <xf numFmtId="0" fontId="34" fillId="2" borderId="0" xfId="0" applyFont="1" applyFill="1"/>
    <xf numFmtId="0" fontId="35" fillId="2" borderId="0" xfId="0" applyFont="1" applyFill="1"/>
    <xf numFmtId="0" fontId="33" fillId="2" borderId="0" xfId="0" applyFont="1" applyFill="1"/>
    <xf numFmtId="0" fontId="15" fillId="2" borderId="0" xfId="1" applyFont="1" applyFill="1" applyAlignment="1">
      <alignment horizontal="right" vertical="center" wrapText="1" indent="1"/>
    </xf>
    <xf numFmtId="0" fontId="20" fillId="2" borderId="0" xfId="1" applyFont="1" applyFill="1" applyAlignment="1">
      <alignment horizontal="right" vertical="center" indent="1"/>
    </xf>
    <xf numFmtId="0" fontId="32" fillId="2" borderId="0" xfId="1" applyFont="1" applyFill="1" applyAlignment="1">
      <alignment horizontal="right" vertical="center" indent="1"/>
    </xf>
    <xf numFmtId="0" fontId="20" fillId="2" borderId="0" xfId="1" applyFont="1" applyFill="1" applyAlignment="1">
      <alignment horizontal="right" vertical="center" wrapText="1" indent="1"/>
    </xf>
    <xf numFmtId="0" fontId="32" fillId="2" borderId="0" xfId="1" applyFont="1" applyFill="1" applyAlignment="1">
      <alignment horizontal="right" vertical="center" wrapText="1" indent="1"/>
    </xf>
    <xf numFmtId="0" fontId="13" fillId="2" borderId="0" xfId="1" applyFont="1" applyFill="1" applyAlignment="1">
      <alignment horizontal="right" vertical="center" wrapText="1" indent="1"/>
    </xf>
    <xf numFmtId="2" fontId="8" fillId="2" borderId="0" xfId="1" applyNumberFormat="1" applyFont="1" applyFill="1" applyAlignment="1">
      <alignment horizontal="right" vertical="center" indent="1"/>
    </xf>
    <xf numFmtId="164" fontId="7" fillId="2" borderId="0" xfId="0" applyNumberFormat="1" applyFont="1" applyFill="1"/>
    <xf numFmtId="0" fontId="15" fillId="2" borderId="0" xfId="1" applyFont="1" applyFill="1" applyAlignment="1">
      <alignment horizontal="center" vertical="center" wrapText="1"/>
    </xf>
    <xf numFmtId="0" fontId="18" fillId="2" borderId="0" xfId="1" applyFont="1" applyFill="1" applyAlignment="1">
      <alignment horizontal="right" vertical="center" wrapText="1" indent="1"/>
    </xf>
    <xf numFmtId="0" fontId="42" fillId="2" borderId="0" xfId="0" applyFont="1" applyFill="1"/>
    <xf numFmtId="1" fontId="15" fillId="2" borderId="0" xfId="1" applyNumberFormat="1" applyFont="1" applyFill="1" applyAlignment="1">
      <alignment horizontal="center" vertical="center" wrapText="1"/>
    </xf>
    <xf numFmtId="0" fontId="42" fillId="2" borderId="5" xfId="0" applyFont="1" applyFill="1" applyBorder="1" applyAlignment="1">
      <alignment horizontal="center" vertical="center"/>
    </xf>
    <xf numFmtId="1" fontId="55" fillId="2" borderId="11" xfId="0" applyNumberFormat="1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right" vertical="center" indent="1"/>
    </xf>
    <xf numFmtId="0" fontId="9" fillId="2" borderId="5" xfId="1" applyFont="1" applyFill="1" applyBorder="1" applyAlignment="1">
      <alignment horizontal="center" vertical="center" wrapText="1"/>
    </xf>
    <xf numFmtId="0" fontId="9" fillId="2" borderId="5" xfId="1" applyFont="1" applyFill="1" applyBorder="1" applyAlignment="1">
      <alignment horizontal="left" vertical="center" wrapText="1" indent="1"/>
    </xf>
    <xf numFmtId="1" fontId="55" fillId="2" borderId="11" xfId="1" applyNumberFormat="1" applyFont="1" applyFill="1" applyBorder="1" applyAlignment="1">
      <alignment horizontal="center" vertical="center"/>
    </xf>
    <xf numFmtId="1" fontId="55" fillId="2" borderId="0" xfId="1" applyNumberFormat="1" applyFont="1" applyFill="1" applyAlignment="1">
      <alignment horizontal="center" vertical="center"/>
    </xf>
    <xf numFmtId="1" fontId="55" fillId="2" borderId="6" xfId="1" applyNumberFormat="1" applyFont="1" applyFill="1" applyBorder="1" applyAlignment="1">
      <alignment horizontal="center" vertical="center"/>
    </xf>
    <xf numFmtId="0" fontId="9" fillId="2" borderId="6" xfId="1" applyFont="1" applyFill="1" applyBorder="1" applyAlignment="1">
      <alignment horizontal="right" vertical="center" wrapText="1" indent="1"/>
    </xf>
    <xf numFmtId="0" fontId="8" fillId="2" borderId="0" xfId="1" applyFont="1" applyFill="1" applyAlignment="1">
      <alignment horizontal="right" vertical="center" wrapText="1" indent="1"/>
    </xf>
    <xf numFmtId="0" fontId="25" fillId="2" borderId="0" xfId="0" applyFont="1" applyFill="1"/>
    <xf numFmtId="49" fontId="25" fillId="2" borderId="0" xfId="0" applyNumberFormat="1" applyFont="1" applyFill="1"/>
    <xf numFmtId="1" fontId="55" fillId="2" borderId="0" xfId="1" applyNumberFormat="1" applyFont="1" applyFill="1" applyAlignment="1">
      <alignment horizontal="right" vertical="center" indent="2"/>
    </xf>
    <xf numFmtId="0" fontId="9" fillId="2" borderId="5" xfId="1" applyFont="1" applyFill="1" applyBorder="1" applyAlignment="1">
      <alignment horizontal="right" vertical="center" wrapText="1" indent="1"/>
    </xf>
    <xf numFmtId="1" fontId="9" fillId="2" borderId="0" xfId="1" applyNumberFormat="1" applyFont="1" applyFill="1" applyAlignment="1">
      <alignment horizontal="right" vertical="center" indent="2"/>
    </xf>
    <xf numFmtId="0" fontId="9" fillId="2" borderId="11" xfId="1" applyFont="1" applyFill="1" applyBorder="1" applyAlignment="1">
      <alignment horizontal="left" vertical="center" wrapText="1" indent="1"/>
    </xf>
    <xf numFmtId="0" fontId="55" fillId="2" borderId="11" xfId="0" applyFont="1" applyFill="1" applyBorder="1" applyAlignment="1">
      <alignment horizontal="right" vertical="center" indent="4"/>
    </xf>
    <xf numFmtId="0" fontId="9" fillId="2" borderId="0" xfId="0" applyFont="1" applyFill="1" applyAlignment="1">
      <alignment horizontal="center" vertical="center"/>
    </xf>
    <xf numFmtId="0" fontId="37" fillId="2" borderId="0" xfId="1" applyFont="1" applyFill="1" applyAlignment="1">
      <alignment horizontal="center" vertical="center" wrapText="1"/>
    </xf>
    <xf numFmtId="0" fontId="37" fillId="2" borderId="0" xfId="0" applyFont="1" applyFill="1" applyAlignment="1">
      <alignment horizontal="center" vertical="center" wrapText="1"/>
    </xf>
    <xf numFmtId="0" fontId="0" fillId="2" borderId="12" xfId="0" applyFill="1" applyBorder="1"/>
    <xf numFmtId="0" fontId="0" fillId="2" borderId="1" xfId="0" applyFill="1" applyBorder="1"/>
    <xf numFmtId="0" fontId="5" fillId="2" borderId="10" xfId="0" applyFont="1" applyFill="1" applyBorder="1" applyAlignment="1">
      <alignment horizontal="center" vertical="center"/>
    </xf>
    <xf numFmtId="0" fontId="18" fillId="2" borderId="0" xfId="1" applyFont="1" applyFill="1" applyAlignment="1">
      <alignment horizontal="center" vertical="center" wrapText="1"/>
    </xf>
    <xf numFmtId="0" fontId="8" fillId="2" borderId="0" xfId="1" applyFont="1" applyFill="1" applyAlignment="1">
      <alignment horizontal="center" vertical="center" wrapText="1"/>
    </xf>
    <xf numFmtId="0" fontId="18" fillId="2" borderId="0" xfId="1" applyFont="1" applyFill="1" applyAlignment="1">
      <alignment horizontal="center" vertical="center"/>
    </xf>
    <xf numFmtId="0" fontId="42" fillId="2" borderId="0" xfId="0" applyFont="1" applyFill="1" applyAlignment="1">
      <alignment horizontal="center"/>
    </xf>
    <xf numFmtId="0" fontId="0" fillId="2" borderId="8" xfId="0" applyFill="1" applyBorder="1"/>
    <xf numFmtId="0" fontId="9" fillId="2" borderId="5" xfId="0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left" vertical="center" indent="1"/>
    </xf>
    <xf numFmtId="0" fontId="9" fillId="2" borderId="11" xfId="0" applyFont="1" applyFill="1" applyBorder="1" applyAlignment="1">
      <alignment horizontal="left" vertical="center" inden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12" xfId="0" applyFont="1" applyFill="1" applyBorder="1" applyAlignment="1">
      <alignment horizontal="left" vertical="center" wrapText="1" indent="1"/>
    </xf>
    <xf numFmtId="0" fontId="9" fillId="2" borderId="11" xfId="0" applyFont="1" applyFill="1" applyBorder="1" applyAlignment="1">
      <alignment horizontal="right" vertical="center" indent="2"/>
    </xf>
    <xf numFmtId="0" fontId="55" fillId="2" borderId="0" xfId="0" applyFont="1" applyFill="1" applyAlignment="1">
      <alignment horizontal="right" vertical="center" wrapText="1" indent="2"/>
    </xf>
    <xf numFmtId="1" fontId="8" fillId="2" borderId="0" xfId="0" applyNumberFormat="1" applyFont="1" applyFill="1" applyAlignment="1">
      <alignment horizontal="right" vertical="center" wrapText="1" indent="1"/>
    </xf>
    <xf numFmtId="1" fontId="9" fillId="2" borderId="11" xfId="0" applyNumberFormat="1" applyFont="1" applyFill="1" applyBorder="1" applyAlignment="1">
      <alignment horizontal="center" vertical="center"/>
    </xf>
    <xf numFmtId="1" fontId="9" fillId="2" borderId="0" xfId="0" applyNumberFormat="1" applyFont="1" applyFill="1" applyAlignment="1">
      <alignment horizontal="center" vertical="center"/>
    </xf>
    <xf numFmtId="1" fontId="9" fillId="2" borderId="6" xfId="0" applyNumberFormat="1" applyFont="1" applyFill="1" applyBorder="1" applyAlignment="1">
      <alignment horizontal="center" vertical="center"/>
    </xf>
    <xf numFmtId="1" fontId="9" fillId="2" borderId="12" xfId="0" applyNumberFormat="1" applyFont="1" applyFill="1" applyBorder="1" applyAlignment="1">
      <alignment horizontal="center" vertical="center"/>
    </xf>
    <xf numFmtId="1" fontId="9" fillId="2" borderId="1" xfId="0" applyNumberFormat="1" applyFont="1" applyFill="1" applyBorder="1" applyAlignment="1">
      <alignment horizontal="center" vertical="center"/>
    </xf>
    <xf numFmtId="1" fontId="9" fillId="2" borderId="8" xfId="0" applyNumberFormat="1" applyFont="1" applyFill="1" applyBorder="1" applyAlignment="1">
      <alignment horizontal="center" vertical="center"/>
    </xf>
    <xf numFmtId="1" fontId="9" fillId="2" borderId="12" xfId="0" applyNumberFormat="1" applyFont="1" applyFill="1" applyBorder="1" applyAlignment="1">
      <alignment horizontal="right" vertical="center" wrapText="1" indent="2"/>
    </xf>
    <xf numFmtId="1" fontId="9" fillId="2" borderId="1" xfId="0" applyNumberFormat="1" applyFont="1" applyFill="1" applyBorder="1" applyAlignment="1">
      <alignment horizontal="right" vertical="center" wrapText="1" indent="2"/>
    </xf>
    <xf numFmtId="0" fontId="9" fillId="2" borderId="1" xfId="0" applyFont="1" applyFill="1" applyBorder="1" applyAlignment="1">
      <alignment horizontal="right" vertical="center" wrapText="1" indent="1"/>
    </xf>
    <xf numFmtId="0" fontId="9" fillId="2" borderId="0" xfId="0" applyFont="1" applyFill="1" applyAlignment="1">
      <alignment horizontal="left" vertical="center" wrapText="1" indent="1"/>
    </xf>
    <xf numFmtId="0" fontId="8" fillId="2" borderId="0" xfId="0" applyFont="1" applyFill="1" applyAlignment="1">
      <alignment horizontal="left" vertical="center" wrapText="1" indent="1"/>
    </xf>
    <xf numFmtId="0" fontId="9" fillId="2" borderId="1" xfId="0" applyFont="1" applyFill="1" applyBorder="1" applyAlignment="1">
      <alignment horizontal="left" vertical="center" wrapText="1" indent="1"/>
    </xf>
    <xf numFmtId="0" fontId="9" fillId="2" borderId="12" xfId="0" applyFont="1" applyFill="1" applyBorder="1" applyAlignment="1">
      <alignment horizontal="right" vertical="center" wrapText="1" indent="1"/>
    </xf>
    <xf numFmtId="1" fontId="55" fillId="2" borderId="11" xfId="0" applyNumberFormat="1" applyFont="1" applyFill="1" applyBorder="1" applyAlignment="1">
      <alignment horizontal="right" vertical="center"/>
    </xf>
    <xf numFmtId="1" fontId="55" fillId="2" borderId="0" xfId="0" applyNumberFormat="1" applyFont="1" applyFill="1" applyAlignment="1">
      <alignment horizontal="right" vertical="center"/>
    </xf>
    <xf numFmtId="1" fontId="9" fillId="2" borderId="11" xfId="0" applyNumberFormat="1" applyFont="1" applyFill="1" applyBorder="1" applyAlignment="1">
      <alignment horizontal="right" vertical="center"/>
    </xf>
    <xf numFmtId="1" fontId="9" fillId="2" borderId="0" xfId="0" applyNumberFormat="1" applyFont="1" applyFill="1" applyAlignment="1">
      <alignment horizontal="right" vertical="center"/>
    </xf>
    <xf numFmtId="0" fontId="53" fillId="2" borderId="0" xfId="0" applyFont="1" applyFill="1" applyAlignment="1">
      <alignment horizontal="center" vertical="center"/>
    </xf>
    <xf numFmtId="49" fontId="29" fillId="2" borderId="0" xfId="0" applyNumberFormat="1" applyFont="1" applyFill="1"/>
    <xf numFmtId="17" fontId="0" fillId="2" borderId="0" xfId="0" applyNumberFormat="1" applyFill="1"/>
    <xf numFmtId="49" fontId="0" fillId="3" borderId="0" xfId="0" applyNumberFormat="1" applyFill="1" applyAlignment="1">
      <alignment horizontal="right"/>
    </xf>
    <xf numFmtId="0" fontId="55" fillId="2" borderId="11" xfId="0" applyFont="1" applyFill="1" applyBorder="1" applyAlignment="1">
      <alignment horizontal="left" vertical="center" indent="2"/>
    </xf>
    <xf numFmtId="1" fontId="55" fillId="2" borderId="0" xfId="0" applyNumberFormat="1" applyFont="1" applyFill="1" applyAlignment="1">
      <alignment horizontal="right" vertical="center" indent="4"/>
    </xf>
    <xf numFmtId="1" fontId="55" fillId="2" borderId="6" xfId="0" applyNumberFormat="1" applyFont="1" applyFill="1" applyBorder="1" applyAlignment="1">
      <alignment horizontal="right" vertical="center" indent="4"/>
    </xf>
    <xf numFmtId="0" fontId="55" fillId="2" borderId="5" xfId="0" applyFont="1" applyFill="1" applyBorder="1" applyAlignment="1">
      <alignment horizontal="right" vertical="center" wrapText="1" indent="2"/>
    </xf>
    <xf numFmtId="0" fontId="23" fillId="2" borderId="11" xfId="0" applyFont="1" applyFill="1" applyBorder="1" applyAlignment="1">
      <alignment horizontal="left" vertical="center" indent="1"/>
    </xf>
    <xf numFmtId="1" fontId="23" fillId="2" borderId="11" xfId="0" applyNumberFormat="1" applyFont="1" applyFill="1" applyBorder="1" applyAlignment="1">
      <alignment horizontal="right" vertical="center" indent="4"/>
    </xf>
    <xf numFmtId="1" fontId="23" fillId="2" borderId="0" xfId="0" applyNumberFormat="1" applyFont="1" applyFill="1" applyAlignment="1">
      <alignment horizontal="right" vertical="center" indent="4"/>
    </xf>
    <xf numFmtId="1" fontId="23" fillId="2" borderId="6" xfId="0" applyNumberFormat="1" applyFont="1" applyFill="1" applyBorder="1" applyAlignment="1">
      <alignment horizontal="right" vertical="center" indent="4"/>
    </xf>
    <xf numFmtId="0" fontId="23" fillId="2" borderId="5" xfId="0" applyFont="1" applyFill="1" applyBorder="1" applyAlignment="1">
      <alignment horizontal="right" vertical="center" wrapText="1" indent="1"/>
    </xf>
    <xf numFmtId="1" fontId="55" fillId="2" borderId="11" xfId="0" applyNumberFormat="1" applyFont="1" applyFill="1" applyBorder="1" applyAlignment="1">
      <alignment horizontal="right" vertical="center" indent="4"/>
    </xf>
    <xf numFmtId="0" fontId="23" fillId="2" borderId="5" xfId="0" applyFont="1" applyFill="1" applyBorder="1" applyAlignment="1">
      <alignment horizontal="left" vertical="center" indent="1"/>
    </xf>
    <xf numFmtId="0" fontId="13" fillId="2" borderId="0" xfId="0" applyFont="1" applyFill="1"/>
    <xf numFmtId="0" fontId="10" fillId="2" borderId="0" xfId="0" applyFont="1" applyFill="1" applyAlignment="1">
      <alignment horizontal="right"/>
    </xf>
    <xf numFmtId="1" fontId="9" fillId="2" borderId="0" xfId="0" applyNumberFormat="1" applyFont="1" applyFill="1" applyAlignment="1">
      <alignment horizontal="right" vertical="center" indent="4"/>
    </xf>
    <xf numFmtId="1" fontId="9" fillId="2" borderId="6" xfId="0" applyNumberFormat="1" applyFont="1" applyFill="1" applyBorder="1" applyAlignment="1">
      <alignment horizontal="right" vertical="center" indent="4"/>
    </xf>
    <xf numFmtId="49" fontId="19" fillId="3" borderId="0" xfId="0" applyNumberFormat="1" applyFont="1" applyFill="1" applyAlignment="1">
      <alignment horizontal="center" vertical="center"/>
    </xf>
    <xf numFmtId="0" fontId="23" fillId="3" borderId="0" xfId="0" applyFont="1" applyFill="1" applyAlignment="1">
      <alignment horizontal="center" vertical="center" wrapText="1"/>
    </xf>
    <xf numFmtId="0" fontId="19" fillId="2" borderId="11" xfId="0" applyFont="1" applyFill="1" applyBorder="1" applyAlignment="1">
      <alignment horizontal="left" vertical="center" wrapText="1" indent="1"/>
    </xf>
    <xf numFmtId="1" fontId="19" fillId="2" borderId="11" xfId="0" applyNumberFormat="1" applyFont="1" applyFill="1" applyBorder="1" applyAlignment="1">
      <alignment horizontal="right" vertical="center" wrapText="1" indent="1"/>
    </xf>
    <xf numFmtId="1" fontId="19" fillId="2" borderId="0" xfId="0" applyNumberFormat="1" applyFont="1" applyFill="1" applyAlignment="1">
      <alignment horizontal="right" vertical="center" wrapText="1" indent="1"/>
    </xf>
    <xf numFmtId="1" fontId="19" fillId="2" borderId="6" xfId="0" applyNumberFormat="1" applyFont="1" applyFill="1" applyBorder="1" applyAlignment="1">
      <alignment horizontal="right" vertical="center" wrapText="1" indent="1"/>
    </xf>
    <xf numFmtId="0" fontId="19" fillId="2" borderId="5" xfId="0" applyFont="1" applyFill="1" applyBorder="1" applyAlignment="1">
      <alignment horizontal="left" vertical="center" indent="1"/>
    </xf>
    <xf numFmtId="0" fontId="19" fillId="2" borderId="5" xfId="0" applyFont="1" applyFill="1" applyBorder="1" applyAlignment="1">
      <alignment horizontal="center" vertical="center"/>
    </xf>
    <xf numFmtId="0" fontId="19" fillId="3" borderId="11" xfId="0" applyFont="1" applyFill="1" applyBorder="1" applyAlignment="1">
      <alignment horizontal="center" vertical="center"/>
    </xf>
    <xf numFmtId="0" fontId="55" fillId="3" borderId="12" xfId="0" applyFont="1" applyFill="1" applyBorder="1" applyAlignment="1">
      <alignment horizontal="center" vertical="center"/>
    </xf>
    <xf numFmtId="0" fontId="19" fillId="3" borderId="4" xfId="0" applyFont="1" applyFill="1" applyBorder="1" applyAlignment="1">
      <alignment horizontal="left" vertical="center" wrapText="1" indent="1"/>
    </xf>
    <xf numFmtId="0" fontId="9" fillId="2" borderId="6" xfId="0" applyFont="1" applyFill="1" applyBorder="1" applyAlignment="1">
      <alignment horizontal="left" vertical="center" wrapText="1" indent="1"/>
    </xf>
    <xf numFmtId="0" fontId="9" fillId="3" borderId="6" xfId="0" applyFont="1" applyFill="1" applyBorder="1" applyAlignment="1">
      <alignment horizontal="left" vertical="center" wrapText="1" indent="1"/>
    </xf>
    <xf numFmtId="0" fontId="9" fillId="3" borderId="8" xfId="0" applyFont="1" applyFill="1" applyBorder="1" applyAlignment="1">
      <alignment horizontal="left" vertical="center" wrapText="1" indent="1"/>
    </xf>
    <xf numFmtId="0" fontId="42" fillId="3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55" fillId="3" borderId="5" xfId="0" applyFont="1" applyFill="1" applyBorder="1" applyAlignment="1">
      <alignment horizontal="center"/>
    </xf>
    <xf numFmtId="0" fontId="55" fillId="3" borderId="7" xfId="0" applyFont="1" applyFill="1" applyBorder="1" applyAlignment="1">
      <alignment horizontal="center"/>
    </xf>
    <xf numFmtId="1" fontId="4" fillId="2" borderId="10" xfId="0" applyNumberFormat="1" applyFont="1" applyFill="1" applyBorder="1" applyAlignment="1">
      <alignment horizontal="center" vertical="center"/>
    </xf>
    <xf numFmtId="1" fontId="6" fillId="2" borderId="11" xfId="1" applyNumberFormat="1" applyFont="1" applyFill="1" applyBorder="1" applyAlignment="1">
      <alignment horizontal="center" vertical="center"/>
    </xf>
    <xf numFmtId="1" fontId="6" fillId="2" borderId="12" xfId="1" applyNumberFormat="1" applyFont="1" applyFill="1" applyBorder="1" applyAlignment="1">
      <alignment horizontal="center" vertical="center"/>
    </xf>
    <xf numFmtId="1" fontId="4" fillId="3" borderId="2" xfId="0" applyNumberFormat="1" applyFont="1" applyFill="1" applyBorder="1" applyAlignment="1">
      <alignment horizontal="center" vertical="center"/>
    </xf>
    <xf numFmtId="0" fontId="61" fillId="3" borderId="0" xfId="0" applyFont="1" applyFill="1"/>
    <xf numFmtId="0" fontId="50" fillId="3" borderId="8" xfId="0" applyFont="1" applyFill="1" applyBorder="1" applyAlignment="1">
      <alignment horizontal="center" vertical="center"/>
    </xf>
    <xf numFmtId="0" fontId="19" fillId="0" borderId="6" xfId="0" applyFont="1" applyBorder="1" applyAlignment="1">
      <alignment horizontal="center" vertical="center" wrapText="1"/>
    </xf>
    <xf numFmtId="0" fontId="19" fillId="3" borderId="11" xfId="0" applyFont="1" applyFill="1" applyBorder="1" applyAlignment="1">
      <alignment horizontal="center" vertical="center" wrapText="1"/>
    </xf>
    <xf numFmtId="0" fontId="19" fillId="3" borderId="12" xfId="0" applyFont="1" applyFill="1" applyBorder="1" applyAlignment="1">
      <alignment horizontal="center" vertical="center" wrapText="1"/>
    </xf>
    <xf numFmtId="0" fontId="58" fillId="0" borderId="6" xfId="1" applyFont="1" applyBorder="1" applyAlignment="1">
      <alignment horizontal="center" vertical="center" wrapText="1"/>
    </xf>
    <xf numFmtId="0" fontId="19" fillId="3" borderId="8" xfId="0" applyFont="1" applyFill="1" applyBorder="1" applyAlignment="1">
      <alignment horizontal="center" vertical="center" wrapText="1"/>
    </xf>
    <xf numFmtId="0" fontId="19" fillId="3" borderId="6" xfId="0" applyFont="1" applyFill="1" applyBorder="1" applyAlignment="1">
      <alignment horizontal="center" vertical="center" wrapText="1"/>
    </xf>
    <xf numFmtId="0" fontId="19" fillId="3" borderId="1" xfId="0" applyFont="1" applyFill="1" applyBorder="1" applyAlignment="1">
      <alignment horizontal="center" vertical="center" wrapText="1"/>
    </xf>
    <xf numFmtId="0" fontId="19" fillId="3" borderId="12" xfId="0" applyFont="1" applyFill="1" applyBorder="1" applyAlignment="1">
      <alignment horizontal="center" vertical="center"/>
    </xf>
    <xf numFmtId="0" fontId="19" fillId="3" borderId="1" xfId="0" applyFont="1" applyFill="1" applyBorder="1" applyAlignment="1">
      <alignment horizontal="center" vertical="center"/>
    </xf>
    <xf numFmtId="49" fontId="4" fillId="3" borderId="2" xfId="0" applyNumberFormat="1" applyFont="1" applyFill="1" applyBorder="1" applyAlignment="1">
      <alignment horizontal="center" vertical="center"/>
    </xf>
    <xf numFmtId="49" fontId="4" fillId="2" borderId="5" xfId="0" applyNumberFormat="1" applyFont="1" applyFill="1" applyBorder="1" applyAlignment="1">
      <alignment horizontal="center" vertical="center"/>
    </xf>
    <xf numFmtId="49" fontId="6" fillId="3" borderId="5" xfId="0" applyNumberFormat="1" applyFont="1" applyFill="1" applyBorder="1" applyAlignment="1">
      <alignment horizontal="center" vertical="center"/>
    </xf>
    <xf numFmtId="49" fontId="6" fillId="2" borderId="5" xfId="0" applyNumberFormat="1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49" fontId="19" fillId="3" borderId="8" xfId="0" applyNumberFormat="1" applyFont="1" applyFill="1" applyBorder="1" applyAlignment="1">
      <alignment horizontal="center" vertical="center" wrapText="1" shrinkToFit="1"/>
    </xf>
    <xf numFmtId="0" fontId="6" fillId="2" borderId="6" xfId="0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center"/>
    </xf>
    <xf numFmtId="0" fontId="6" fillId="3" borderId="8" xfId="0" applyFont="1" applyFill="1" applyBorder="1" applyAlignment="1">
      <alignment horizontal="center"/>
    </xf>
    <xf numFmtId="0" fontId="5" fillId="2" borderId="5" xfId="1" applyFont="1" applyFill="1" applyBorder="1" applyAlignment="1">
      <alignment horizontal="center" vertical="center" wrapText="1"/>
    </xf>
    <xf numFmtId="0" fontId="5" fillId="3" borderId="5" xfId="1" applyFont="1" applyFill="1" applyBorder="1" applyAlignment="1">
      <alignment horizontal="center" vertical="center" wrapText="1"/>
    </xf>
    <xf numFmtId="0" fontId="5" fillId="3" borderId="7" xfId="1" applyFont="1" applyFill="1" applyBorder="1" applyAlignment="1">
      <alignment horizontal="center" vertical="center" wrapText="1"/>
    </xf>
    <xf numFmtId="1" fontId="23" fillId="3" borderId="0" xfId="0" applyNumberFormat="1" applyFont="1" applyFill="1" applyAlignment="1">
      <alignment horizontal="center" vertical="center"/>
    </xf>
    <xf numFmtId="1" fontId="23" fillId="3" borderId="6" xfId="0" applyNumberFormat="1" applyFont="1" applyFill="1" applyBorder="1" applyAlignment="1">
      <alignment horizontal="center" vertical="center"/>
    </xf>
    <xf numFmtId="0" fontId="58" fillId="3" borderId="1" xfId="1" applyFont="1" applyFill="1" applyBorder="1" applyAlignment="1">
      <alignment horizontal="center" vertical="center"/>
    </xf>
    <xf numFmtId="0" fontId="58" fillId="3" borderId="8" xfId="1" applyFont="1" applyFill="1" applyBorder="1" applyAlignment="1">
      <alignment horizontal="center" vertical="center" wrapText="1"/>
    </xf>
    <xf numFmtId="0" fontId="23" fillId="3" borderId="8" xfId="0" applyFont="1" applyFill="1" applyBorder="1" applyAlignment="1">
      <alignment horizontal="center" vertical="center" wrapText="1"/>
    </xf>
    <xf numFmtId="0" fontId="19" fillId="0" borderId="8" xfId="0" applyFont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49" fontId="23" fillId="3" borderId="1" xfId="0" applyNumberFormat="1" applyFont="1" applyFill="1" applyBorder="1" applyAlignment="1">
      <alignment horizontal="center" vertical="center"/>
    </xf>
    <xf numFmtId="49" fontId="23" fillId="3" borderId="8" xfId="0" applyNumberFormat="1" applyFont="1" applyFill="1" applyBorder="1" applyAlignment="1">
      <alignment horizontal="center" vertical="center"/>
    </xf>
    <xf numFmtId="0" fontId="19" fillId="3" borderId="6" xfId="1" applyFont="1" applyFill="1" applyBorder="1" applyAlignment="1">
      <alignment horizontal="right" vertical="center" indent="1"/>
    </xf>
    <xf numFmtId="0" fontId="19" fillId="3" borderId="11" xfId="1" applyFont="1" applyFill="1" applyBorder="1" applyAlignment="1">
      <alignment horizontal="left" vertical="center" indent="1" readingOrder="1"/>
    </xf>
    <xf numFmtId="0" fontId="9" fillId="2" borderId="11" xfId="1" applyFont="1" applyFill="1" applyBorder="1" applyAlignment="1">
      <alignment horizontal="left" vertical="center" indent="1" readingOrder="1"/>
    </xf>
    <xf numFmtId="0" fontId="9" fillId="3" borderId="11" xfId="1" applyFont="1" applyFill="1" applyBorder="1" applyAlignment="1">
      <alignment horizontal="left" vertical="center" indent="1" readingOrder="1"/>
    </xf>
    <xf numFmtId="0" fontId="9" fillId="2" borderId="12" xfId="1" applyFont="1" applyFill="1" applyBorder="1" applyAlignment="1">
      <alignment horizontal="left" vertical="center" indent="1" readingOrder="1"/>
    </xf>
    <xf numFmtId="0" fontId="9" fillId="3" borderId="5" xfId="1" applyFont="1" applyFill="1" applyBorder="1" applyAlignment="1">
      <alignment horizontal="left" vertical="center" indent="1"/>
    </xf>
    <xf numFmtId="0" fontId="9" fillId="2" borderId="5" xfId="1" applyFont="1" applyFill="1" applyBorder="1" applyAlignment="1">
      <alignment horizontal="left" vertical="center" indent="1"/>
    </xf>
    <xf numFmtId="0" fontId="9" fillId="2" borderId="11" xfId="1" applyFont="1" applyFill="1" applyBorder="1" applyAlignment="1">
      <alignment horizontal="left" vertical="center" indent="1"/>
    </xf>
    <xf numFmtId="0" fontId="9" fillId="3" borderId="11" xfId="1" applyFont="1" applyFill="1" applyBorder="1" applyAlignment="1">
      <alignment horizontal="left" vertical="center" indent="1"/>
    </xf>
    <xf numFmtId="0" fontId="9" fillId="2" borderId="12" xfId="1" applyFont="1" applyFill="1" applyBorder="1" applyAlignment="1">
      <alignment horizontal="left" vertical="center" indent="1"/>
    </xf>
    <xf numFmtId="0" fontId="9" fillId="3" borderId="12" xfId="1" applyFont="1" applyFill="1" applyBorder="1" applyAlignment="1">
      <alignment horizontal="left" vertical="center" indent="1"/>
    </xf>
    <xf numFmtId="0" fontId="6" fillId="3" borderId="5" xfId="0" applyFont="1" applyFill="1" applyBorder="1" applyAlignment="1">
      <alignment horizontal="center" vertical="center"/>
    </xf>
    <xf numFmtId="0" fontId="6" fillId="3" borderId="7" xfId="0" applyFont="1" applyFill="1" applyBorder="1" applyAlignment="1">
      <alignment horizontal="center" vertical="center"/>
    </xf>
    <xf numFmtId="49" fontId="3" fillId="3" borderId="5" xfId="0" applyNumberFormat="1" applyFont="1" applyFill="1" applyBorder="1" applyAlignment="1">
      <alignment horizontal="center" vertical="center"/>
    </xf>
    <xf numFmtId="49" fontId="5" fillId="2" borderId="5" xfId="0" applyNumberFormat="1" applyFont="1" applyFill="1" applyBorder="1" applyAlignment="1">
      <alignment horizontal="center" vertical="center"/>
    </xf>
    <xf numFmtId="49" fontId="5" fillId="3" borderId="5" xfId="0" applyNumberFormat="1" applyFont="1" applyFill="1" applyBorder="1" applyAlignment="1">
      <alignment horizontal="center" vertical="center"/>
    </xf>
    <xf numFmtId="49" fontId="3" fillId="2" borderId="7" xfId="0" applyNumberFormat="1" applyFont="1" applyFill="1" applyBorder="1" applyAlignment="1">
      <alignment horizontal="center" vertical="center"/>
    </xf>
    <xf numFmtId="49" fontId="5" fillId="2" borderId="5" xfId="0" applyNumberFormat="1" applyFont="1" applyFill="1" applyBorder="1" applyAlignment="1">
      <alignment horizontal="center" vertical="center" wrapText="1"/>
    </xf>
    <xf numFmtId="49" fontId="5" fillId="3" borderId="5" xfId="0" applyNumberFormat="1" applyFont="1" applyFill="1" applyBorder="1" applyAlignment="1">
      <alignment horizontal="center" vertical="center" wrapText="1"/>
    </xf>
    <xf numFmtId="49" fontId="3" fillId="2" borderId="5" xfId="0" applyNumberFormat="1" applyFont="1" applyFill="1" applyBorder="1" applyAlignment="1">
      <alignment horizontal="center" vertical="center" wrapText="1"/>
    </xf>
    <xf numFmtId="49" fontId="3" fillId="3" borderId="5" xfId="0" applyNumberFormat="1" applyFont="1" applyFill="1" applyBorder="1" applyAlignment="1">
      <alignment horizontal="center" vertical="center" wrapText="1"/>
    </xf>
    <xf numFmtId="49" fontId="6" fillId="3" borderId="7" xfId="0" applyNumberFormat="1" applyFont="1" applyFill="1" applyBorder="1" applyAlignment="1">
      <alignment horizontal="center" vertical="center"/>
    </xf>
    <xf numFmtId="49" fontId="4" fillId="3" borderId="4" xfId="0" applyNumberFormat="1" applyFont="1" applyFill="1" applyBorder="1" applyAlignment="1">
      <alignment horizontal="center" vertical="center"/>
    </xf>
    <xf numFmtId="49" fontId="6" fillId="2" borderId="6" xfId="0" applyNumberFormat="1" applyFont="1" applyFill="1" applyBorder="1" applyAlignment="1">
      <alignment horizontal="center" vertical="center"/>
    </xf>
    <xf numFmtId="49" fontId="6" fillId="3" borderId="6" xfId="0" applyNumberFormat="1" applyFont="1" applyFill="1" applyBorder="1" applyAlignment="1">
      <alignment horizontal="center" vertical="center"/>
    </xf>
    <xf numFmtId="49" fontId="4" fillId="2" borderId="6" xfId="0" applyNumberFormat="1" applyFont="1" applyFill="1" applyBorder="1" applyAlignment="1">
      <alignment horizontal="center" vertical="center"/>
    </xf>
    <xf numFmtId="49" fontId="4" fillId="3" borderId="6" xfId="0" applyNumberFormat="1" applyFont="1" applyFill="1" applyBorder="1" applyAlignment="1">
      <alignment horizontal="center" vertical="center"/>
    </xf>
    <xf numFmtId="49" fontId="6" fillId="3" borderId="8" xfId="0" applyNumberFormat="1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3" borderId="6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1" fontId="6" fillId="3" borderId="5" xfId="0" applyNumberFormat="1" applyFont="1" applyFill="1" applyBorder="1" applyAlignment="1">
      <alignment horizontal="center" vertical="center"/>
    </xf>
    <xf numFmtId="1" fontId="6" fillId="3" borderId="7" xfId="0" applyNumberFormat="1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1" fontId="19" fillId="3" borderId="6" xfId="0" applyNumberFormat="1" applyFont="1" applyFill="1" applyBorder="1" applyAlignment="1">
      <alignment horizontal="left" vertical="center" wrapText="1" indent="1"/>
    </xf>
    <xf numFmtId="1" fontId="9" fillId="2" borderId="11" xfId="0" applyNumberFormat="1" applyFont="1" applyFill="1" applyBorder="1" applyAlignment="1">
      <alignment horizontal="left" vertical="center" wrapText="1" indent="1"/>
    </xf>
    <xf numFmtId="1" fontId="9" fillId="2" borderId="0" xfId="0" applyNumberFormat="1" applyFont="1" applyFill="1" applyAlignment="1">
      <alignment horizontal="left" vertical="center" wrapText="1" indent="1"/>
    </xf>
    <xf numFmtId="1" fontId="9" fillId="2" borderId="6" xfId="0" applyNumberFormat="1" applyFont="1" applyFill="1" applyBorder="1" applyAlignment="1">
      <alignment horizontal="left" vertical="center" wrapText="1" indent="1"/>
    </xf>
    <xf numFmtId="1" fontId="9" fillId="3" borderId="11" xfId="0" applyNumberFormat="1" applyFont="1" applyFill="1" applyBorder="1" applyAlignment="1">
      <alignment horizontal="left" vertical="center" wrapText="1" indent="1"/>
    </xf>
    <xf numFmtId="1" fontId="9" fillId="3" borderId="0" xfId="0" applyNumberFormat="1" applyFont="1" applyFill="1" applyAlignment="1">
      <alignment horizontal="left" vertical="center" wrapText="1" indent="1"/>
    </xf>
    <xf numFmtId="1" fontId="9" fillId="3" borderId="6" xfId="0" applyNumberFormat="1" applyFont="1" applyFill="1" applyBorder="1" applyAlignment="1">
      <alignment horizontal="left" vertical="center" wrapText="1" indent="1"/>
    </xf>
    <xf numFmtId="1" fontId="9" fillId="3" borderId="11" xfId="0" applyNumberFormat="1" applyFont="1" applyFill="1" applyBorder="1" applyAlignment="1">
      <alignment horizontal="left" vertical="center" indent="1"/>
    </xf>
    <xf numFmtId="1" fontId="9" fillId="3" borderId="0" xfId="0" applyNumberFormat="1" applyFont="1" applyFill="1" applyAlignment="1">
      <alignment horizontal="left" vertical="center" indent="1"/>
    </xf>
    <xf numFmtId="1" fontId="55" fillId="2" borderId="11" xfId="0" applyNumberFormat="1" applyFont="1" applyFill="1" applyBorder="1" applyAlignment="1">
      <alignment horizontal="left" vertical="center" wrapText="1" indent="1"/>
    </xf>
    <xf numFmtId="1" fontId="55" fillId="2" borderId="0" xfId="0" applyNumberFormat="1" applyFont="1" applyFill="1" applyAlignment="1">
      <alignment horizontal="left" vertical="center" wrapText="1" indent="1"/>
    </xf>
    <xf numFmtId="1" fontId="55" fillId="3" borderId="11" xfId="0" applyNumberFormat="1" applyFont="1" applyFill="1" applyBorder="1" applyAlignment="1">
      <alignment horizontal="left" vertical="center" wrapText="1" indent="1"/>
    </xf>
    <xf numFmtId="1" fontId="55" fillId="3" borderId="0" xfId="0" applyNumberFormat="1" applyFont="1" applyFill="1" applyAlignment="1">
      <alignment horizontal="left" vertical="center" wrapText="1" indent="1"/>
    </xf>
    <xf numFmtId="1" fontId="5" fillId="2" borderId="5" xfId="0" applyNumberFormat="1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  <xf numFmtId="1" fontId="16" fillId="0" borderId="0" xfId="0" applyNumberFormat="1" applyFont="1"/>
    <xf numFmtId="1" fontId="26" fillId="0" borderId="0" xfId="0" applyNumberFormat="1" applyFont="1"/>
    <xf numFmtId="1" fontId="5" fillId="2" borderId="7" xfId="0" applyNumberFormat="1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 wrapText="1"/>
    </xf>
    <xf numFmtId="0" fontId="23" fillId="3" borderId="1" xfId="0" applyFont="1" applyFill="1" applyBorder="1" applyAlignment="1">
      <alignment horizontal="center" vertical="center" wrapText="1"/>
    </xf>
    <xf numFmtId="1" fontId="19" fillId="3" borderId="11" xfId="0" applyNumberFormat="1" applyFont="1" applyFill="1" applyBorder="1" applyAlignment="1">
      <alignment horizontal="right" vertical="center" indent="2"/>
    </xf>
    <xf numFmtId="1" fontId="19" fillId="3" borderId="0" xfId="0" applyNumberFormat="1" applyFont="1" applyFill="1" applyAlignment="1">
      <alignment horizontal="right" vertical="center" indent="2"/>
    </xf>
    <xf numFmtId="0" fontId="23" fillId="3" borderId="6" xfId="0" applyFont="1" applyFill="1" applyBorder="1" applyAlignment="1">
      <alignment horizontal="center" vertical="center" wrapText="1"/>
    </xf>
    <xf numFmtId="0" fontId="53" fillId="3" borderId="1" xfId="0" applyFont="1" applyFill="1" applyBorder="1" applyAlignment="1">
      <alignment horizontal="center" vertical="center" wrapText="1"/>
    </xf>
    <xf numFmtId="1" fontId="19" fillId="3" borderId="6" xfId="0" applyNumberFormat="1" applyFont="1" applyFill="1" applyBorder="1" applyAlignment="1">
      <alignment horizontal="right" vertical="center" indent="2"/>
    </xf>
    <xf numFmtId="1" fontId="19" fillId="3" borderId="11" xfId="0" applyNumberFormat="1" applyFont="1" applyFill="1" applyBorder="1" applyAlignment="1">
      <alignment horizontal="center" vertical="center" wrapText="1"/>
    </xf>
    <xf numFmtId="1" fontId="19" fillId="3" borderId="0" xfId="0" applyNumberFormat="1" applyFont="1" applyFill="1" applyAlignment="1">
      <alignment horizontal="center" vertical="center" wrapText="1"/>
    </xf>
    <xf numFmtId="1" fontId="19" fillId="3" borderId="6" xfId="0" applyNumberFormat="1" applyFont="1" applyFill="1" applyBorder="1" applyAlignment="1">
      <alignment horizontal="center" vertical="center" wrapText="1"/>
    </xf>
    <xf numFmtId="1" fontId="19" fillId="3" borderId="0" xfId="0" applyNumberFormat="1" applyFont="1" applyFill="1" applyAlignment="1">
      <alignment horizontal="left" vertical="center" wrapText="1" indent="1"/>
    </xf>
    <xf numFmtId="1" fontId="23" fillId="3" borderId="0" xfId="0" applyNumberFormat="1" applyFont="1" applyFill="1" applyAlignment="1">
      <alignment horizontal="right" vertical="center"/>
    </xf>
    <xf numFmtId="0" fontId="19" fillId="3" borderId="7" xfId="0" applyFont="1" applyFill="1" applyBorder="1" applyAlignment="1">
      <alignment horizontal="center" vertical="center" wrapText="1"/>
    </xf>
    <xf numFmtId="0" fontId="23" fillId="3" borderId="0" xfId="0" applyFont="1" applyFill="1" applyAlignment="1">
      <alignment horizontal="left" vertical="center" indent="3"/>
    </xf>
    <xf numFmtId="0" fontId="55" fillId="2" borderId="0" xfId="0" applyFont="1" applyFill="1" applyAlignment="1">
      <alignment horizontal="left" vertical="center" indent="3"/>
    </xf>
    <xf numFmtId="0" fontId="55" fillId="3" borderId="0" xfId="0" applyFont="1" applyFill="1" applyAlignment="1">
      <alignment horizontal="left" vertical="center" indent="3"/>
    </xf>
    <xf numFmtId="0" fontId="55" fillId="3" borderId="1" xfId="0" applyFont="1" applyFill="1" applyBorder="1" applyAlignment="1">
      <alignment horizontal="left" vertical="center" indent="3"/>
    </xf>
    <xf numFmtId="1" fontId="23" fillId="3" borderId="0" xfId="0" applyNumberFormat="1" applyFont="1" applyFill="1" applyAlignment="1">
      <alignment horizontal="right" vertical="center" indent="3"/>
    </xf>
    <xf numFmtId="1" fontId="55" fillId="2" borderId="0" xfId="0" applyNumberFormat="1" applyFont="1" applyFill="1" applyAlignment="1">
      <alignment horizontal="right" vertical="center" indent="3"/>
    </xf>
    <xf numFmtId="1" fontId="55" fillId="3" borderId="0" xfId="0" applyNumberFormat="1" applyFont="1" applyFill="1" applyAlignment="1">
      <alignment horizontal="right" vertical="center" indent="3"/>
    </xf>
    <xf numFmtId="1" fontId="55" fillId="3" borderId="6" xfId="0" applyNumberFormat="1" applyFont="1" applyFill="1" applyBorder="1" applyAlignment="1">
      <alignment horizontal="right" vertical="center" indent="3"/>
    </xf>
    <xf numFmtId="1" fontId="55" fillId="2" borderId="6" xfId="0" applyNumberFormat="1" applyFont="1" applyFill="1" applyBorder="1" applyAlignment="1">
      <alignment horizontal="right" vertical="center" indent="3"/>
    </xf>
    <xf numFmtId="1" fontId="55" fillId="3" borderId="1" xfId="0" applyNumberFormat="1" applyFont="1" applyFill="1" applyBorder="1" applyAlignment="1">
      <alignment horizontal="right" vertical="center" indent="3"/>
    </xf>
    <xf numFmtId="1" fontId="55" fillId="3" borderId="8" xfId="0" applyNumberFormat="1" applyFont="1" applyFill="1" applyBorder="1" applyAlignment="1">
      <alignment horizontal="right" vertical="center" indent="3"/>
    </xf>
    <xf numFmtId="49" fontId="23" fillId="3" borderId="7" xfId="0" applyNumberFormat="1" applyFont="1" applyFill="1" applyBorder="1" applyAlignment="1">
      <alignment horizontal="center" vertical="center"/>
    </xf>
    <xf numFmtId="1" fontId="9" fillId="3" borderId="12" xfId="0" applyNumberFormat="1" applyFont="1" applyFill="1" applyBorder="1" applyAlignment="1">
      <alignment horizontal="right" vertical="center" indent="3"/>
    </xf>
    <xf numFmtId="1" fontId="0" fillId="0" borderId="0" xfId="0" applyNumberFormat="1" applyAlignment="1">
      <alignment horizontal="center" vertical="center"/>
    </xf>
    <xf numFmtId="1" fontId="8" fillId="0" borderId="0" xfId="0" applyNumberFormat="1" applyFont="1" applyAlignment="1">
      <alignment horizontal="right" vertical="center" indent="1"/>
    </xf>
    <xf numFmtId="0" fontId="19" fillId="3" borderId="10" xfId="0" applyFont="1" applyFill="1" applyBorder="1" applyAlignment="1">
      <alignment horizontal="center" vertical="center"/>
    </xf>
    <xf numFmtId="164" fontId="10" fillId="2" borderId="0" xfId="0" applyNumberFormat="1" applyFont="1" applyFill="1" applyAlignment="1">
      <alignment horizontal="right" vertical="center" indent="1"/>
    </xf>
    <xf numFmtId="0" fontId="19" fillId="2" borderId="11" xfId="0" applyFont="1" applyFill="1" applyBorder="1" applyAlignment="1">
      <alignment horizontal="left" vertical="center" indent="1"/>
    </xf>
    <xf numFmtId="0" fontId="19" fillId="2" borderId="11" xfId="0" applyFont="1" applyFill="1" applyBorder="1" applyAlignment="1">
      <alignment horizontal="center" vertical="center"/>
    </xf>
    <xf numFmtId="0" fontId="19" fillId="2" borderId="0" xfId="0" applyFont="1" applyFill="1" applyAlignment="1">
      <alignment horizontal="center" vertical="center"/>
    </xf>
    <xf numFmtId="0" fontId="23" fillId="2" borderId="6" xfId="0" applyFont="1" applyFill="1" applyBorder="1" applyAlignment="1">
      <alignment horizontal="center" vertical="center" wrapText="1"/>
    </xf>
    <xf numFmtId="0" fontId="23" fillId="2" borderId="0" xfId="0" applyFont="1" applyFill="1" applyAlignment="1">
      <alignment horizontal="center" vertical="center" wrapText="1"/>
    </xf>
    <xf numFmtId="0" fontId="19" fillId="2" borderId="5" xfId="0" applyFont="1" applyFill="1" applyBorder="1" applyAlignment="1">
      <alignment horizontal="right" vertical="center" indent="1"/>
    </xf>
    <xf numFmtId="0" fontId="19" fillId="2" borderId="5" xfId="0" applyFont="1" applyFill="1" applyBorder="1" applyAlignment="1">
      <alignment horizontal="center" vertical="center" textRotation="90"/>
    </xf>
    <xf numFmtId="0" fontId="19" fillId="2" borderId="0" xfId="0" applyFont="1" applyFill="1" applyAlignment="1">
      <alignment horizontal="right" vertical="center" wrapText="1" indent="1"/>
    </xf>
    <xf numFmtId="0" fontId="9" fillId="3" borderId="11" xfId="0" applyFont="1" applyFill="1" applyBorder="1" applyAlignment="1">
      <alignment horizontal="right" vertical="center" indent="2"/>
    </xf>
    <xf numFmtId="0" fontId="55" fillId="3" borderId="0" xfId="0" applyFont="1" applyFill="1" applyAlignment="1">
      <alignment horizontal="right" vertical="center" wrapText="1" indent="2"/>
    </xf>
    <xf numFmtId="0" fontId="19" fillId="2" borderId="6" xfId="0" applyFont="1" applyFill="1" applyBorder="1" applyAlignment="1">
      <alignment horizontal="right" vertical="center" indent="1"/>
    </xf>
    <xf numFmtId="0" fontId="19" fillId="3" borderId="5" xfId="0" applyFont="1" applyFill="1" applyBorder="1" applyAlignment="1">
      <alignment horizontal="right" vertical="center" wrapText="1" indent="1"/>
    </xf>
    <xf numFmtId="0" fontId="5" fillId="3" borderId="8" xfId="0" applyFont="1" applyFill="1" applyBorder="1" applyAlignment="1">
      <alignment horizontal="center" vertical="center" wrapText="1"/>
    </xf>
    <xf numFmtId="0" fontId="19" fillId="3" borderId="11" xfId="0" applyFont="1" applyFill="1" applyBorder="1" applyAlignment="1">
      <alignment vertical="center" wrapText="1"/>
    </xf>
    <xf numFmtId="0" fontId="19" fillId="3" borderId="0" xfId="0" applyFont="1" applyFill="1" applyAlignment="1">
      <alignment vertical="center" wrapText="1"/>
    </xf>
    <xf numFmtId="0" fontId="19" fillId="3" borderId="6" xfId="0" applyFont="1" applyFill="1" applyBorder="1" applyAlignment="1">
      <alignment vertical="center" wrapText="1"/>
    </xf>
    <xf numFmtId="0" fontId="19" fillId="2" borderId="0" xfId="0" applyFont="1" applyFill="1" applyAlignment="1">
      <alignment horizontal="left" vertical="center" wrapText="1" indent="1"/>
    </xf>
    <xf numFmtId="0" fontId="19" fillId="3" borderId="0" xfId="0" applyFont="1" applyFill="1" applyAlignment="1">
      <alignment horizontal="left" vertical="center" indent="1"/>
    </xf>
    <xf numFmtId="0" fontId="19" fillId="3" borderId="2" xfId="0" applyFont="1" applyFill="1" applyBorder="1" applyAlignment="1">
      <alignment horizontal="right" vertical="center" indent="1"/>
    </xf>
    <xf numFmtId="0" fontId="19" fillId="3" borderId="6" xfId="0" applyFont="1" applyFill="1" applyBorder="1" applyAlignment="1">
      <alignment horizontal="center" vertical="center" textRotation="90"/>
    </xf>
    <xf numFmtId="0" fontId="19" fillId="3" borderId="0" xfId="0" applyFont="1" applyFill="1" applyAlignment="1">
      <alignment horizontal="left" vertical="center" wrapText="1" indent="1"/>
    </xf>
    <xf numFmtId="0" fontId="9" fillId="3" borderId="11" xfId="0" applyFont="1" applyFill="1" applyBorder="1" applyAlignment="1">
      <alignment horizontal="center" vertical="center"/>
    </xf>
    <xf numFmtId="0" fontId="19" fillId="3" borderId="11" xfId="0" applyFont="1" applyFill="1" applyBorder="1" applyAlignment="1">
      <alignment horizontal="right" vertical="center" wrapText="1" indent="1"/>
    </xf>
    <xf numFmtId="0" fontId="19" fillId="2" borderId="11" xfId="0" applyFont="1" applyFill="1" applyBorder="1" applyAlignment="1">
      <alignment horizontal="right" vertical="center" wrapText="1" indent="1"/>
    </xf>
    <xf numFmtId="0" fontId="9" fillId="3" borderId="12" xfId="0" applyFont="1" applyFill="1" applyBorder="1" applyAlignment="1">
      <alignment horizontal="right" vertical="center" wrapText="1" indent="1"/>
    </xf>
    <xf numFmtId="0" fontId="19" fillId="2" borderId="1" xfId="0" applyFont="1" applyFill="1" applyBorder="1" applyAlignment="1">
      <alignment horizontal="right" vertical="center" wrapText="1" indent="1"/>
    </xf>
    <xf numFmtId="0" fontId="19" fillId="2" borderId="6" xfId="0" applyFont="1" applyFill="1" applyBorder="1" applyAlignment="1">
      <alignment horizontal="center" vertical="center" wrapText="1"/>
    </xf>
    <xf numFmtId="0" fontId="56" fillId="3" borderId="0" xfId="0" applyFont="1" applyFill="1" applyAlignment="1">
      <alignment horizontal="left" vertical="center"/>
    </xf>
    <xf numFmtId="1" fontId="19" fillId="3" borderId="5" xfId="0" applyNumberFormat="1" applyFont="1" applyFill="1" applyBorder="1" applyAlignment="1">
      <alignment horizontal="right" vertical="center" wrapText="1" indent="2"/>
    </xf>
    <xf numFmtId="1" fontId="9" fillId="3" borderId="5" xfId="0" applyNumberFormat="1" applyFont="1" applyFill="1" applyBorder="1" applyAlignment="1">
      <alignment horizontal="right" vertical="center" wrapText="1" indent="2"/>
    </xf>
    <xf numFmtId="1" fontId="9" fillId="2" borderId="5" xfId="0" applyNumberFormat="1" applyFont="1" applyFill="1" applyBorder="1" applyAlignment="1">
      <alignment horizontal="right" vertical="center" wrapText="1" indent="2"/>
    </xf>
    <xf numFmtId="1" fontId="19" fillId="2" borderId="5" xfId="0" applyNumberFormat="1" applyFont="1" applyFill="1" applyBorder="1" applyAlignment="1">
      <alignment horizontal="right" vertical="center" wrapText="1" indent="2"/>
    </xf>
    <xf numFmtId="1" fontId="9" fillId="2" borderId="7" xfId="0" applyNumberFormat="1" applyFont="1" applyFill="1" applyBorder="1" applyAlignment="1">
      <alignment horizontal="right" vertical="center" wrapText="1" indent="2"/>
    </xf>
    <xf numFmtId="0" fontId="9" fillId="2" borderId="8" xfId="0" applyFont="1" applyFill="1" applyBorder="1" applyAlignment="1">
      <alignment horizontal="right" vertical="center" wrapText="1" indent="2"/>
    </xf>
    <xf numFmtId="49" fontId="5" fillId="2" borderId="7" xfId="0" applyNumberFormat="1" applyFont="1" applyFill="1" applyBorder="1" applyAlignment="1">
      <alignment horizontal="center" vertical="center" wrapText="1"/>
    </xf>
    <xf numFmtId="1" fontId="23" fillId="3" borderId="11" xfId="0" applyNumberFormat="1" applyFont="1" applyFill="1" applyBorder="1" applyAlignment="1">
      <alignment horizontal="right" vertical="center"/>
    </xf>
    <xf numFmtId="0" fontId="42" fillId="3" borderId="0" xfId="0" applyFont="1" applyFill="1" applyAlignment="1">
      <alignment horizontal="right" vertical="center" readingOrder="2"/>
    </xf>
    <xf numFmtId="0" fontId="62" fillId="3" borderId="5" xfId="0" applyFont="1" applyFill="1" applyBorder="1" applyAlignment="1">
      <alignment horizontal="left" vertical="center" wrapText="1" indent="1"/>
    </xf>
    <xf numFmtId="1" fontId="55" fillId="3" borderId="0" xfId="0" applyNumberFormat="1" applyFont="1" applyFill="1" applyAlignment="1">
      <alignment horizontal="left" vertical="center" indent="1"/>
    </xf>
    <xf numFmtId="1" fontId="9" fillId="2" borderId="11" xfId="0" applyNumberFormat="1" applyFont="1" applyFill="1" applyBorder="1" applyAlignment="1">
      <alignment horizontal="left" vertical="center" indent="1"/>
    </xf>
    <xf numFmtId="1" fontId="9" fillId="2" borderId="0" xfId="0" applyNumberFormat="1" applyFont="1" applyFill="1" applyAlignment="1">
      <alignment horizontal="left" vertical="center" indent="1"/>
    </xf>
    <xf numFmtId="1" fontId="55" fillId="3" borderId="1" xfId="0" applyNumberFormat="1" applyFont="1" applyFill="1" applyBorder="1" applyAlignment="1">
      <alignment horizontal="left" vertical="center" wrapText="1" indent="1"/>
    </xf>
    <xf numFmtId="1" fontId="9" fillId="3" borderId="8" xfId="0" applyNumberFormat="1" applyFont="1" applyFill="1" applyBorder="1" applyAlignment="1">
      <alignment horizontal="left" vertical="center" wrapText="1" indent="1"/>
    </xf>
    <xf numFmtId="1" fontId="9" fillId="3" borderId="12" xfId="0" applyNumberFormat="1" applyFont="1" applyFill="1" applyBorder="1" applyAlignment="1">
      <alignment horizontal="left" vertical="center" indent="1"/>
    </xf>
    <xf numFmtId="1" fontId="9" fillId="3" borderId="1" xfId="0" applyNumberFormat="1" applyFont="1" applyFill="1" applyBorder="1" applyAlignment="1">
      <alignment horizontal="left" vertical="center" indent="1"/>
    </xf>
    <xf numFmtId="0" fontId="55" fillId="3" borderId="7" xfId="0" applyFont="1" applyFill="1" applyBorder="1" applyAlignment="1">
      <alignment horizontal="right" vertical="center" wrapText="1" indent="1"/>
    </xf>
    <xf numFmtId="0" fontId="19" fillId="3" borderId="5" xfId="0" applyFont="1" applyFill="1" applyBorder="1" applyAlignment="1">
      <alignment horizontal="center" vertical="center" textRotation="90"/>
    </xf>
    <xf numFmtId="1" fontId="9" fillId="2" borderId="0" xfId="0" applyNumberFormat="1" applyFont="1" applyFill="1" applyAlignment="1">
      <alignment horizontal="center" vertical="center" wrapText="1"/>
    </xf>
    <xf numFmtId="1" fontId="19" fillId="2" borderId="0" xfId="0" applyNumberFormat="1" applyFont="1" applyFill="1" applyAlignment="1">
      <alignment horizontal="right" vertical="center" wrapText="1" indent="2"/>
    </xf>
    <xf numFmtId="1" fontId="19" fillId="3" borderId="0" xfId="0" applyNumberFormat="1" applyFont="1" applyFill="1" applyAlignment="1">
      <alignment horizontal="right" vertical="center" wrapText="1" indent="2"/>
    </xf>
    <xf numFmtId="1" fontId="9" fillId="3" borderId="12" xfId="0" applyNumberFormat="1" applyFont="1" applyFill="1" applyBorder="1" applyAlignment="1">
      <alignment horizontal="center" vertical="center"/>
    </xf>
    <xf numFmtId="1" fontId="9" fillId="3" borderId="1" xfId="0" applyNumberFormat="1" applyFont="1" applyFill="1" applyBorder="1" applyAlignment="1">
      <alignment horizontal="center" vertical="center"/>
    </xf>
    <xf numFmtId="0" fontId="19" fillId="2" borderId="11" xfId="0" applyFont="1" applyFill="1" applyBorder="1" applyAlignment="1">
      <alignment horizontal="left" vertical="center" wrapText="1"/>
    </xf>
    <xf numFmtId="0" fontId="55" fillId="3" borderId="6" xfId="0" applyFont="1" applyFill="1" applyBorder="1" applyAlignment="1">
      <alignment horizontal="center" vertical="center" wrapText="1"/>
    </xf>
    <xf numFmtId="1" fontId="55" fillId="3" borderId="0" xfId="0" applyNumberFormat="1" applyFont="1" applyFill="1" applyAlignment="1">
      <alignment horizontal="right" vertical="center" wrapText="1" indent="2"/>
    </xf>
    <xf numFmtId="1" fontId="55" fillId="2" borderId="0" xfId="0" applyNumberFormat="1" applyFont="1" applyFill="1" applyAlignment="1">
      <alignment horizontal="right" vertical="center" wrapText="1" indent="2"/>
    </xf>
    <xf numFmtId="1" fontId="55" fillId="2" borderId="1" xfId="0" applyNumberFormat="1" applyFont="1" applyFill="1" applyBorder="1" applyAlignment="1">
      <alignment horizontal="right" vertical="center" wrapText="1" indent="2"/>
    </xf>
    <xf numFmtId="0" fontId="17" fillId="2" borderId="11" xfId="0" applyFont="1" applyFill="1" applyBorder="1" applyAlignment="1">
      <alignment horizontal="center" vertical="center"/>
    </xf>
    <xf numFmtId="0" fontId="17" fillId="3" borderId="0" xfId="0" applyFont="1" applyFill="1" applyAlignment="1">
      <alignment horizontal="center" vertical="center"/>
    </xf>
    <xf numFmtId="0" fontId="55" fillId="0" borderId="0" xfId="0" applyFont="1" applyAlignment="1">
      <alignment vertical="top"/>
    </xf>
    <xf numFmtId="0" fontId="23" fillId="3" borderId="5" xfId="0" applyFont="1" applyFill="1" applyBorder="1" applyAlignment="1">
      <alignment horizontal="right" vertical="center" indent="1"/>
    </xf>
    <xf numFmtId="1" fontId="19" fillId="3" borderId="0" xfId="0" applyNumberFormat="1" applyFont="1" applyFill="1" applyAlignment="1">
      <alignment horizontal="right" vertical="center" indent="3"/>
    </xf>
    <xf numFmtId="1" fontId="19" fillId="3" borderId="11" xfId="0" applyNumberFormat="1" applyFont="1" applyFill="1" applyBorder="1" applyAlignment="1">
      <alignment horizontal="right" vertical="center" indent="3"/>
    </xf>
    <xf numFmtId="0" fontId="23" fillId="2" borderId="5" xfId="0" applyFont="1" applyFill="1" applyBorder="1" applyAlignment="1">
      <alignment horizontal="right" vertical="center" indent="1"/>
    </xf>
    <xf numFmtId="1" fontId="19" fillId="2" borderId="0" xfId="0" applyNumberFormat="1" applyFont="1" applyFill="1" applyAlignment="1">
      <alignment horizontal="right" vertical="center" indent="3"/>
    </xf>
    <xf numFmtId="1" fontId="19" fillId="2" borderId="11" xfId="0" applyNumberFormat="1" applyFont="1" applyFill="1" applyBorder="1" applyAlignment="1">
      <alignment horizontal="right" vertical="center" indent="3"/>
    </xf>
    <xf numFmtId="1" fontId="19" fillId="3" borderId="6" xfId="0" applyNumberFormat="1" applyFont="1" applyFill="1" applyBorder="1" applyAlignment="1">
      <alignment horizontal="right" vertical="center" indent="3"/>
    </xf>
    <xf numFmtId="0" fontId="18" fillId="2" borderId="0" xfId="0" applyFont="1" applyFill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49" fontId="6" fillId="2" borderId="7" xfId="0" applyNumberFormat="1" applyFont="1" applyFill="1" applyBorder="1" applyAlignment="1">
      <alignment horizontal="center" vertical="center"/>
    </xf>
    <xf numFmtId="0" fontId="55" fillId="2" borderId="11" xfId="0" applyFont="1" applyFill="1" applyBorder="1" applyAlignment="1">
      <alignment horizontal="left" vertical="center" wrapText="1" indent="2"/>
    </xf>
    <xf numFmtId="0" fontId="55" fillId="3" borderId="11" xfId="0" applyFont="1" applyFill="1" applyBorder="1" applyAlignment="1">
      <alignment horizontal="left" vertical="center" wrapText="1" indent="2"/>
    </xf>
    <xf numFmtId="0" fontId="23" fillId="2" borderId="6" xfId="0" applyFont="1" applyFill="1" applyBorder="1" applyAlignment="1">
      <alignment horizontal="right" vertical="center" wrapText="1" indent="1"/>
    </xf>
    <xf numFmtId="1" fontId="19" fillId="2" borderId="6" xfId="0" applyNumberFormat="1" applyFont="1" applyFill="1" applyBorder="1" applyAlignment="1">
      <alignment horizontal="right" vertical="center" indent="1"/>
    </xf>
    <xf numFmtId="1" fontId="19" fillId="2" borderId="11" xfId="0" applyNumberFormat="1" applyFont="1" applyFill="1" applyBorder="1" applyAlignment="1">
      <alignment horizontal="right" vertical="center" indent="1"/>
    </xf>
    <xf numFmtId="0" fontId="23" fillId="2" borderId="11" xfId="0" applyFont="1" applyFill="1" applyBorder="1" applyAlignment="1">
      <alignment horizontal="left" vertical="center" wrapText="1" indent="1"/>
    </xf>
    <xf numFmtId="0" fontId="23" fillId="3" borderId="6" xfId="0" applyFont="1" applyFill="1" applyBorder="1" applyAlignment="1">
      <alignment horizontal="right" vertical="center" wrapText="1" indent="1"/>
    </xf>
    <xf numFmtId="1" fontId="5" fillId="3" borderId="0" xfId="0" applyNumberFormat="1" applyFont="1" applyFill="1" applyAlignment="1">
      <alignment horizontal="center" vertical="center"/>
    </xf>
    <xf numFmtId="164" fontId="42" fillId="3" borderId="0" xfId="0" applyNumberFormat="1" applyFont="1" applyFill="1"/>
    <xf numFmtId="16" fontId="0" fillId="3" borderId="0" xfId="0" applyNumberFormat="1" applyFill="1"/>
    <xf numFmtId="1" fontId="9" fillId="3" borderId="8" xfId="0" applyNumberFormat="1" applyFont="1" applyFill="1" applyBorder="1" applyAlignment="1">
      <alignment horizontal="center" vertical="center" wrapText="1"/>
    </xf>
    <xf numFmtId="1" fontId="19" fillId="3" borderId="11" xfId="0" applyNumberFormat="1" applyFont="1" applyFill="1" applyBorder="1" applyAlignment="1">
      <alignment horizontal="left" vertical="center" wrapText="1" indent="2"/>
    </xf>
    <xf numFmtId="1" fontId="9" fillId="2" borderId="11" xfId="0" applyNumberFormat="1" applyFont="1" applyFill="1" applyBorder="1" applyAlignment="1">
      <alignment horizontal="left" vertical="center" wrapText="1" indent="2"/>
    </xf>
    <xf numFmtId="1" fontId="9" fillId="3" borderId="11" xfId="0" applyNumberFormat="1" applyFont="1" applyFill="1" applyBorder="1" applyAlignment="1">
      <alignment horizontal="left" vertical="center" wrapText="1" indent="2"/>
    </xf>
    <xf numFmtId="1" fontId="9" fillId="3" borderId="11" xfId="0" applyNumberFormat="1" applyFont="1" applyFill="1" applyBorder="1" applyAlignment="1">
      <alignment horizontal="left" vertical="center" indent="2"/>
    </xf>
    <xf numFmtId="1" fontId="9" fillId="3" borderId="12" xfId="0" applyNumberFormat="1" applyFont="1" applyFill="1" applyBorder="1" applyAlignment="1">
      <alignment horizontal="left" vertical="center" wrapText="1" indent="2"/>
    </xf>
    <xf numFmtId="3" fontId="22" fillId="2" borderId="0" xfId="0" applyNumberFormat="1" applyFont="1" applyFill="1" applyAlignment="1">
      <alignment horizontal="right" vertical="center" wrapText="1" indent="1"/>
    </xf>
    <xf numFmtId="0" fontId="55" fillId="2" borderId="1" xfId="0" applyFont="1" applyFill="1" applyBorder="1" applyAlignment="1">
      <alignment horizontal="center" vertical="center" wrapText="1"/>
    </xf>
    <xf numFmtId="1" fontId="72" fillId="2" borderId="6" xfId="0" applyNumberFormat="1" applyFont="1" applyFill="1" applyBorder="1" applyAlignment="1">
      <alignment horizontal="right" vertical="center" wrapText="1" indent="4"/>
    </xf>
    <xf numFmtId="0" fontId="23" fillId="3" borderId="11" xfId="0" applyFont="1" applyFill="1" applyBorder="1" applyAlignment="1">
      <alignment horizontal="right" vertical="center" indent="3"/>
    </xf>
    <xf numFmtId="0" fontId="23" fillId="3" borderId="0" xfId="0" applyFont="1" applyFill="1" applyAlignment="1">
      <alignment horizontal="right" vertical="center" indent="3"/>
    </xf>
    <xf numFmtId="0" fontId="55" fillId="2" borderId="11" xfId="0" applyFont="1" applyFill="1" applyBorder="1" applyAlignment="1">
      <alignment horizontal="right" vertical="center" indent="3"/>
    </xf>
    <xf numFmtId="0" fontId="55" fillId="2" borderId="0" xfId="0" applyFont="1" applyFill="1" applyAlignment="1">
      <alignment horizontal="right" vertical="center" indent="3"/>
    </xf>
    <xf numFmtId="0" fontId="55" fillId="3" borderId="11" xfId="0" applyFont="1" applyFill="1" applyBorder="1" applyAlignment="1">
      <alignment horizontal="right" vertical="center" indent="3"/>
    </xf>
    <xf numFmtId="0" fontId="55" fillId="3" borderId="0" xfId="0" applyFont="1" applyFill="1" applyAlignment="1">
      <alignment horizontal="right" vertical="center" indent="3"/>
    </xf>
    <xf numFmtId="0" fontId="55" fillId="3" borderId="12" xfId="0" applyFont="1" applyFill="1" applyBorder="1" applyAlignment="1">
      <alignment horizontal="right" vertical="center" indent="3"/>
    </xf>
    <xf numFmtId="0" fontId="55" fillId="3" borderId="1" xfId="0" applyFont="1" applyFill="1" applyBorder="1" applyAlignment="1">
      <alignment horizontal="right" vertical="center" indent="3"/>
    </xf>
    <xf numFmtId="0" fontId="55" fillId="3" borderId="8" xfId="0" applyFont="1" applyFill="1" applyBorder="1" applyAlignment="1">
      <alignment horizontal="right" vertical="center" indent="3"/>
    </xf>
    <xf numFmtId="0" fontId="19" fillId="2" borderId="11" xfId="1" applyFont="1" applyFill="1" applyBorder="1" applyAlignment="1">
      <alignment horizontal="left" vertical="center" wrapText="1" indent="1"/>
    </xf>
    <xf numFmtId="0" fontId="19" fillId="2" borderId="6" xfId="1" applyFont="1" applyFill="1" applyBorder="1" applyAlignment="1">
      <alignment horizontal="right" vertical="center" indent="1"/>
    </xf>
    <xf numFmtId="0" fontId="19" fillId="3" borderId="5" xfId="1" applyFont="1" applyFill="1" applyBorder="1" applyAlignment="1">
      <alignment horizontal="left" vertical="center" wrapText="1" indent="1"/>
    </xf>
    <xf numFmtId="0" fontId="19" fillId="2" borderId="5" xfId="1" applyFont="1" applyFill="1" applyBorder="1" applyAlignment="1">
      <alignment horizontal="left" vertical="center" wrapText="1" indent="1"/>
    </xf>
    <xf numFmtId="0" fontId="19" fillId="2" borderId="11" xfId="1" applyFont="1" applyFill="1" applyBorder="1" applyAlignment="1">
      <alignment horizontal="left" vertical="center" indent="1"/>
    </xf>
    <xf numFmtId="0" fontId="9" fillId="3" borderId="0" xfId="0" applyFont="1" applyFill="1" applyAlignment="1">
      <alignment horizontal="right" wrapText="1" indent="1"/>
    </xf>
    <xf numFmtId="0" fontId="23" fillId="3" borderId="5" xfId="0" applyFont="1" applyFill="1" applyBorder="1" applyAlignment="1">
      <alignment horizontal="left" vertical="center" wrapText="1" indent="1"/>
    </xf>
    <xf numFmtId="165" fontId="23" fillId="0" borderId="2" xfId="0" applyNumberFormat="1" applyFont="1" applyBorder="1" applyAlignment="1">
      <alignment horizontal="center" vertical="center" wrapText="1"/>
    </xf>
    <xf numFmtId="0" fontId="9" fillId="3" borderId="5" xfId="0" applyFont="1" applyFill="1" applyBorder="1" applyAlignment="1">
      <alignment horizontal="right" wrapText="1" indent="1"/>
    </xf>
    <xf numFmtId="0" fontId="53" fillId="0" borderId="0" xfId="0" applyFont="1" applyAlignment="1">
      <alignment horizontal="center" vertical="center"/>
    </xf>
    <xf numFmtId="165" fontId="42" fillId="3" borderId="0" xfId="0" applyNumberFormat="1" applyFont="1" applyFill="1"/>
    <xf numFmtId="165" fontId="16" fillId="3" borderId="0" xfId="0" applyNumberFormat="1" applyFont="1" applyFill="1"/>
    <xf numFmtId="0" fontId="23" fillId="2" borderId="5" xfId="0" applyFont="1" applyFill="1" applyBorder="1" applyAlignment="1">
      <alignment horizontal="left" vertical="center" wrapText="1" indent="1"/>
    </xf>
    <xf numFmtId="0" fontId="55" fillId="2" borderId="5" xfId="0" applyFont="1" applyFill="1" applyBorder="1" applyAlignment="1">
      <alignment horizontal="left" vertical="center" wrapText="1" indent="2"/>
    </xf>
    <xf numFmtId="0" fontId="55" fillId="3" borderId="5" xfId="0" applyFont="1" applyFill="1" applyBorder="1" applyAlignment="1">
      <alignment horizontal="left" vertical="center" wrapText="1" indent="2"/>
    </xf>
    <xf numFmtId="0" fontId="62" fillId="2" borderId="5" xfId="0" applyFont="1" applyFill="1" applyBorder="1" applyAlignment="1">
      <alignment horizontal="right" vertical="center" indent="1"/>
    </xf>
    <xf numFmtId="0" fontId="9" fillId="2" borderId="7" xfId="1" applyFont="1" applyFill="1" applyBorder="1" applyAlignment="1">
      <alignment horizontal="right" vertical="center" wrapText="1" indent="1"/>
    </xf>
    <xf numFmtId="0" fontId="5" fillId="2" borderId="8" xfId="0" applyFont="1" applyFill="1" applyBorder="1" applyAlignment="1">
      <alignment horizontal="center" vertical="center" wrapText="1"/>
    </xf>
    <xf numFmtId="1" fontId="19" fillId="3" borderId="0" xfId="0" applyNumberFormat="1" applyFont="1" applyFill="1" applyAlignment="1">
      <alignment horizontal="center" vertical="center"/>
    </xf>
    <xf numFmtId="0" fontId="62" fillId="3" borderId="5" xfId="0" applyFont="1" applyFill="1" applyBorder="1" applyAlignment="1">
      <alignment horizontal="right" vertical="center" wrapText="1" indent="1"/>
    </xf>
    <xf numFmtId="0" fontId="17" fillId="0" borderId="1" xfId="0" applyFont="1" applyBorder="1" applyAlignment="1">
      <alignment horizontal="center" vertical="center"/>
    </xf>
    <xf numFmtId="0" fontId="19" fillId="3" borderId="2" xfId="0" applyFont="1" applyFill="1" applyBorder="1" applyAlignment="1">
      <alignment horizontal="center" vertical="center"/>
    </xf>
    <xf numFmtId="0" fontId="56" fillId="3" borderId="9" xfId="0" applyFont="1" applyFill="1" applyBorder="1" applyAlignment="1">
      <alignment horizontal="left" vertical="top"/>
    </xf>
    <xf numFmtId="0" fontId="56" fillId="3" borderId="9" xfId="0" applyFont="1" applyFill="1" applyBorder="1" applyAlignment="1">
      <alignment horizontal="left"/>
    </xf>
    <xf numFmtId="0" fontId="51" fillId="3" borderId="9" xfId="0" applyFont="1" applyFill="1" applyBorder="1" applyAlignment="1">
      <alignment horizontal="right"/>
    </xf>
    <xf numFmtId="0" fontId="51" fillId="3" borderId="9" xfId="0" applyFont="1" applyFill="1" applyBorder="1" applyAlignment="1">
      <alignment horizontal="right" vertical="top"/>
    </xf>
    <xf numFmtId="0" fontId="5" fillId="2" borderId="8" xfId="0" applyFont="1" applyFill="1" applyBorder="1" applyAlignment="1">
      <alignment horizontal="center" vertical="center"/>
    </xf>
    <xf numFmtId="0" fontId="9" fillId="2" borderId="8" xfId="2" applyFont="1" applyFill="1" applyBorder="1" applyAlignment="1">
      <alignment horizontal="right" vertical="center" wrapText="1" indent="1" readingOrder="2"/>
    </xf>
    <xf numFmtId="1" fontId="9" fillId="2" borderId="8" xfId="0" applyNumberFormat="1" applyFont="1" applyFill="1" applyBorder="1" applyAlignment="1">
      <alignment horizontal="right" vertical="center" wrapText="1" indent="1"/>
    </xf>
    <xf numFmtId="3" fontId="55" fillId="2" borderId="8" xfId="0" applyNumberFormat="1" applyFont="1" applyFill="1" applyBorder="1" applyAlignment="1">
      <alignment horizontal="right" vertical="center" wrapText="1" indent="1"/>
    </xf>
    <xf numFmtId="3" fontId="55" fillId="2" borderId="1" xfId="0" applyNumberFormat="1" applyFont="1" applyFill="1" applyBorder="1" applyAlignment="1">
      <alignment horizontal="right" vertical="center" indent="1"/>
    </xf>
    <xf numFmtId="3" fontId="55" fillId="2" borderId="12" xfId="0" applyNumberFormat="1" applyFont="1" applyFill="1" applyBorder="1" applyAlignment="1">
      <alignment horizontal="right" vertical="center" indent="1"/>
    </xf>
    <xf numFmtId="0" fontId="3" fillId="3" borderId="6" xfId="0" applyFont="1" applyFill="1" applyBorder="1" applyAlignment="1">
      <alignment horizontal="center" vertical="center"/>
    </xf>
    <xf numFmtId="0" fontId="19" fillId="3" borderId="6" xfId="2" applyFont="1" applyFill="1" applyBorder="1" applyAlignment="1">
      <alignment horizontal="right" vertical="center" wrapText="1" indent="1" readingOrder="2"/>
    </xf>
    <xf numFmtId="1" fontId="73" fillId="3" borderId="0" xfId="0" applyNumberFormat="1" applyFont="1" applyFill="1" applyAlignment="1">
      <alignment horizontal="right" vertical="center" indent="1"/>
    </xf>
    <xf numFmtId="1" fontId="73" fillId="3" borderId="6" xfId="0" applyNumberFormat="1" applyFont="1" applyFill="1" applyBorder="1" applyAlignment="1">
      <alignment horizontal="right" vertical="center" indent="1"/>
    </xf>
    <xf numFmtId="1" fontId="73" fillId="3" borderId="11" xfId="0" applyNumberFormat="1" applyFont="1" applyFill="1" applyBorder="1" applyAlignment="1">
      <alignment horizontal="right" vertical="center" indent="1"/>
    </xf>
    <xf numFmtId="3" fontId="23" fillId="3" borderId="0" xfId="0" applyNumberFormat="1" applyFont="1" applyFill="1" applyAlignment="1">
      <alignment horizontal="right" vertical="center" wrapText="1" indent="1"/>
    </xf>
    <xf numFmtId="3" fontId="73" fillId="3" borderId="0" xfId="0" applyNumberFormat="1" applyFont="1" applyFill="1" applyAlignment="1">
      <alignment horizontal="right" vertical="center" indent="1"/>
    </xf>
    <xf numFmtId="3" fontId="73" fillId="3" borderId="11" xfId="0" applyNumberFormat="1" applyFont="1" applyFill="1" applyBorder="1" applyAlignment="1">
      <alignment horizontal="right" vertical="center" indent="1"/>
    </xf>
    <xf numFmtId="0" fontId="5" fillId="2" borderId="6" xfId="0" applyFont="1" applyFill="1" applyBorder="1" applyAlignment="1">
      <alignment horizontal="center" vertical="center"/>
    </xf>
    <xf numFmtId="0" fontId="9" fillId="2" borderId="6" xfId="2" applyFont="1" applyFill="1" applyBorder="1" applyAlignment="1">
      <alignment horizontal="right" vertical="center" wrapText="1" indent="1" readingOrder="2"/>
    </xf>
    <xf numFmtId="3" fontId="55" fillId="2" borderId="0" xfId="0" applyNumberFormat="1" applyFont="1" applyFill="1" applyAlignment="1">
      <alignment horizontal="right" vertical="center" wrapText="1" indent="1"/>
    </xf>
    <xf numFmtId="3" fontId="55" fillId="2" borderId="0" xfId="0" applyNumberFormat="1" applyFont="1" applyFill="1" applyAlignment="1">
      <alignment horizontal="right" vertical="center" indent="1"/>
    </xf>
    <xf numFmtId="3" fontId="55" fillId="2" borderId="11" xfId="0" applyNumberFormat="1" applyFont="1" applyFill="1" applyBorder="1" applyAlignment="1">
      <alignment horizontal="right" vertical="center" indent="1"/>
    </xf>
    <xf numFmtId="0" fontId="9" fillId="3" borderId="6" xfId="2" applyFont="1" applyFill="1" applyBorder="1" applyAlignment="1">
      <alignment horizontal="right" vertical="center" wrapText="1" indent="1" readingOrder="2"/>
    </xf>
    <xf numFmtId="3" fontId="55" fillId="3" borderId="0" xfId="0" applyNumberFormat="1" applyFont="1" applyFill="1" applyAlignment="1">
      <alignment horizontal="right" vertical="center" wrapText="1" indent="1"/>
    </xf>
    <xf numFmtId="3" fontId="55" fillId="3" borderId="0" xfId="0" applyNumberFormat="1" applyFont="1" applyFill="1" applyAlignment="1">
      <alignment horizontal="right" vertical="center" indent="1"/>
    </xf>
    <xf numFmtId="3" fontId="55" fillId="3" borderId="11" xfId="0" applyNumberFormat="1" applyFont="1" applyFill="1" applyBorder="1" applyAlignment="1">
      <alignment horizontal="right" vertical="center" indent="1"/>
    </xf>
    <xf numFmtId="0" fontId="3" fillId="2" borderId="6" xfId="0" applyFont="1" applyFill="1" applyBorder="1" applyAlignment="1">
      <alignment horizontal="center" vertical="center"/>
    </xf>
    <xf numFmtId="0" fontId="19" fillId="2" borderId="6" xfId="2" applyFont="1" applyFill="1" applyBorder="1" applyAlignment="1">
      <alignment horizontal="right" vertical="center" wrapText="1" indent="1" readingOrder="2"/>
    </xf>
    <xf numFmtId="1" fontId="73" fillId="2" borderId="0" xfId="0" applyNumberFormat="1" applyFont="1" applyFill="1" applyAlignment="1">
      <alignment horizontal="right" vertical="center" indent="1"/>
    </xf>
    <xf numFmtId="1" fontId="23" fillId="2" borderId="6" xfId="0" applyNumberFormat="1" applyFont="1" applyFill="1" applyBorder="1" applyAlignment="1">
      <alignment horizontal="right" vertical="center" indent="1"/>
    </xf>
    <xf numFmtId="1" fontId="23" fillId="2" borderId="0" xfId="0" applyNumberFormat="1" applyFont="1" applyFill="1" applyAlignment="1">
      <alignment horizontal="right" vertical="center" indent="1"/>
    </xf>
    <xf numFmtId="1" fontId="23" fillId="2" borderId="11" xfId="0" applyNumberFormat="1" applyFont="1" applyFill="1" applyBorder="1" applyAlignment="1">
      <alignment horizontal="right" vertical="center" indent="1"/>
    </xf>
    <xf numFmtId="3" fontId="23" fillId="2" borderId="0" xfId="0" applyNumberFormat="1" applyFont="1" applyFill="1" applyAlignment="1">
      <alignment horizontal="right" vertical="center" wrapText="1" indent="1"/>
    </xf>
    <xf numFmtId="3" fontId="23" fillId="2" borderId="0" xfId="0" applyNumberFormat="1" applyFont="1" applyFill="1" applyAlignment="1">
      <alignment horizontal="right" vertical="center" indent="1"/>
    </xf>
    <xf numFmtId="3" fontId="23" fillId="2" borderId="11" xfId="0" applyNumberFormat="1" applyFont="1" applyFill="1" applyBorder="1" applyAlignment="1">
      <alignment horizontal="right" vertical="center" indent="1"/>
    </xf>
    <xf numFmtId="0" fontId="9" fillId="3" borderId="5" xfId="2" applyFont="1" applyFill="1" applyBorder="1" applyAlignment="1">
      <alignment horizontal="right" vertical="center" wrapText="1" indent="1" readingOrder="2"/>
    </xf>
    <xf numFmtId="0" fontId="9" fillId="2" borderId="5" xfId="2" applyFont="1" applyFill="1" applyBorder="1" applyAlignment="1">
      <alignment horizontal="right" vertical="center" wrapText="1" indent="1" readingOrder="2"/>
    </xf>
    <xf numFmtId="0" fontId="3" fillId="3" borderId="5" xfId="0" applyFont="1" applyFill="1" applyBorder="1" applyAlignment="1">
      <alignment horizontal="center" vertical="center"/>
    </xf>
    <xf numFmtId="0" fontId="19" fillId="3" borderId="11" xfId="2" applyFont="1" applyFill="1" applyBorder="1" applyAlignment="1">
      <alignment horizontal="right" vertical="center" wrapText="1" indent="1" readingOrder="2"/>
    </xf>
    <xf numFmtId="3" fontId="73" fillId="3" borderId="6" xfId="0" applyNumberFormat="1" applyFont="1" applyFill="1" applyBorder="1" applyAlignment="1">
      <alignment horizontal="right" vertical="center" indent="1"/>
    </xf>
    <xf numFmtId="3" fontId="23" fillId="3" borderId="6" xfId="0" applyNumberFormat="1" applyFont="1" applyFill="1" applyBorder="1" applyAlignment="1">
      <alignment horizontal="right" vertical="center" wrapText="1" indent="1"/>
    </xf>
    <xf numFmtId="0" fontId="19" fillId="2" borderId="6" xfId="0" applyFont="1" applyFill="1" applyBorder="1" applyAlignment="1">
      <alignment horizontal="center" vertical="center"/>
    </xf>
    <xf numFmtId="1" fontId="73" fillId="2" borderId="11" xfId="0" applyNumberFormat="1" applyFont="1" applyFill="1" applyBorder="1" applyAlignment="1">
      <alignment horizontal="right" vertical="center" indent="1"/>
    </xf>
    <xf numFmtId="0" fontId="19" fillId="2" borderId="2" xfId="0" applyFont="1" applyFill="1" applyBorder="1" applyAlignment="1">
      <alignment horizontal="center" vertical="center"/>
    </xf>
    <xf numFmtId="0" fontId="9" fillId="3" borderId="8" xfId="2" applyFont="1" applyFill="1" applyBorder="1" applyAlignment="1">
      <alignment horizontal="right" vertical="center" wrapText="1" indent="1" readingOrder="2"/>
    </xf>
    <xf numFmtId="3" fontId="55" fillId="3" borderId="1" xfId="0" applyNumberFormat="1" applyFont="1" applyFill="1" applyBorder="1" applyAlignment="1">
      <alignment horizontal="right" vertical="center" wrapText="1" indent="1"/>
    </xf>
    <xf numFmtId="3" fontId="55" fillId="3" borderId="1" xfId="0" applyNumberFormat="1" applyFont="1" applyFill="1" applyBorder="1" applyAlignment="1">
      <alignment horizontal="right" vertical="center" indent="1"/>
    </xf>
    <xf numFmtId="3" fontId="55" fillId="3" borderId="12" xfId="0" applyNumberFormat="1" applyFont="1" applyFill="1" applyBorder="1" applyAlignment="1">
      <alignment horizontal="right" vertical="center" indent="1"/>
    </xf>
    <xf numFmtId="0" fontId="9" fillId="2" borderId="0" xfId="2" applyFont="1" applyFill="1" applyAlignment="1">
      <alignment horizontal="right" vertical="center" wrapText="1" indent="1" readingOrder="2"/>
    </xf>
    <xf numFmtId="0" fontId="9" fillId="3" borderId="0" xfId="2" applyFont="1" applyFill="1" applyAlignment="1">
      <alignment horizontal="right" vertical="center" wrapText="1" indent="1" readingOrder="2"/>
    </xf>
    <xf numFmtId="3" fontId="55" fillId="3" borderId="6" xfId="0" applyNumberFormat="1" applyFont="1" applyFill="1" applyBorder="1" applyAlignment="1">
      <alignment horizontal="right" vertical="center" wrapText="1" indent="1"/>
    </xf>
    <xf numFmtId="3" fontId="55" fillId="3" borderId="11" xfId="0" applyNumberFormat="1" applyFont="1" applyFill="1" applyBorder="1" applyAlignment="1">
      <alignment horizontal="right" vertical="center" wrapText="1" indent="1"/>
    </xf>
    <xf numFmtId="0" fontId="19" fillId="3" borderId="5" xfId="2" applyFont="1" applyFill="1" applyBorder="1" applyAlignment="1">
      <alignment horizontal="right" vertical="center" wrapText="1" indent="1" readingOrder="2"/>
    </xf>
    <xf numFmtId="3" fontId="23" fillId="3" borderId="0" xfId="0" applyNumberFormat="1" applyFont="1" applyFill="1" applyAlignment="1">
      <alignment horizontal="right" vertical="center" indent="1"/>
    </xf>
    <xf numFmtId="3" fontId="23" fillId="3" borderId="11" xfId="0" applyNumberFormat="1" applyFont="1" applyFill="1" applyBorder="1" applyAlignment="1">
      <alignment horizontal="right" vertical="center" indent="1"/>
    </xf>
    <xf numFmtId="3" fontId="55" fillId="2" borderId="11" xfId="0" applyNumberFormat="1" applyFont="1" applyFill="1" applyBorder="1" applyAlignment="1">
      <alignment horizontal="right" vertical="center" wrapText="1" indent="1"/>
    </xf>
    <xf numFmtId="1" fontId="23" fillId="3" borderId="6" xfId="0" applyNumberFormat="1" applyFont="1" applyFill="1" applyBorder="1" applyAlignment="1">
      <alignment horizontal="right" vertical="center" wrapText="1" indent="1"/>
    </xf>
    <xf numFmtId="3" fontId="23" fillId="3" borderId="11" xfId="0" applyNumberFormat="1" applyFont="1" applyFill="1" applyBorder="1" applyAlignment="1">
      <alignment horizontal="right" vertical="center" wrapText="1" indent="1"/>
    </xf>
    <xf numFmtId="1" fontId="9" fillId="2" borderId="1" xfId="0" applyNumberFormat="1" applyFont="1" applyFill="1" applyBorder="1" applyAlignment="1">
      <alignment horizontal="right" vertical="center" wrapText="1" indent="1"/>
    </xf>
    <xf numFmtId="1" fontId="9" fillId="2" borderId="12" xfId="0" applyNumberFormat="1" applyFont="1" applyFill="1" applyBorder="1" applyAlignment="1">
      <alignment horizontal="right" vertical="center" wrapText="1" indent="1"/>
    </xf>
    <xf numFmtId="1" fontId="55" fillId="2" borderId="8" xfId="0" applyNumberFormat="1" applyFont="1" applyFill="1" applyBorder="1" applyAlignment="1">
      <alignment horizontal="right" vertical="center" wrapText="1" indent="1"/>
    </xf>
    <xf numFmtId="3" fontId="55" fillId="2" borderId="1" xfId="0" applyNumberFormat="1" applyFont="1" applyFill="1" applyBorder="1" applyAlignment="1">
      <alignment horizontal="right" vertical="center" wrapText="1" indent="1"/>
    </xf>
    <xf numFmtId="3" fontId="55" fillId="2" borderId="12" xfId="0" applyNumberFormat="1" applyFont="1" applyFill="1" applyBorder="1" applyAlignment="1">
      <alignment horizontal="right" vertical="center" wrapText="1" indent="1"/>
    </xf>
    <xf numFmtId="167" fontId="9" fillId="2" borderId="11" xfId="0" applyNumberFormat="1" applyFont="1" applyFill="1" applyBorder="1" applyAlignment="1">
      <alignment horizontal="left" vertical="center" wrapText="1" indent="1"/>
    </xf>
    <xf numFmtId="167" fontId="9" fillId="3" borderId="5" xfId="0" applyNumberFormat="1" applyFont="1" applyFill="1" applyBorder="1" applyAlignment="1">
      <alignment horizontal="left" vertical="center" wrapText="1" indent="1"/>
    </xf>
    <xf numFmtId="3" fontId="55" fillId="2" borderId="6" xfId="0" applyNumberFormat="1" applyFont="1" applyFill="1" applyBorder="1" applyAlignment="1">
      <alignment horizontal="right" vertical="center" wrapText="1" indent="1"/>
    </xf>
    <xf numFmtId="167" fontId="9" fillId="2" borderId="5" xfId="0" applyNumberFormat="1" applyFont="1" applyFill="1" applyBorder="1" applyAlignment="1">
      <alignment horizontal="left" vertical="center" wrapText="1" indent="1"/>
    </xf>
    <xf numFmtId="167" fontId="19" fillId="3" borderId="11" xfId="0" applyNumberFormat="1" applyFont="1" applyFill="1" applyBorder="1" applyAlignment="1">
      <alignment horizontal="left" vertical="center" indent="1"/>
    </xf>
    <xf numFmtId="167" fontId="9" fillId="2" borderId="12" xfId="0" applyNumberFormat="1" applyFont="1" applyFill="1" applyBorder="1" applyAlignment="1">
      <alignment horizontal="left" vertical="center" wrapText="1" indent="1"/>
    </xf>
    <xf numFmtId="167" fontId="9" fillId="3" borderId="11" xfId="0" applyNumberFormat="1" applyFont="1" applyFill="1" applyBorder="1" applyAlignment="1">
      <alignment horizontal="left" vertical="center" wrapText="1" indent="1"/>
    </xf>
    <xf numFmtId="167" fontId="19" fillId="3" borderId="5" xfId="0" applyNumberFormat="1" applyFont="1" applyFill="1" applyBorder="1" applyAlignment="1">
      <alignment horizontal="left" vertical="center" indent="1"/>
    </xf>
    <xf numFmtId="1" fontId="23" fillId="2" borderId="6" xfId="0" applyNumberFormat="1" applyFont="1" applyFill="1" applyBorder="1" applyAlignment="1">
      <alignment horizontal="right" vertical="center" wrapText="1" indent="1"/>
    </xf>
    <xf numFmtId="1" fontId="23" fillId="2" borderId="0" xfId="0" applyNumberFormat="1" applyFont="1" applyFill="1" applyAlignment="1">
      <alignment horizontal="right" vertical="center" wrapText="1" indent="1"/>
    </xf>
    <xf numFmtId="1" fontId="23" fillId="2" borderId="11" xfId="0" applyNumberFormat="1" applyFont="1" applyFill="1" applyBorder="1" applyAlignment="1">
      <alignment horizontal="right" vertical="center" wrapText="1" indent="1"/>
    </xf>
    <xf numFmtId="3" fontId="23" fillId="2" borderId="11" xfId="0" applyNumberFormat="1" applyFont="1" applyFill="1" applyBorder="1" applyAlignment="1">
      <alignment horizontal="right" vertical="center" wrapText="1" indent="1"/>
    </xf>
    <xf numFmtId="167" fontId="19" fillId="2" borderId="11" xfId="0" applyNumberFormat="1" applyFont="1" applyFill="1" applyBorder="1" applyAlignment="1">
      <alignment horizontal="left" vertical="center" indent="1"/>
    </xf>
    <xf numFmtId="3" fontId="9" fillId="3" borderId="1" xfId="0" applyNumberFormat="1" applyFont="1" applyFill="1" applyBorder="1" applyAlignment="1">
      <alignment horizontal="right" vertical="center" wrapText="1" indent="1"/>
    </xf>
    <xf numFmtId="3" fontId="9" fillId="3" borderId="12" xfId="0" applyNumberFormat="1" applyFont="1" applyFill="1" applyBorder="1" applyAlignment="1">
      <alignment horizontal="right" vertical="center" wrapText="1" indent="1"/>
    </xf>
    <xf numFmtId="167" fontId="9" fillId="3" borderId="12" xfId="0" applyNumberFormat="1" applyFont="1" applyFill="1" applyBorder="1" applyAlignment="1">
      <alignment horizontal="left" vertical="center" wrapText="1" indent="1"/>
    </xf>
    <xf numFmtId="0" fontId="3" fillId="2" borderId="5" xfId="0" applyFont="1" applyFill="1" applyBorder="1" applyAlignment="1">
      <alignment horizontal="center" vertical="center"/>
    </xf>
    <xf numFmtId="0" fontId="19" fillId="2" borderId="5" xfId="2" applyFont="1" applyFill="1" applyBorder="1" applyAlignment="1">
      <alignment horizontal="right" vertical="center" wrapText="1" indent="1" readingOrder="2"/>
    </xf>
    <xf numFmtId="3" fontId="23" fillId="2" borderId="6" xfId="0" applyNumberFormat="1" applyFont="1" applyFill="1" applyBorder="1" applyAlignment="1">
      <alignment horizontal="right" vertical="center" wrapText="1" indent="1"/>
    </xf>
    <xf numFmtId="1" fontId="9" fillId="2" borderId="1" xfId="0" applyNumberFormat="1" applyFont="1" applyFill="1" applyBorder="1" applyAlignment="1">
      <alignment horizontal="center" vertical="center" wrapText="1"/>
    </xf>
    <xf numFmtId="1" fontId="9" fillId="2" borderId="12" xfId="0" applyNumberFormat="1" applyFont="1" applyFill="1" applyBorder="1" applyAlignment="1">
      <alignment horizontal="center" vertical="center" wrapText="1"/>
    </xf>
    <xf numFmtId="1" fontId="55" fillId="2" borderId="1" xfId="0" applyNumberFormat="1" applyFont="1" applyFill="1" applyBorder="1" applyAlignment="1">
      <alignment horizontal="center" vertical="center" wrapText="1"/>
    </xf>
    <xf numFmtId="1" fontId="55" fillId="2" borderId="12" xfId="0" applyNumberFormat="1" applyFont="1" applyFill="1" applyBorder="1" applyAlignment="1">
      <alignment horizontal="center" vertical="center" wrapText="1"/>
    </xf>
    <xf numFmtId="0" fontId="9" fillId="2" borderId="7" xfId="2" applyFont="1" applyFill="1" applyBorder="1" applyAlignment="1">
      <alignment horizontal="right" vertical="center" wrapText="1" indent="1" readingOrder="2"/>
    </xf>
    <xf numFmtId="0" fontId="9" fillId="2" borderId="6" xfId="0" applyFont="1" applyFill="1" applyBorder="1" applyAlignment="1">
      <alignment horizontal="center" vertical="center"/>
    </xf>
    <xf numFmtId="1" fontId="74" fillId="2" borderId="0" xfId="0" applyNumberFormat="1" applyFont="1" applyFill="1" applyAlignment="1">
      <alignment horizontal="right" vertical="center" wrapText="1" indent="1"/>
    </xf>
    <xf numFmtId="1" fontId="74" fillId="2" borderId="11" xfId="0" applyNumberFormat="1" applyFont="1" applyFill="1" applyBorder="1" applyAlignment="1">
      <alignment horizontal="right" vertical="center" wrapText="1" indent="1"/>
    </xf>
    <xf numFmtId="0" fontId="19" fillId="3" borderId="2" xfId="2" applyFont="1" applyFill="1" applyBorder="1" applyAlignment="1">
      <alignment horizontal="right" vertical="center" wrapText="1" indent="1" readingOrder="2"/>
    </xf>
    <xf numFmtId="0" fontId="19" fillId="3" borderId="10" xfId="0" applyFont="1" applyFill="1" applyBorder="1" applyAlignment="1">
      <alignment horizontal="left" vertical="center" wrapText="1" indent="1"/>
    </xf>
    <xf numFmtId="1" fontId="3" fillId="3" borderId="2" xfId="0" applyNumberFormat="1" applyFont="1" applyFill="1" applyBorder="1" applyAlignment="1">
      <alignment horizontal="center" vertical="center"/>
    </xf>
    <xf numFmtId="0" fontId="23" fillId="3" borderId="7" xfId="0" applyFont="1" applyFill="1" applyBorder="1" applyAlignment="1">
      <alignment horizontal="center" vertical="center"/>
    </xf>
    <xf numFmtId="0" fontId="19" fillId="3" borderId="2" xfId="0" applyFont="1" applyFill="1" applyBorder="1" applyAlignment="1">
      <alignment horizontal="center" vertical="center" wrapText="1"/>
    </xf>
    <xf numFmtId="0" fontId="19" fillId="3" borderId="7" xfId="0" applyFont="1" applyFill="1" applyBorder="1" applyAlignment="1">
      <alignment horizontal="center" vertical="center"/>
    </xf>
    <xf numFmtId="1" fontId="75" fillId="2" borderId="0" xfId="0" applyNumberFormat="1" applyFont="1" applyFill="1"/>
    <xf numFmtId="49" fontId="19" fillId="3" borderId="7" xfId="0" applyNumberFormat="1" applyFont="1" applyFill="1" applyBorder="1" applyAlignment="1">
      <alignment horizontal="center" vertical="center" wrapText="1" shrinkToFit="1"/>
    </xf>
    <xf numFmtId="0" fontId="23" fillId="0" borderId="2" xfId="0" applyFont="1" applyBorder="1" applyAlignment="1">
      <alignment horizontal="center" vertical="center"/>
    </xf>
    <xf numFmtId="0" fontId="23" fillId="3" borderId="7" xfId="0" applyFont="1" applyFill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 wrapText="1"/>
    </xf>
    <xf numFmtId="0" fontId="19" fillId="0" borderId="5" xfId="0" applyFont="1" applyBorder="1" applyAlignment="1">
      <alignment horizontal="center" vertical="center" wrapText="1"/>
    </xf>
    <xf numFmtId="0" fontId="19" fillId="0" borderId="7" xfId="0" applyFont="1" applyBorder="1" applyAlignment="1">
      <alignment horizontal="center" vertical="center"/>
    </xf>
    <xf numFmtId="0" fontId="19" fillId="3" borderId="3" xfId="0" applyFont="1" applyFill="1" applyBorder="1" applyAlignment="1">
      <alignment horizontal="center" vertical="center"/>
    </xf>
    <xf numFmtId="49" fontId="19" fillId="3" borderId="4" xfId="0" applyNumberFormat="1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49" fontId="23" fillId="3" borderId="3" xfId="0" applyNumberFormat="1" applyFont="1" applyFill="1" applyBorder="1" applyAlignment="1">
      <alignment horizontal="center" vertical="center"/>
    </xf>
    <xf numFmtId="49" fontId="19" fillId="3" borderId="9" xfId="0" applyNumberFormat="1" applyFont="1" applyFill="1" applyBorder="1" applyAlignment="1">
      <alignment horizontal="center" vertical="center" wrapText="1"/>
    </xf>
    <xf numFmtId="49" fontId="19" fillId="3" borderId="4" xfId="0" applyNumberFormat="1" applyFont="1" applyFill="1" applyBorder="1" applyAlignment="1">
      <alignment horizontal="center" vertical="center" wrapText="1"/>
    </xf>
    <xf numFmtId="0" fontId="53" fillId="3" borderId="7" xfId="0" applyFont="1" applyFill="1" applyBorder="1" applyAlignment="1">
      <alignment horizontal="center" vertical="center"/>
    </xf>
    <xf numFmtId="0" fontId="50" fillId="3" borderId="7" xfId="0" applyFont="1" applyFill="1" applyBorder="1" applyAlignment="1">
      <alignment horizontal="center" vertical="center"/>
    </xf>
    <xf numFmtId="49" fontId="19" fillId="0" borderId="2" xfId="0" applyNumberFormat="1" applyFont="1" applyBorder="1" applyAlignment="1">
      <alignment horizontal="center" vertical="center" wrapText="1"/>
    </xf>
    <xf numFmtId="0" fontId="58" fillId="0" borderId="2" xfId="1" applyFont="1" applyBorder="1" applyAlignment="1">
      <alignment horizontal="center" vertical="center" wrapText="1"/>
    </xf>
    <xf numFmtId="0" fontId="58" fillId="0" borderId="5" xfId="1" applyFont="1" applyBorder="1" applyAlignment="1">
      <alignment horizontal="center" vertical="center" wrapText="1"/>
    </xf>
    <xf numFmtId="0" fontId="58" fillId="3" borderId="7" xfId="1" applyFont="1" applyFill="1" applyBorder="1" applyAlignment="1">
      <alignment horizontal="center" vertical="center"/>
    </xf>
    <xf numFmtId="0" fontId="19" fillId="0" borderId="2" xfId="1" applyFont="1" applyBorder="1" applyAlignment="1">
      <alignment horizontal="center" vertical="center" wrapText="1"/>
    </xf>
    <xf numFmtId="0" fontId="58" fillId="3" borderId="7" xfId="1" applyFont="1" applyFill="1" applyBorder="1" applyAlignment="1">
      <alignment horizontal="center" vertical="center" wrapText="1"/>
    </xf>
    <xf numFmtId="0" fontId="54" fillId="3" borderId="7" xfId="1" applyFont="1" applyFill="1" applyBorder="1" applyAlignment="1">
      <alignment horizontal="center" vertical="center"/>
    </xf>
    <xf numFmtId="0" fontId="19" fillId="3" borderId="3" xfId="0" applyFont="1" applyFill="1" applyBorder="1" applyAlignment="1">
      <alignment vertical="center" wrapText="1"/>
    </xf>
    <xf numFmtId="0" fontId="23" fillId="3" borderId="3" xfId="0" applyFont="1" applyFill="1" applyBorder="1" applyAlignment="1">
      <alignment horizontal="center" vertical="center" wrapText="1"/>
    </xf>
    <xf numFmtId="0" fontId="19" fillId="0" borderId="8" xfId="0" applyFont="1" applyBorder="1" applyAlignment="1">
      <alignment horizontal="center" vertical="center" wrapText="1"/>
    </xf>
    <xf numFmtId="0" fontId="58" fillId="0" borderId="4" xfId="1" applyFont="1" applyBorder="1" applyAlignment="1">
      <alignment horizontal="center" vertical="center" wrapText="1"/>
    </xf>
    <xf numFmtId="0" fontId="58" fillId="0" borderId="8" xfId="1" applyFont="1" applyBorder="1" applyAlignment="1">
      <alignment horizontal="center" vertical="center" wrapText="1"/>
    </xf>
    <xf numFmtId="0" fontId="19" fillId="0" borderId="7" xfId="0" applyFont="1" applyBorder="1" applyAlignment="1">
      <alignment horizontal="center" vertical="center" wrapText="1"/>
    </xf>
    <xf numFmtId="0" fontId="19" fillId="0" borderId="8" xfId="1" applyFont="1" applyBorder="1" applyAlignment="1">
      <alignment horizontal="center" vertical="center" wrapText="1"/>
    </xf>
    <xf numFmtId="0" fontId="19" fillId="0" borderId="4" xfId="1" applyFont="1" applyBorder="1" applyAlignment="1">
      <alignment horizontal="center" vertical="center" wrapText="1"/>
    </xf>
    <xf numFmtId="0" fontId="19" fillId="0" borderId="4" xfId="0" applyFont="1" applyBorder="1" applyAlignment="1">
      <alignment horizontal="center" vertical="center" wrapText="1"/>
    </xf>
    <xf numFmtId="0" fontId="23" fillId="0" borderId="4" xfId="0" applyFont="1" applyBorder="1" applyAlignment="1">
      <alignment horizontal="center" vertical="center"/>
    </xf>
    <xf numFmtId="49" fontId="19" fillId="0" borderId="4" xfId="0" applyNumberFormat="1" applyFont="1" applyBorder="1" applyAlignment="1">
      <alignment horizontal="center" vertical="center" wrapText="1"/>
    </xf>
    <xf numFmtId="49" fontId="19" fillId="0" borderId="7" xfId="0" applyNumberFormat="1" applyFont="1" applyBorder="1" applyAlignment="1">
      <alignment horizontal="center" vertical="center" wrapText="1"/>
    </xf>
    <xf numFmtId="49" fontId="19" fillId="0" borderId="8" xfId="0" applyNumberFormat="1" applyFont="1" applyBorder="1" applyAlignment="1">
      <alignment horizontal="center" vertical="center" wrapText="1"/>
    </xf>
    <xf numFmtId="0" fontId="58" fillId="0" borderId="9" xfId="1" applyFont="1" applyBorder="1" applyAlignment="1">
      <alignment horizontal="center" vertical="center" wrapText="1"/>
    </xf>
    <xf numFmtId="0" fontId="58" fillId="0" borderId="7" xfId="1" applyFont="1" applyBorder="1" applyAlignment="1">
      <alignment horizontal="center" vertical="center" wrapText="1"/>
    </xf>
    <xf numFmtId="0" fontId="58" fillId="0" borderId="1" xfId="1" applyFont="1" applyBorder="1" applyAlignment="1">
      <alignment horizontal="center" vertical="center" wrapText="1"/>
    </xf>
    <xf numFmtId="0" fontId="19" fillId="0" borderId="7" xfId="1" applyFont="1" applyBorder="1" applyAlignment="1">
      <alignment horizontal="center" vertical="center" wrapText="1"/>
    </xf>
    <xf numFmtId="0" fontId="58" fillId="3" borderId="3" xfId="1" applyFont="1" applyFill="1" applyBorder="1" applyAlignment="1">
      <alignment horizontal="center" vertical="center"/>
    </xf>
    <xf numFmtId="0" fontId="58" fillId="3" borderId="15" xfId="1" applyFont="1" applyFill="1" applyBorder="1" applyAlignment="1">
      <alignment horizontal="center" vertical="center"/>
    </xf>
    <xf numFmtId="0" fontId="76" fillId="2" borderId="5" xfId="0" applyFont="1" applyFill="1" applyBorder="1" applyAlignment="1">
      <alignment horizontal="center" vertical="center"/>
    </xf>
    <xf numFmtId="1" fontId="76" fillId="2" borderId="5" xfId="0" applyNumberFormat="1" applyFont="1" applyFill="1" applyBorder="1" applyAlignment="1">
      <alignment horizontal="center" vertical="center"/>
    </xf>
    <xf numFmtId="0" fontId="55" fillId="3" borderId="0" xfId="0" applyFont="1" applyFill="1" applyAlignment="1">
      <alignment wrapText="1"/>
    </xf>
    <xf numFmtId="0" fontId="9" fillId="3" borderId="0" xfId="0" applyFont="1" applyFill="1" applyAlignment="1">
      <alignment vertical="center" wrapText="1"/>
    </xf>
    <xf numFmtId="0" fontId="52" fillId="2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49" fontId="0" fillId="0" borderId="0" xfId="0" applyNumberFormat="1" applyAlignment="1">
      <alignment horizontal="right" vertical="center" wrapText="1" readingOrder="2"/>
    </xf>
    <xf numFmtId="0" fontId="0" fillId="0" borderId="0" xfId="0" applyAlignment="1">
      <alignment horizontal="left" wrapText="1" readingOrder="1"/>
    </xf>
    <xf numFmtId="0" fontId="2" fillId="0" borderId="0" xfId="0" applyFont="1" applyAlignment="1">
      <alignment horizontal="right" vertical="center" wrapText="1"/>
    </xf>
    <xf numFmtId="0" fontId="56" fillId="0" borderId="9" xfId="0" applyFont="1" applyBorder="1" applyAlignment="1">
      <alignment horizontal="left"/>
    </xf>
    <xf numFmtId="0" fontId="51" fillId="0" borderId="9" xfId="0" applyFont="1" applyBorder="1" applyAlignment="1">
      <alignment horizontal="right" vertical="center"/>
    </xf>
    <xf numFmtId="0" fontId="41" fillId="0" borderId="0" xfId="0" applyFont="1" applyAlignment="1">
      <alignment horizontal="right" vertical="center"/>
    </xf>
    <xf numFmtId="0" fontId="41" fillId="0" borderId="0" xfId="0" applyFont="1" applyAlignment="1">
      <alignment horizontal="right" vertical="center" wrapText="1" readingOrder="2"/>
    </xf>
    <xf numFmtId="0" fontId="41" fillId="0" borderId="0" xfId="0" applyFont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3" xfId="0" applyFont="1" applyBorder="1" applyAlignment="1">
      <alignment horizontal="center" vertical="center" wrapText="1"/>
    </xf>
    <xf numFmtId="49" fontId="23" fillId="0" borderId="3" xfId="0" applyNumberFormat="1" applyFont="1" applyBorder="1" applyAlignment="1">
      <alignment horizontal="center" vertical="center" wrapText="1"/>
    </xf>
    <xf numFmtId="0" fontId="39" fillId="0" borderId="1" xfId="0" applyFont="1" applyBorder="1" applyAlignment="1">
      <alignment horizontal="center" vertical="center" wrapText="1"/>
    </xf>
    <xf numFmtId="0" fontId="23" fillId="3" borderId="5" xfId="0" applyFont="1" applyFill="1" applyBorder="1" applyAlignment="1">
      <alignment horizontal="center" vertical="center"/>
    </xf>
    <xf numFmtId="0" fontId="23" fillId="3" borderId="7" xfId="0" applyFont="1" applyFill="1" applyBorder="1" applyAlignment="1">
      <alignment horizontal="center" vertical="center"/>
    </xf>
    <xf numFmtId="0" fontId="56" fillId="3" borderId="9" xfId="0" applyFont="1" applyFill="1" applyBorder="1" applyAlignment="1">
      <alignment horizontal="left" vertical="center"/>
    </xf>
    <xf numFmtId="0" fontId="42" fillId="0" borderId="0" xfId="0" applyFont="1" applyAlignment="1">
      <alignment horizontal="right"/>
    </xf>
    <xf numFmtId="0" fontId="56" fillId="3" borderId="9" xfId="0" applyFont="1" applyFill="1" applyBorder="1" applyAlignment="1">
      <alignment horizontal="right" vertical="center"/>
    </xf>
    <xf numFmtId="0" fontId="41" fillId="0" borderId="3" xfId="0" applyFont="1" applyBorder="1" applyAlignment="1">
      <alignment horizontal="center"/>
    </xf>
    <xf numFmtId="0" fontId="41" fillId="0" borderId="13" xfId="0" applyFont="1" applyBorder="1" applyAlignment="1">
      <alignment horizontal="center"/>
    </xf>
    <xf numFmtId="0" fontId="23" fillId="0" borderId="12" xfId="0" applyFont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0" fontId="23" fillId="0" borderId="8" xfId="0" applyFont="1" applyBorder="1" applyAlignment="1">
      <alignment horizontal="center" vertical="center"/>
    </xf>
    <xf numFmtId="0" fontId="19" fillId="0" borderId="2" xfId="0" applyFont="1" applyBorder="1" applyAlignment="1">
      <alignment horizontal="center" vertical="center" wrapText="1"/>
    </xf>
    <xf numFmtId="0" fontId="19" fillId="0" borderId="7" xfId="0" applyFont="1" applyBorder="1" applyAlignment="1">
      <alignment horizontal="center" vertical="center" wrapText="1"/>
    </xf>
    <xf numFmtId="0" fontId="19" fillId="0" borderId="4" xfId="0" applyFont="1" applyBorder="1" applyAlignment="1">
      <alignment horizontal="center" vertical="center" wrapText="1"/>
    </xf>
    <xf numFmtId="0" fontId="19" fillId="0" borderId="8" xfId="0" applyFont="1" applyBorder="1" applyAlignment="1">
      <alignment horizontal="center" vertical="center" wrapText="1"/>
    </xf>
    <xf numFmtId="0" fontId="19" fillId="3" borderId="11" xfId="0" applyFont="1" applyFill="1" applyBorder="1" applyAlignment="1">
      <alignment horizontal="center" vertical="center" wrapText="1"/>
    </xf>
    <xf numFmtId="0" fontId="19" fillId="3" borderId="12" xfId="0" applyFont="1" applyFill="1" applyBorder="1" applyAlignment="1">
      <alignment horizontal="center" vertical="center" wrapText="1"/>
    </xf>
    <xf numFmtId="165" fontId="23" fillId="0" borderId="11" xfId="0" applyNumberFormat="1" applyFont="1" applyBorder="1" applyAlignment="1">
      <alignment horizontal="center"/>
    </xf>
    <xf numFmtId="0" fontId="23" fillId="0" borderId="0" xfId="0" applyFont="1" applyAlignment="1">
      <alignment horizontal="center"/>
    </xf>
    <xf numFmtId="0" fontId="23" fillId="0" borderId="6" xfId="0" applyFont="1" applyBorder="1" applyAlignment="1">
      <alignment horizontal="center"/>
    </xf>
    <xf numFmtId="0" fontId="19" fillId="0" borderId="6" xfId="0" applyFont="1" applyBorder="1" applyAlignment="1">
      <alignment horizontal="center" vertical="center" wrapText="1"/>
    </xf>
    <xf numFmtId="1" fontId="23" fillId="0" borderId="5" xfId="0" applyNumberFormat="1" applyFont="1" applyBorder="1" applyAlignment="1">
      <alignment horizontal="center" vertical="center" textRotation="90" wrapText="1"/>
    </xf>
    <xf numFmtId="1" fontId="23" fillId="0" borderId="7" xfId="0" applyNumberFormat="1" applyFont="1" applyBorder="1" applyAlignment="1">
      <alignment horizontal="center" vertical="center" textRotation="90" wrapText="1"/>
    </xf>
    <xf numFmtId="0" fontId="32" fillId="0" borderId="0" xfId="1" applyFont="1" applyAlignment="1">
      <alignment horizontal="right" vertical="center" wrapText="1" indent="1"/>
    </xf>
    <xf numFmtId="0" fontId="13" fillId="0" borderId="0" xfId="0" applyFont="1" applyAlignment="1">
      <alignment horizontal="right" vertical="center" indent="1"/>
    </xf>
    <xf numFmtId="0" fontId="56" fillId="0" borderId="0" xfId="0" applyFont="1" applyAlignment="1">
      <alignment horizontal="right" vertical="center" wrapText="1"/>
    </xf>
    <xf numFmtId="0" fontId="32" fillId="0" borderId="0" xfId="1" applyFont="1" applyAlignment="1">
      <alignment horizontal="right" vertical="center" indent="1"/>
    </xf>
    <xf numFmtId="0" fontId="20" fillId="0" borderId="0" xfId="1" applyFont="1" applyAlignment="1">
      <alignment horizontal="right" vertical="center" indent="1"/>
    </xf>
    <xf numFmtId="0" fontId="20" fillId="0" borderId="0" xfId="1" applyFont="1" applyAlignment="1">
      <alignment horizontal="right" vertical="center" wrapText="1" indent="1"/>
    </xf>
    <xf numFmtId="0" fontId="39" fillId="0" borderId="3" xfId="0" applyFont="1" applyBorder="1" applyAlignment="1">
      <alignment horizontal="center" vertical="center"/>
    </xf>
    <xf numFmtId="0" fontId="39" fillId="0" borderId="13" xfId="0" applyFont="1" applyBorder="1" applyAlignment="1">
      <alignment horizontal="center" vertical="center"/>
    </xf>
    <xf numFmtId="0" fontId="41" fillId="0" borderId="0" xfId="0" applyFont="1" applyAlignment="1">
      <alignment horizontal="center"/>
    </xf>
    <xf numFmtId="0" fontId="39" fillId="0" borderId="0" xfId="0" applyFont="1" applyAlignment="1">
      <alignment horizontal="center" vertical="center"/>
    </xf>
    <xf numFmtId="0" fontId="23" fillId="0" borderId="5" xfId="0" applyFont="1" applyBorder="1" applyAlignment="1">
      <alignment horizontal="center" vertical="center" textRotation="90" wrapText="1"/>
    </xf>
    <xf numFmtId="0" fontId="23" fillId="0" borderId="7" xfId="0" applyFont="1" applyBorder="1" applyAlignment="1">
      <alignment horizontal="center" vertical="center" textRotation="90" wrapText="1"/>
    </xf>
    <xf numFmtId="0" fontId="41" fillId="0" borderId="0" xfId="0" applyFont="1" applyAlignment="1">
      <alignment horizontal="right"/>
    </xf>
    <xf numFmtId="0" fontId="39" fillId="0" borderId="0" xfId="0" applyFont="1" applyAlignment="1">
      <alignment horizontal="right" vertical="center"/>
    </xf>
    <xf numFmtId="0" fontId="41" fillId="0" borderId="1" xfId="0" applyFont="1" applyBorder="1" applyAlignment="1">
      <alignment horizontal="center" vertical="center" wrapText="1"/>
    </xf>
    <xf numFmtId="0" fontId="16" fillId="2" borderId="0" xfId="0" applyFont="1" applyFill="1" applyAlignment="1">
      <alignment horizontal="center" vertical="center"/>
    </xf>
    <xf numFmtId="0" fontId="56" fillId="0" borderId="11" xfId="0" applyFont="1" applyBorder="1" applyAlignment="1">
      <alignment horizontal="left"/>
    </xf>
    <xf numFmtId="0" fontId="56" fillId="0" borderId="0" xfId="0" applyFont="1" applyAlignment="1">
      <alignment horizontal="left"/>
    </xf>
    <xf numFmtId="0" fontId="37" fillId="0" borderId="0" xfId="0" applyFont="1" applyAlignment="1">
      <alignment horizontal="center" vertical="center" wrapText="1"/>
    </xf>
    <xf numFmtId="0" fontId="36" fillId="0" borderId="0" xfId="0" applyFont="1" applyAlignment="1">
      <alignment horizontal="right" wrapText="1"/>
    </xf>
    <xf numFmtId="0" fontId="19" fillId="0" borderId="4" xfId="0" applyFont="1" applyBorder="1" applyAlignment="1">
      <alignment horizontal="center" vertical="center"/>
    </xf>
    <xf numFmtId="0" fontId="19" fillId="0" borderId="6" xfId="0" applyFont="1" applyBorder="1" applyAlignment="1">
      <alignment horizontal="center" vertical="center"/>
    </xf>
    <xf numFmtId="0" fontId="19" fillId="0" borderId="8" xfId="0" applyFont="1" applyBorder="1" applyAlignment="1">
      <alignment horizontal="center" vertical="center"/>
    </xf>
    <xf numFmtId="0" fontId="23" fillId="0" borderId="2" xfId="0" applyFont="1" applyBorder="1" applyAlignment="1">
      <alignment horizontal="center" vertical="center" textRotation="90" wrapText="1"/>
    </xf>
    <xf numFmtId="49" fontId="19" fillId="0" borderId="2" xfId="0" applyNumberFormat="1" applyFont="1" applyBorder="1" applyAlignment="1">
      <alignment horizontal="center" vertical="center"/>
    </xf>
    <xf numFmtId="49" fontId="19" fillId="0" borderId="7" xfId="0" applyNumberFormat="1" applyFont="1" applyBorder="1" applyAlignment="1">
      <alignment horizontal="center" vertical="center"/>
    </xf>
    <xf numFmtId="0" fontId="41" fillId="0" borderId="0" xfId="0" applyFont="1" applyAlignment="1">
      <alignment horizontal="center" vertical="center"/>
    </xf>
    <xf numFmtId="0" fontId="2" fillId="0" borderId="3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165" fontId="19" fillId="0" borderId="10" xfId="0" applyNumberFormat="1" applyFont="1" applyBorder="1" applyAlignment="1">
      <alignment horizontal="center"/>
    </xf>
    <xf numFmtId="0" fontId="19" fillId="0" borderId="9" xfId="0" applyFont="1" applyBorder="1" applyAlignment="1">
      <alignment horizontal="center"/>
    </xf>
    <xf numFmtId="0" fontId="19" fillId="0" borderId="4" xfId="0" applyFont="1" applyBorder="1" applyAlignment="1">
      <alignment horizontal="center"/>
    </xf>
    <xf numFmtId="0" fontId="19" fillId="3" borderId="10" xfId="0" applyFont="1" applyFill="1" applyBorder="1" applyAlignment="1">
      <alignment horizontal="center" vertical="center" wrapText="1"/>
    </xf>
    <xf numFmtId="49" fontId="19" fillId="3" borderId="2" xfId="0" applyNumberFormat="1" applyFont="1" applyFill="1" applyBorder="1" applyAlignment="1">
      <alignment horizontal="center" vertical="center" wrapText="1" shrinkToFit="1"/>
    </xf>
    <xf numFmtId="49" fontId="19" fillId="3" borderId="5" xfId="0" applyNumberFormat="1" applyFont="1" applyFill="1" applyBorder="1" applyAlignment="1">
      <alignment horizontal="center" vertical="center" wrapText="1" shrinkToFit="1"/>
    </xf>
    <xf numFmtId="49" fontId="19" fillId="3" borderId="7" xfId="0" applyNumberFormat="1" applyFont="1" applyFill="1" applyBorder="1" applyAlignment="1">
      <alignment horizontal="center" vertical="center" wrapText="1" shrinkToFit="1"/>
    </xf>
    <xf numFmtId="0" fontId="56" fillId="0" borderId="9" xfId="0" applyFont="1" applyBorder="1" applyAlignment="1">
      <alignment horizontal="left" vertical="center"/>
    </xf>
    <xf numFmtId="0" fontId="59" fillId="0" borderId="0" xfId="0" applyFont="1" applyAlignment="1">
      <alignment horizontal="right" readingOrder="2"/>
    </xf>
    <xf numFmtId="0" fontId="57" fillId="0" borderId="0" xfId="0" applyFont="1" applyAlignment="1">
      <alignment horizontal="right" vertical="center"/>
    </xf>
    <xf numFmtId="0" fontId="23" fillId="0" borderId="2" xfId="0" applyFont="1" applyBorder="1" applyAlignment="1">
      <alignment horizontal="center" vertical="center"/>
    </xf>
    <xf numFmtId="0" fontId="23" fillId="0" borderId="5" xfId="0" applyFont="1" applyBorder="1" applyAlignment="1">
      <alignment horizontal="center" vertical="center"/>
    </xf>
    <xf numFmtId="0" fontId="23" fillId="0" borderId="7" xfId="0" applyFont="1" applyBorder="1" applyAlignment="1">
      <alignment horizontal="center" vertical="center"/>
    </xf>
    <xf numFmtId="0" fontId="58" fillId="3" borderId="10" xfId="1" applyFont="1" applyFill="1" applyBorder="1" applyAlignment="1">
      <alignment horizontal="center" vertical="center" wrapText="1"/>
    </xf>
    <xf numFmtId="0" fontId="58" fillId="3" borderId="11" xfId="1" applyFont="1" applyFill="1" applyBorder="1" applyAlignment="1">
      <alignment horizontal="center" vertical="center" wrapText="1"/>
    </xf>
    <xf numFmtId="0" fontId="58" fillId="3" borderId="12" xfId="1" applyFont="1" applyFill="1" applyBorder="1" applyAlignment="1">
      <alignment horizontal="center" vertical="center" wrapText="1"/>
    </xf>
    <xf numFmtId="165" fontId="23" fillId="0" borderId="10" xfId="0" applyNumberFormat="1" applyFont="1" applyBorder="1" applyAlignment="1">
      <alignment horizontal="center"/>
    </xf>
    <xf numFmtId="0" fontId="23" fillId="0" borderId="9" xfId="0" applyFont="1" applyBorder="1" applyAlignment="1">
      <alignment horizontal="center"/>
    </xf>
    <xf numFmtId="0" fontId="23" fillId="0" borderId="4" xfId="0" applyFont="1" applyBorder="1" applyAlignment="1">
      <alignment horizontal="center"/>
    </xf>
    <xf numFmtId="0" fontId="58" fillId="0" borderId="4" xfId="1" applyFont="1" applyBorder="1" applyAlignment="1">
      <alignment horizontal="center" vertical="center" wrapText="1"/>
    </xf>
    <xf numFmtId="0" fontId="58" fillId="0" borderId="6" xfId="1" applyFont="1" applyBorder="1" applyAlignment="1">
      <alignment horizontal="center" vertical="center" wrapText="1"/>
    </xf>
    <xf numFmtId="0" fontId="58" fillId="0" borderId="8" xfId="1" applyFont="1" applyBorder="1" applyAlignment="1">
      <alignment horizontal="center" vertical="center" wrapText="1"/>
    </xf>
    <xf numFmtId="0" fontId="3" fillId="0" borderId="3" xfId="1" applyFont="1" applyBorder="1" applyAlignment="1" applyProtection="1">
      <alignment horizontal="center" vertical="center" wrapText="1"/>
      <protection locked="0"/>
    </xf>
    <xf numFmtId="0" fontId="3" fillId="0" borderId="13" xfId="1" applyFont="1" applyBorder="1" applyAlignment="1" applyProtection="1">
      <alignment horizontal="center" vertical="center" wrapText="1"/>
      <protection locked="0"/>
    </xf>
    <xf numFmtId="0" fontId="51" fillId="0" borderId="9" xfId="0" applyFont="1" applyBorder="1" applyAlignment="1">
      <alignment horizontal="left" vertical="center"/>
    </xf>
    <xf numFmtId="1" fontId="51" fillId="0" borderId="9" xfId="1" applyNumberFormat="1" applyFont="1" applyBorder="1" applyAlignment="1">
      <alignment horizontal="right" vertical="center" wrapText="1"/>
    </xf>
    <xf numFmtId="0" fontId="23" fillId="3" borderId="2" xfId="0" applyFont="1" applyFill="1" applyBorder="1" applyAlignment="1">
      <alignment horizontal="center" vertical="center"/>
    </xf>
    <xf numFmtId="165" fontId="19" fillId="0" borderId="10" xfId="1" applyNumberFormat="1" applyFont="1" applyBorder="1" applyAlignment="1" applyProtection="1">
      <alignment horizontal="center" vertical="center" wrapText="1"/>
      <protection locked="0"/>
    </xf>
    <xf numFmtId="0" fontId="19" fillId="0" borderId="9" xfId="1" applyFont="1" applyBorder="1" applyAlignment="1" applyProtection="1">
      <alignment horizontal="center" vertical="center" wrapText="1"/>
      <protection locked="0"/>
    </xf>
    <xf numFmtId="0" fontId="19" fillId="0" borderId="4" xfId="1" applyFont="1" applyBorder="1" applyAlignment="1" applyProtection="1">
      <alignment horizontal="center" vertical="center" wrapText="1"/>
      <protection locked="0"/>
    </xf>
    <xf numFmtId="0" fontId="19" fillId="0" borderId="3" xfId="1" applyFont="1" applyBorder="1" applyAlignment="1" applyProtection="1">
      <alignment horizontal="center" vertical="center" wrapText="1"/>
      <protection locked="0"/>
    </xf>
    <xf numFmtId="0" fontId="19" fillId="0" borderId="13" xfId="1" applyFont="1" applyBorder="1" applyAlignment="1" applyProtection="1">
      <alignment horizontal="center" vertical="center" wrapText="1"/>
      <protection locked="0"/>
    </xf>
    <xf numFmtId="0" fontId="23" fillId="0" borderId="12" xfId="0" applyFont="1" applyBorder="1" applyAlignment="1">
      <alignment horizontal="center" vertical="center" wrapText="1"/>
    </xf>
    <xf numFmtId="0" fontId="23" fillId="0" borderId="1" xfId="0" applyFont="1" applyBorder="1" applyAlignment="1">
      <alignment horizontal="center" vertical="center" wrapText="1"/>
    </xf>
    <xf numFmtId="0" fontId="23" fillId="0" borderId="8" xfId="0" applyFont="1" applyBorder="1" applyAlignment="1">
      <alignment horizontal="center" vertical="center" wrapText="1"/>
    </xf>
    <xf numFmtId="0" fontId="57" fillId="0" borderId="0" xfId="0" applyFont="1" applyAlignment="1">
      <alignment horizontal="center" vertical="center"/>
    </xf>
    <xf numFmtId="0" fontId="41" fillId="0" borderId="1" xfId="0" applyFont="1" applyBorder="1" applyAlignment="1">
      <alignment horizontal="center" vertical="center"/>
    </xf>
    <xf numFmtId="0" fontId="23" fillId="3" borderId="2" xfId="0" applyFont="1" applyFill="1" applyBorder="1" applyAlignment="1">
      <alignment horizontal="center" vertical="center" wrapText="1"/>
    </xf>
    <xf numFmtId="0" fontId="23" fillId="3" borderId="5" xfId="0" applyFont="1" applyFill="1" applyBorder="1" applyAlignment="1">
      <alignment horizontal="center" vertical="center" wrapText="1"/>
    </xf>
    <xf numFmtId="0" fontId="23" fillId="3" borderId="7" xfId="0" applyFont="1" applyFill="1" applyBorder="1" applyAlignment="1">
      <alignment horizontal="center" vertical="center" wrapText="1"/>
    </xf>
    <xf numFmtId="165" fontId="3" fillId="0" borderId="10" xfId="1" applyNumberFormat="1" applyFont="1" applyBorder="1" applyAlignment="1" applyProtection="1">
      <alignment horizontal="center" vertical="center" wrapText="1"/>
      <protection locked="0"/>
    </xf>
    <xf numFmtId="0" fontId="3" fillId="0" borderId="9" xfId="1" applyFont="1" applyBorder="1" applyAlignment="1" applyProtection="1">
      <alignment horizontal="center" vertical="center" wrapText="1"/>
      <protection locked="0"/>
    </xf>
    <xf numFmtId="0" fontId="3" fillId="0" borderId="4" xfId="1" applyFont="1" applyBorder="1" applyAlignment="1" applyProtection="1">
      <alignment horizontal="center" vertical="center" wrapText="1"/>
      <protection locked="0"/>
    </xf>
    <xf numFmtId="0" fontId="55" fillId="0" borderId="0" xfId="0" applyFont="1" applyAlignment="1">
      <alignment horizontal="right" vertical="center" wrapText="1"/>
    </xf>
    <xf numFmtId="1" fontId="6" fillId="2" borderId="0" xfId="1" applyNumberFormat="1" applyFont="1" applyFill="1" applyAlignment="1">
      <alignment horizontal="center" vertical="center" wrapText="1"/>
    </xf>
    <xf numFmtId="0" fontId="54" fillId="3" borderId="10" xfId="1" applyFont="1" applyFill="1" applyBorder="1" applyAlignment="1">
      <alignment horizontal="center" vertical="center" wrapText="1"/>
    </xf>
    <xf numFmtId="0" fontId="54" fillId="3" borderId="11" xfId="1" applyFont="1" applyFill="1" applyBorder="1" applyAlignment="1">
      <alignment horizontal="center" vertical="center" wrapText="1"/>
    </xf>
    <xf numFmtId="0" fontId="54" fillId="3" borderId="12" xfId="1" applyFont="1" applyFill="1" applyBorder="1" applyAlignment="1">
      <alignment horizontal="center" vertical="center" wrapText="1"/>
    </xf>
    <xf numFmtId="0" fontId="19" fillId="0" borderId="5" xfId="0" applyFont="1" applyBorder="1" applyAlignment="1">
      <alignment horizontal="center" vertical="center" wrapText="1"/>
    </xf>
    <xf numFmtId="0" fontId="23" fillId="0" borderId="13" xfId="0" applyFont="1" applyBorder="1" applyAlignment="1">
      <alignment horizontal="center" vertical="center"/>
    </xf>
    <xf numFmtId="0" fontId="23" fillId="0" borderId="14" xfId="0" applyFont="1" applyBorder="1" applyAlignment="1">
      <alignment horizontal="center" vertical="center"/>
    </xf>
    <xf numFmtId="0" fontId="23" fillId="0" borderId="15" xfId="0" applyFont="1" applyBorder="1" applyAlignment="1">
      <alignment horizontal="center" vertical="center"/>
    </xf>
    <xf numFmtId="0" fontId="23" fillId="0" borderId="2" xfId="0" applyFont="1" applyBorder="1" applyAlignment="1">
      <alignment horizontal="center" vertical="center" textRotation="90"/>
    </xf>
    <xf numFmtId="0" fontId="23" fillId="0" borderId="5" xfId="0" applyFont="1" applyBorder="1" applyAlignment="1">
      <alignment horizontal="center" vertical="center" textRotation="90"/>
    </xf>
    <xf numFmtId="0" fontId="23" fillId="0" borderId="7" xfId="0" applyFont="1" applyBorder="1" applyAlignment="1">
      <alignment horizontal="center" vertical="center" textRotation="90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23" fillId="0" borderId="13" xfId="0" applyFont="1" applyBorder="1" applyAlignment="1">
      <alignment horizontal="center" vertical="center" wrapText="1"/>
    </xf>
    <xf numFmtId="0" fontId="23" fillId="0" borderId="14" xfId="0" applyFont="1" applyBorder="1" applyAlignment="1">
      <alignment horizontal="center" vertical="center" wrapText="1"/>
    </xf>
    <xf numFmtId="0" fontId="23" fillId="0" borderId="15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/>
    </xf>
    <xf numFmtId="0" fontId="12" fillId="0" borderId="1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19" fillId="3" borderId="2" xfId="0" applyFont="1" applyFill="1" applyBorder="1" applyAlignment="1">
      <alignment horizontal="center" vertical="center" wrapText="1"/>
    </xf>
    <xf numFmtId="0" fontId="19" fillId="3" borderId="5" xfId="0" applyFont="1" applyFill="1" applyBorder="1" applyAlignment="1">
      <alignment horizontal="center" vertical="center" wrapText="1"/>
    </xf>
    <xf numFmtId="0" fontId="19" fillId="3" borderId="7" xfId="0" applyFont="1" applyFill="1" applyBorder="1" applyAlignment="1">
      <alignment horizontal="center" vertical="center" wrapText="1"/>
    </xf>
    <xf numFmtId="0" fontId="57" fillId="0" borderId="14" xfId="0" applyFont="1" applyBorder="1" applyAlignment="1">
      <alignment horizontal="center" vertical="center"/>
    </xf>
    <xf numFmtId="0" fontId="57" fillId="0" borderId="14" xfId="0" applyFont="1" applyBorder="1" applyAlignment="1">
      <alignment horizontal="right" vertical="center"/>
    </xf>
    <xf numFmtId="0" fontId="9" fillId="2" borderId="5" xfId="1" applyFont="1" applyFill="1" applyBorder="1" applyAlignment="1">
      <alignment horizontal="left" vertical="center" wrapText="1" indent="1"/>
    </xf>
    <xf numFmtId="0" fontId="9" fillId="2" borderId="5" xfId="1" applyFont="1" applyFill="1" applyBorder="1" applyAlignment="1">
      <alignment horizontal="right" vertical="center" wrapText="1" indent="1"/>
    </xf>
    <xf numFmtId="0" fontId="5" fillId="2" borderId="5" xfId="0" applyFont="1" applyFill="1" applyBorder="1" applyAlignment="1">
      <alignment horizontal="center" vertical="center"/>
    </xf>
    <xf numFmtId="0" fontId="9" fillId="3" borderId="5" xfId="1" applyFont="1" applyFill="1" applyBorder="1" applyAlignment="1">
      <alignment horizontal="right" vertical="center" wrapText="1" indent="1"/>
    </xf>
    <xf numFmtId="0" fontId="9" fillId="3" borderId="7" xfId="1" applyFont="1" applyFill="1" applyBorder="1" applyAlignment="1">
      <alignment horizontal="right" vertical="center" wrapText="1" indent="1"/>
    </xf>
    <xf numFmtId="0" fontId="5" fillId="3" borderId="5" xfId="0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51" fillId="3" borderId="9" xfId="0" applyFont="1" applyFill="1" applyBorder="1" applyAlignment="1">
      <alignment horizontal="left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5" xfId="1" applyFont="1" applyFill="1" applyBorder="1" applyAlignment="1">
      <alignment horizontal="left" vertical="center" wrapText="1" indent="1"/>
    </xf>
    <xf numFmtId="0" fontId="56" fillId="0" borderId="0" xfId="0" applyFont="1" applyAlignment="1">
      <alignment horizontal="right" wrapText="1"/>
    </xf>
    <xf numFmtId="0" fontId="9" fillId="3" borderId="7" xfId="0" applyFont="1" applyFill="1" applyBorder="1" applyAlignment="1">
      <alignment horizontal="center" vertical="center"/>
    </xf>
    <xf numFmtId="0" fontId="9" fillId="3" borderId="7" xfId="1" applyFont="1" applyFill="1" applyBorder="1" applyAlignment="1">
      <alignment horizontal="left" vertical="center" wrapText="1" indent="1"/>
    </xf>
    <xf numFmtId="0" fontId="19" fillId="3" borderId="6" xfId="1" applyFont="1" applyFill="1" applyBorder="1" applyAlignment="1">
      <alignment horizontal="center" vertical="center" wrapText="1"/>
    </xf>
    <xf numFmtId="0" fontId="19" fillId="3" borderId="8" xfId="1" applyFont="1" applyFill="1" applyBorder="1" applyAlignment="1">
      <alignment horizontal="center" vertical="center" wrapText="1"/>
    </xf>
    <xf numFmtId="0" fontId="9" fillId="3" borderId="11" xfId="1" applyFont="1" applyFill="1" applyBorder="1" applyAlignment="1">
      <alignment horizontal="left" vertical="center" wrapText="1" indent="1"/>
    </xf>
    <xf numFmtId="0" fontId="9" fillId="3" borderId="0" xfId="1" applyFont="1" applyFill="1" applyAlignment="1">
      <alignment horizontal="right" vertical="center" wrapText="1" indent="1"/>
    </xf>
    <xf numFmtId="0" fontId="19" fillId="3" borderId="3" xfId="1" applyFont="1" applyFill="1" applyBorder="1" applyAlignment="1">
      <alignment horizontal="center" vertical="center"/>
    </xf>
    <xf numFmtId="0" fontId="19" fillId="3" borderId="13" xfId="1" applyFont="1" applyFill="1" applyBorder="1" applyAlignment="1">
      <alignment horizontal="center" vertical="center" wrapText="1"/>
    </xf>
    <xf numFmtId="0" fontId="71" fillId="0" borderId="13" xfId="0" applyFont="1" applyBorder="1" applyAlignment="1">
      <alignment horizontal="center" vertical="center"/>
    </xf>
    <xf numFmtId="0" fontId="19" fillId="3" borderId="4" xfId="1" applyFont="1" applyFill="1" applyBorder="1" applyAlignment="1">
      <alignment horizontal="center" vertical="center" wrapText="1"/>
    </xf>
    <xf numFmtId="0" fontId="19" fillId="0" borderId="3" xfId="0" applyFont="1" applyBorder="1" applyAlignment="1">
      <alignment horizontal="center" vertical="center" textRotation="90"/>
    </xf>
    <xf numFmtId="0" fontId="40" fillId="0" borderId="0" xfId="1" applyFont="1" applyAlignment="1">
      <alignment horizontal="right" vertical="center" wrapText="1" indent="1"/>
    </xf>
    <xf numFmtId="0" fontId="9" fillId="3" borderId="11" xfId="1" applyFont="1" applyFill="1" applyBorder="1" applyAlignment="1">
      <alignment horizontal="right" vertical="center" wrapText="1" indent="1"/>
    </xf>
    <xf numFmtId="0" fontId="9" fillId="2" borderId="7" xfId="0" applyFont="1" applyFill="1" applyBorder="1" applyAlignment="1">
      <alignment horizontal="center" vertical="center"/>
    </xf>
    <xf numFmtId="0" fontId="9" fillId="2" borderId="11" xfId="1" applyFont="1" applyFill="1" applyBorder="1" applyAlignment="1">
      <alignment horizontal="left" vertical="center" wrapText="1" indent="1"/>
    </xf>
    <xf numFmtId="0" fontId="9" fillId="2" borderId="12" xfId="1" applyFont="1" applyFill="1" applyBorder="1" applyAlignment="1">
      <alignment horizontal="left" vertical="center" wrapText="1" indent="1"/>
    </xf>
    <xf numFmtId="0" fontId="9" fillId="2" borderId="0" xfId="1" applyFont="1" applyFill="1" applyAlignment="1">
      <alignment horizontal="right" vertical="center" wrapText="1" indent="1"/>
    </xf>
    <xf numFmtId="0" fontId="9" fillId="2" borderId="1" xfId="1" applyFont="1" applyFill="1" applyBorder="1" applyAlignment="1">
      <alignment horizontal="right" vertical="center" wrapText="1" indent="1"/>
    </xf>
    <xf numFmtId="0" fontId="5" fillId="2" borderId="7" xfId="0" applyFont="1" applyFill="1" applyBorder="1" applyAlignment="1">
      <alignment horizontal="center" vertical="center"/>
    </xf>
    <xf numFmtId="0" fontId="39" fillId="3" borderId="0" xfId="0" applyFont="1" applyFill="1" applyAlignment="1">
      <alignment horizontal="right"/>
    </xf>
    <xf numFmtId="0" fontId="41" fillId="3" borderId="0" xfId="0" applyFont="1" applyFill="1" applyAlignment="1">
      <alignment horizontal="left" vertical="center"/>
    </xf>
    <xf numFmtId="0" fontId="9" fillId="2" borderId="6" xfId="1" applyFont="1" applyFill="1" applyBorder="1" applyAlignment="1">
      <alignment horizontal="right" vertical="center" wrapText="1" indent="1"/>
    </xf>
    <xf numFmtId="0" fontId="18" fillId="0" borderId="0" xfId="1" applyFont="1" applyAlignment="1">
      <alignment horizontal="left" vertical="center" wrapText="1" indent="1"/>
    </xf>
    <xf numFmtId="0" fontId="9" fillId="2" borderId="11" xfId="1" applyFont="1" applyFill="1" applyBorder="1" applyAlignment="1">
      <alignment horizontal="right" vertical="center" wrapText="1" indent="1"/>
    </xf>
    <xf numFmtId="0" fontId="9" fillId="3" borderId="6" xfId="1" applyFont="1" applyFill="1" applyBorder="1" applyAlignment="1">
      <alignment horizontal="right" vertical="center" wrapText="1" indent="1"/>
    </xf>
    <xf numFmtId="0" fontId="0" fillId="2" borderId="3" xfId="0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0" fontId="52" fillId="3" borderId="11" xfId="1" applyFont="1" applyFill="1" applyBorder="1" applyAlignment="1">
      <alignment horizontal="center" vertical="center" wrapText="1"/>
    </xf>
    <xf numFmtId="0" fontId="52" fillId="3" borderId="12" xfId="1" applyFont="1" applyFill="1" applyBorder="1" applyAlignment="1">
      <alignment horizontal="center" vertical="center" wrapText="1"/>
    </xf>
    <xf numFmtId="0" fontId="9" fillId="2" borderId="8" xfId="1" applyFont="1" applyFill="1" applyBorder="1" applyAlignment="1">
      <alignment horizontal="right" vertical="center" wrapText="1" indent="1"/>
    </xf>
    <xf numFmtId="0" fontId="40" fillId="2" borderId="0" xfId="1" applyFont="1" applyFill="1" applyAlignment="1">
      <alignment horizontal="right" vertical="center" wrapText="1" indent="1"/>
    </xf>
    <xf numFmtId="0" fontId="41" fillId="2" borderId="0" xfId="0" applyFont="1" applyFill="1" applyAlignment="1">
      <alignment horizontal="center" vertical="center"/>
    </xf>
    <xf numFmtId="0" fontId="39" fillId="0" borderId="0" xfId="0" applyFont="1" applyAlignment="1">
      <alignment horizontal="right" vertical="center" wrapText="1"/>
    </xf>
    <xf numFmtId="0" fontId="19" fillId="0" borderId="4" xfId="1" applyFont="1" applyBorder="1" applyAlignment="1">
      <alignment horizontal="center" vertical="center" wrapText="1"/>
    </xf>
    <xf numFmtId="0" fontId="19" fillId="0" borderId="6" xfId="1" applyFont="1" applyBorder="1" applyAlignment="1">
      <alignment horizontal="center" vertical="center" wrapText="1"/>
    </xf>
    <xf numFmtId="0" fontId="19" fillId="0" borderId="3" xfId="1" applyFont="1" applyBorder="1" applyAlignment="1">
      <alignment horizontal="center" vertical="center"/>
    </xf>
    <xf numFmtId="0" fontId="16" fillId="0" borderId="7" xfId="0" applyFont="1" applyBorder="1" applyAlignment="1">
      <alignment horizontal="center" vertical="center"/>
    </xf>
    <xf numFmtId="0" fontId="16" fillId="0" borderId="12" xfId="0" applyFont="1" applyBorder="1" applyAlignment="1">
      <alignment horizontal="center" vertical="center"/>
    </xf>
    <xf numFmtId="0" fontId="19" fillId="0" borderId="8" xfId="1" applyFont="1" applyBorder="1" applyAlignment="1">
      <alignment horizontal="center" vertical="center" wrapText="1"/>
    </xf>
    <xf numFmtId="0" fontId="19" fillId="3" borderId="2" xfId="0" applyFont="1" applyFill="1" applyBorder="1" applyAlignment="1">
      <alignment horizontal="center" vertical="center"/>
    </xf>
    <xf numFmtId="0" fontId="19" fillId="3" borderId="5" xfId="0" applyFont="1" applyFill="1" applyBorder="1" applyAlignment="1">
      <alignment horizontal="center" vertical="center"/>
    </xf>
    <xf numFmtId="0" fontId="19" fillId="3" borderId="11" xfId="1" applyFont="1" applyFill="1" applyBorder="1" applyAlignment="1">
      <alignment horizontal="left" vertical="center" wrapText="1" indent="1"/>
    </xf>
    <xf numFmtId="0" fontId="19" fillId="3" borderId="4" xfId="1" applyFont="1" applyFill="1" applyBorder="1" applyAlignment="1">
      <alignment horizontal="right" vertical="center" wrapText="1" indent="1"/>
    </xf>
    <xf numFmtId="0" fontId="19" fillId="3" borderId="6" xfId="1" applyFont="1" applyFill="1" applyBorder="1" applyAlignment="1">
      <alignment horizontal="right" vertical="center" wrapText="1" indent="1"/>
    </xf>
    <xf numFmtId="0" fontId="41" fillId="3" borderId="0" xfId="0" applyFont="1" applyFill="1" applyAlignment="1">
      <alignment horizontal="right" vertical="center"/>
    </xf>
    <xf numFmtId="0" fontId="41" fillId="3" borderId="1" xfId="0" applyFont="1" applyFill="1" applyBorder="1" applyAlignment="1">
      <alignment horizontal="center" vertical="center" wrapText="1"/>
    </xf>
    <xf numFmtId="49" fontId="19" fillId="3" borderId="2" xfId="0" applyNumberFormat="1" applyFont="1" applyFill="1" applyBorder="1" applyAlignment="1">
      <alignment horizontal="center" vertical="center"/>
    </xf>
    <xf numFmtId="49" fontId="19" fillId="3" borderId="7" xfId="0" applyNumberFormat="1" applyFont="1" applyFill="1" applyBorder="1" applyAlignment="1">
      <alignment horizontal="center" vertical="center"/>
    </xf>
    <xf numFmtId="0" fontId="51" fillId="3" borderId="9" xfId="0" applyFont="1" applyFill="1" applyBorder="1" applyAlignment="1">
      <alignment horizontal="right" vertical="center"/>
    </xf>
    <xf numFmtId="0" fontId="9" fillId="3" borderId="0" xfId="0" applyFont="1" applyFill="1" applyAlignment="1">
      <alignment horizontal="right" vertical="center" wrapText="1"/>
    </xf>
    <xf numFmtId="0" fontId="19" fillId="3" borderId="4" xfId="0" applyFont="1" applyFill="1" applyBorder="1" applyAlignment="1">
      <alignment horizontal="center" vertical="center" wrapText="1"/>
    </xf>
    <xf numFmtId="0" fontId="19" fillId="3" borderId="8" xfId="0" applyFont="1" applyFill="1" applyBorder="1" applyAlignment="1">
      <alignment horizontal="center" vertical="center" wrapText="1"/>
    </xf>
    <xf numFmtId="0" fontId="23" fillId="3" borderId="2" xfId="0" applyFont="1" applyFill="1" applyBorder="1" applyAlignment="1">
      <alignment horizontal="center" vertical="center" textRotation="90" wrapText="1"/>
    </xf>
    <xf numFmtId="0" fontId="23" fillId="3" borderId="7" xfId="0" applyFont="1" applyFill="1" applyBorder="1" applyAlignment="1">
      <alignment horizontal="center" vertical="center" textRotation="90" wrapText="1"/>
    </xf>
    <xf numFmtId="0" fontId="55" fillId="3" borderId="0" xfId="0" applyFont="1" applyFill="1" applyAlignment="1">
      <alignment horizontal="left" wrapText="1"/>
    </xf>
    <xf numFmtId="0" fontId="12" fillId="3" borderId="0" xfId="0" applyFont="1" applyFill="1" applyAlignment="1">
      <alignment horizontal="right" vertical="center" wrapText="1"/>
    </xf>
    <xf numFmtId="0" fontId="19" fillId="3" borderId="3" xfId="0" applyFont="1" applyFill="1" applyBorder="1" applyAlignment="1">
      <alignment horizontal="center" vertical="center" wrapText="1"/>
    </xf>
    <xf numFmtId="0" fontId="23" fillId="3" borderId="2" xfId="0" applyFont="1" applyFill="1" applyBorder="1" applyAlignment="1">
      <alignment horizontal="center" vertical="center" textRotation="90"/>
    </xf>
    <xf numFmtId="0" fontId="23" fillId="3" borderId="7" xfId="0" applyFont="1" applyFill="1" applyBorder="1" applyAlignment="1">
      <alignment horizontal="center" vertical="center" textRotation="90"/>
    </xf>
    <xf numFmtId="0" fontId="56" fillId="3" borderId="0" xfId="0" applyFont="1" applyFill="1" applyAlignment="1">
      <alignment horizontal="left" vertical="center"/>
    </xf>
    <xf numFmtId="0" fontId="56" fillId="3" borderId="0" xfId="0" applyFont="1" applyFill="1" applyAlignment="1">
      <alignment horizontal="right" vertical="center" wrapText="1"/>
    </xf>
    <xf numFmtId="0" fontId="61" fillId="3" borderId="0" xfId="0" applyFont="1" applyFill="1" applyAlignment="1">
      <alignment horizontal="left"/>
    </xf>
    <xf numFmtId="0" fontId="45" fillId="3" borderId="0" xfId="0" applyFont="1" applyFill="1" applyAlignment="1">
      <alignment horizontal="right"/>
    </xf>
    <xf numFmtId="0" fontId="19" fillId="3" borderId="7" xfId="0" applyFont="1" applyFill="1" applyBorder="1" applyAlignment="1">
      <alignment horizontal="center" vertical="center"/>
    </xf>
    <xf numFmtId="0" fontId="55" fillId="0" borderId="0" xfId="0" applyFont="1" applyAlignment="1">
      <alignment horizontal="right" vertical="center"/>
    </xf>
    <xf numFmtId="0" fontId="55" fillId="0" borderId="0" xfId="0" applyFont="1" applyAlignment="1">
      <alignment horizontal="center" vertical="center"/>
    </xf>
    <xf numFmtId="0" fontId="19" fillId="0" borderId="2" xfId="0" applyFont="1" applyBorder="1" applyAlignment="1">
      <alignment horizontal="center" vertical="center"/>
    </xf>
    <xf numFmtId="0" fontId="19" fillId="0" borderId="5" xfId="0" applyFont="1" applyBorder="1" applyAlignment="1">
      <alignment horizontal="center" vertical="center"/>
    </xf>
    <xf numFmtId="0" fontId="19" fillId="0" borderId="7" xfId="0" applyFont="1" applyBorder="1" applyAlignment="1">
      <alignment horizontal="center" vertical="center"/>
    </xf>
    <xf numFmtId="0" fontId="19" fillId="3" borderId="13" xfId="0" applyFont="1" applyFill="1" applyBorder="1" applyAlignment="1">
      <alignment horizontal="center" vertical="center"/>
    </xf>
    <xf numFmtId="0" fontId="19" fillId="3" borderId="3" xfId="0" applyFont="1" applyFill="1" applyBorder="1" applyAlignment="1">
      <alignment horizontal="center" vertical="center"/>
    </xf>
    <xf numFmtId="0" fontId="19" fillId="3" borderId="9" xfId="0" applyFont="1" applyFill="1" applyBorder="1" applyAlignment="1">
      <alignment horizontal="center" vertical="center" wrapText="1"/>
    </xf>
    <xf numFmtId="0" fontId="19" fillId="3" borderId="2" xfId="0" applyFont="1" applyFill="1" applyBorder="1" applyAlignment="1">
      <alignment horizontal="center" vertical="center" textRotation="90"/>
    </xf>
    <xf numFmtId="0" fontId="19" fillId="3" borderId="5" xfId="0" applyFont="1" applyFill="1" applyBorder="1" applyAlignment="1">
      <alignment horizontal="center" vertical="center" textRotation="90"/>
    </xf>
    <xf numFmtId="0" fontId="19" fillId="3" borderId="7" xfId="0" applyFont="1" applyFill="1" applyBorder="1" applyAlignment="1">
      <alignment horizontal="center" vertical="center" textRotation="90"/>
    </xf>
    <xf numFmtId="0" fontId="19" fillId="3" borderId="0" xfId="0" applyFont="1" applyFill="1" applyAlignment="1">
      <alignment horizontal="center" vertical="center" wrapText="1"/>
    </xf>
    <xf numFmtId="0" fontId="19" fillId="3" borderId="6" xfId="0" applyFont="1" applyFill="1" applyBorder="1" applyAlignment="1">
      <alignment horizontal="center" vertical="center" wrapText="1"/>
    </xf>
    <xf numFmtId="0" fontId="19" fillId="3" borderId="1" xfId="0" applyFont="1" applyFill="1" applyBorder="1" applyAlignment="1">
      <alignment horizontal="center" vertical="center" wrapText="1"/>
    </xf>
    <xf numFmtId="0" fontId="39" fillId="3" borderId="0" xfId="0" applyFont="1" applyFill="1" applyAlignment="1">
      <alignment horizontal="right" vertical="center"/>
    </xf>
    <xf numFmtId="0" fontId="41" fillId="3" borderId="0" xfId="0" applyFont="1" applyFill="1" applyAlignment="1">
      <alignment horizontal="center" vertical="center" wrapText="1"/>
    </xf>
    <xf numFmtId="0" fontId="19" fillId="3" borderId="10" xfId="0" applyFont="1" applyFill="1" applyBorder="1" applyAlignment="1">
      <alignment horizontal="center" vertical="center" wrapText="1" readingOrder="2"/>
    </xf>
    <xf numFmtId="0" fontId="19" fillId="3" borderId="12" xfId="0" applyFont="1" applyFill="1" applyBorder="1" applyAlignment="1">
      <alignment horizontal="center" vertical="center" wrapText="1" readingOrder="2"/>
    </xf>
    <xf numFmtId="0" fontId="19" fillId="3" borderId="4" xfId="0" applyFont="1" applyFill="1" applyBorder="1" applyAlignment="1">
      <alignment horizontal="center" vertical="center" wrapText="1" readingOrder="2"/>
    </xf>
    <xf numFmtId="0" fontId="19" fillId="3" borderId="8" xfId="0" applyFont="1" applyFill="1" applyBorder="1" applyAlignment="1">
      <alignment horizontal="center" vertical="center" wrapText="1" readingOrder="2"/>
    </xf>
    <xf numFmtId="0" fontId="0" fillId="3" borderId="0" xfId="0" applyFill="1" applyAlignment="1">
      <alignment horizontal="center"/>
    </xf>
    <xf numFmtId="0" fontId="56" fillId="3" borderId="9" xfId="0" applyFont="1" applyFill="1" applyBorder="1" applyAlignment="1">
      <alignment horizontal="left" vertical="top"/>
    </xf>
    <xf numFmtId="0" fontId="56" fillId="3" borderId="9" xfId="0" applyFont="1" applyFill="1" applyBorder="1" applyAlignment="1">
      <alignment horizontal="right" vertical="top"/>
    </xf>
    <xf numFmtId="0" fontId="11" fillId="3" borderId="0" xfId="0" applyFont="1" applyFill="1" applyAlignment="1">
      <alignment horizontal="left" vertical="center" wrapText="1" readingOrder="1"/>
    </xf>
    <xf numFmtId="0" fontId="11" fillId="3" borderId="0" xfId="0" applyFont="1" applyFill="1" applyAlignment="1">
      <alignment horizontal="right" vertical="center" wrapText="1" readingOrder="1"/>
    </xf>
    <xf numFmtId="0" fontId="11" fillId="3" borderId="0" xfId="0" applyFont="1" applyFill="1" applyAlignment="1">
      <alignment horizontal="right" vertical="center" wrapText="1"/>
    </xf>
    <xf numFmtId="0" fontId="9" fillId="3" borderId="0" xfId="0" applyFont="1" applyFill="1" applyAlignment="1">
      <alignment horizontal="center" vertical="center" wrapText="1"/>
    </xf>
    <xf numFmtId="0" fontId="19" fillId="3" borderId="0" xfId="0" applyFont="1" applyFill="1" applyAlignment="1">
      <alignment horizontal="right" vertical="center" wrapText="1"/>
    </xf>
    <xf numFmtId="0" fontId="23" fillId="3" borderId="0" xfId="0" applyFont="1" applyFill="1" applyAlignment="1">
      <alignment horizontal="right"/>
    </xf>
    <xf numFmtId="0" fontId="8" fillId="3" borderId="0" xfId="0" applyFont="1" applyFill="1" applyAlignment="1">
      <alignment horizontal="right" vertical="center" wrapText="1" indent="1"/>
    </xf>
    <xf numFmtId="0" fontId="19" fillId="3" borderId="0" xfId="0" applyFont="1" applyFill="1" applyAlignment="1">
      <alignment horizontal="left" vertical="center" wrapText="1"/>
    </xf>
    <xf numFmtId="0" fontId="19" fillId="3" borderId="0" xfId="0" applyFont="1" applyFill="1" applyAlignment="1">
      <alignment horizontal="right" vertical="center"/>
    </xf>
    <xf numFmtId="0" fontId="8" fillId="3" borderId="0" xfId="0" applyFont="1" applyFill="1" applyAlignment="1">
      <alignment horizontal="center" vertical="center"/>
    </xf>
    <xf numFmtId="0" fontId="8" fillId="3" borderId="0" xfId="0" applyFont="1" applyFill="1" applyAlignment="1">
      <alignment horizontal="left" vertical="center" wrapText="1"/>
    </xf>
    <xf numFmtId="0" fontId="8" fillId="3" borderId="0" xfId="0" applyFont="1" applyFill="1" applyAlignment="1">
      <alignment horizontal="right" vertical="center" wrapText="1"/>
    </xf>
    <xf numFmtId="0" fontId="21" fillId="3" borderId="0" xfId="0" applyFont="1" applyFill="1" applyAlignment="1">
      <alignment horizontal="right" vertical="center" wrapText="1"/>
    </xf>
    <xf numFmtId="0" fontId="20" fillId="3" borderId="0" xfId="0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 wrapText="1"/>
    </xf>
    <xf numFmtId="0" fontId="51" fillId="3" borderId="0" xfId="0" applyFont="1" applyFill="1" applyAlignment="1">
      <alignment horizontal="left" vertical="center" wrapText="1"/>
    </xf>
    <xf numFmtId="0" fontId="51" fillId="3" borderId="0" xfId="0" applyFont="1" applyFill="1" applyAlignment="1">
      <alignment horizontal="right" vertical="center"/>
    </xf>
    <xf numFmtId="0" fontId="19" fillId="3" borderId="11" xfId="0" applyFont="1" applyFill="1" applyBorder="1" applyAlignment="1">
      <alignment horizontal="center" vertical="center" wrapText="1" readingOrder="2"/>
    </xf>
    <xf numFmtId="0" fontId="19" fillId="3" borderId="0" xfId="0" applyFont="1" applyFill="1" applyAlignment="1">
      <alignment horizontal="center" vertical="center" wrapText="1" readingOrder="2"/>
    </xf>
    <xf numFmtId="0" fontId="19" fillId="3" borderId="11" xfId="0" applyFont="1" applyFill="1" applyBorder="1" applyAlignment="1">
      <alignment horizontal="center" vertical="center"/>
    </xf>
    <xf numFmtId="0" fontId="19" fillId="3" borderId="0" xfId="0" applyFont="1" applyFill="1" applyAlignment="1">
      <alignment horizontal="center" vertical="center"/>
    </xf>
    <xf numFmtId="0" fontId="19" fillId="3" borderId="6" xfId="0" applyFont="1" applyFill="1" applyBorder="1" applyAlignment="1">
      <alignment horizontal="center" vertical="center"/>
    </xf>
    <xf numFmtId="0" fontId="39" fillId="3" borderId="0" xfId="0" applyFont="1" applyFill="1" applyAlignment="1">
      <alignment horizontal="left" vertical="center"/>
    </xf>
    <xf numFmtId="0" fontId="39" fillId="3" borderId="0" xfId="0" applyFont="1" applyFill="1" applyAlignment="1">
      <alignment horizontal="right" vertical="center" wrapText="1"/>
    </xf>
    <xf numFmtId="0" fontId="19" fillId="3" borderId="9" xfId="0" applyFont="1" applyFill="1" applyBorder="1" applyAlignment="1">
      <alignment horizontal="center" vertical="center" wrapText="1" readingOrder="2"/>
    </xf>
    <xf numFmtId="0" fontId="19" fillId="3" borderId="10" xfId="0" applyFont="1" applyFill="1" applyBorder="1" applyAlignment="1">
      <alignment horizontal="center" vertical="center"/>
    </xf>
    <xf numFmtId="0" fontId="19" fillId="3" borderId="9" xfId="0" applyFont="1" applyFill="1" applyBorder="1" applyAlignment="1">
      <alignment horizontal="center" vertical="center"/>
    </xf>
    <xf numFmtId="0" fontId="19" fillId="3" borderId="4" xfId="0" applyFont="1" applyFill="1" applyBorder="1" applyAlignment="1">
      <alignment horizontal="center" vertical="center"/>
    </xf>
    <xf numFmtId="0" fontId="19" fillId="3" borderId="8" xfId="0" applyFont="1" applyFill="1" applyBorder="1" applyAlignment="1">
      <alignment horizontal="center" vertical="center"/>
    </xf>
    <xf numFmtId="0" fontId="19" fillId="3" borderId="6" xfId="0" applyFont="1" applyFill="1" applyBorder="1" applyAlignment="1">
      <alignment horizontal="center" vertical="center" wrapText="1" readingOrder="2"/>
    </xf>
    <xf numFmtId="0" fontId="39" fillId="3" borderId="0" xfId="0" applyFont="1" applyFill="1" applyAlignment="1">
      <alignment horizontal="center"/>
    </xf>
    <xf numFmtId="0" fontId="39" fillId="3" borderId="0" xfId="0" applyFont="1" applyFill="1" applyAlignment="1">
      <alignment horizontal="center" vertical="center"/>
    </xf>
    <xf numFmtId="0" fontId="39" fillId="3" borderId="0" xfId="0" applyFont="1" applyFill="1" applyAlignment="1">
      <alignment horizontal="center" vertical="center" wrapText="1"/>
    </xf>
    <xf numFmtId="0" fontId="52" fillId="3" borderId="0" xfId="0" applyFont="1" applyFill="1" applyAlignment="1">
      <alignment horizontal="right" vertical="center"/>
    </xf>
    <xf numFmtId="0" fontId="39" fillId="3" borderId="1" xfId="0" applyFont="1" applyFill="1" applyBorder="1" applyAlignment="1">
      <alignment horizontal="left" vertical="center"/>
    </xf>
    <xf numFmtId="0" fontId="41" fillId="3" borderId="0" xfId="0" applyFont="1" applyFill="1" applyAlignment="1">
      <alignment horizontal="center" vertical="center"/>
    </xf>
    <xf numFmtId="0" fontId="23" fillId="3" borderId="10" xfId="0" applyFont="1" applyFill="1" applyBorder="1" applyAlignment="1">
      <alignment horizontal="center" vertical="center"/>
    </xf>
    <xf numFmtId="0" fontId="23" fillId="3" borderId="12" xfId="0" applyFont="1" applyFill="1" applyBorder="1" applyAlignment="1">
      <alignment horizontal="center" vertical="center"/>
    </xf>
    <xf numFmtId="0" fontId="23" fillId="3" borderId="9" xfId="0" applyFont="1" applyFill="1" applyBorder="1" applyAlignment="1">
      <alignment horizontal="center" vertical="center"/>
    </xf>
    <xf numFmtId="0" fontId="23" fillId="3" borderId="1" xfId="0" applyFont="1" applyFill="1" applyBorder="1" applyAlignment="1">
      <alignment horizontal="center" vertical="center"/>
    </xf>
    <xf numFmtId="0" fontId="39" fillId="3" borderId="1" xfId="0" applyFont="1" applyFill="1" applyBorder="1" applyAlignment="1">
      <alignment horizontal="right" vertical="center" wrapText="1"/>
    </xf>
    <xf numFmtId="0" fontId="23" fillId="0" borderId="2" xfId="0" applyFont="1" applyBorder="1" applyAlignment="1">
      <alignment horizontal="left" vertical="center"/>
    </xf>
    <xf numFmtId="0" fontId="23" fillId="0" borderId="5" xfId="0" applyFont="1" applyBorder="1" applyAlignment="1">
      <alignment horizontal="left" vertical="center"/>
    </xf>
    <xf numFmtId="0" fontId="23" fillId="0" borderId="7" xfId="0" applyFont="1" applyBorder="1" applyAlignment="1">
      <alignment horizontal="left" vertical="center"/>
    </xf>
    <xf numFmtId="0" fontId="53" fillId="3" borderId="10" xfId="0" applyFont="1" applyFill="1" applyBorder="1" applyAlignment="1">
      <alignment horizontal="center" vertical="center"/>
    </xf>
    <xf numFmtId="0" fontId="53" fillId="3" borderId="11" xfId="0" applyFont="1" applyFill="1" applyBorder="1" applyAlignment="1">
      <alignment horizontal="center" vertical="center"/>
    </xf>
    <xf numFmtId="0" fontId="53" fillId="3" borderId="12" xfId="0" applyFont="1" applyFill="1" applyBorder="1" applyAlignment="1">
      <alignment horizontal="center" vertical="center"/>
    </xf>
    <xf numFmtId="0" fontId="23" fillId="3" borderId="4" xfId="0" applyFont="1" applyFill="1" applyBorder="1" applyAlignment="1">
      <alignment horizontal="center" vertical="center"/>
    </xf>
    <xf numFmtId="0" fontId="23" fillId="3" borderId="15" xfId="0" applyFont="1" applyFill="1" applyBorder="1" applyAlignment="1">
      <alignment horizontal="center" vertical="center"/>
    </xf>
    <xf numFmtId="0" fontId="23" fillId="3" borderId="3" xfId="0" applyFont="1" applyFill="1" applyBorder="1" applyAlignment="1">
      <alignment horizontal="center" vertical="center"/>
    </xf>
    <xf numFmtId="0" fontId="23" fillId="3" borderId="3" xfId="0" applyFont="1" applyFill="1" applyBorder="1" applyAlignment="1">
      <alignment horizontal="center" vertical="center" textRotation="90"/>
    </xf>
    <xf numFmtId="0" fontId="53" fillId="3" borderId="1" xfId="0" applyFont="1" applyFill="1" applyBorder="1" applyAlignment="1">
      <alignment horizontal="center" vertical="center"/>
    </xf>
    <xf numFmtId="0" fontId="53" fillId="3" borderId="8" xfId="0" applyFont="1" applyFill="1" applyBorder="1" applyAlignment="1">
      <alignment horizontal="center" vertical="center"/>
    </xf>
    <xf numFmtId="0" fontId="56" fillId="3" borderId="0" xfId="0" applyFont="1" applyFill="1" applyAlignment="1">
      <alignment horizontal="left" vertical="top"/>
    </xf>
    <xf numFmtId="0" fontId="56" fillId="3" borderId="0" xfId="0" applyFont="1" applyFill="1" applyAlignment="1">
      <alignment horizontal="right" vertical="top"/>
    </xf>
    <xf numFmtId="0" fontId="23" fillId="3" borderId="11" xfId="0" applyFont="1" applyFill="1" applyBorder="1" applyAlignment="1">
      <alignment horizontal="center" vertical="center"/>
    </xf>
    <xf numFmtId="0" fontId="19" fillId="3" borderId="12" xfId="0" applyFont="1" applyFill="1" applyBorder="1" applyAlignment="1">
      <alignment horizontal="center" vertical="center"/>
    </xf>
    <xf numFmtId="0" fontId="19" fillId="3" borderId="1" xfId="0" applyFont="1" applyFill="1" applyBorder="1" applyAlignment="1">
      <alignment horizontal="center" vertical="center"/>
    </xf>
    <xf numFmtId="0" fontId="23" fillId="3" borderId="6" xfId="0" applyFont="1" applyFill="1" applyBorder="1" applyAlignment="1">
      <alignment horizontal="center" vertical="center" wrapText="1"/>
    </xf>
    <xf numFmtId="0" fontId="23" fillId="3" borderId="8" xfId="0" applyFont="1" applyFill="1" applyBorder="1" applyAlignment="1">
      <alignment horizontal="center" vertical="center" wrapText="1"/>
    </xf>
    <xf numFmtId="0" fontId="51" fillId="3" borderId="9" xfId="0" applyFont="1" applyFill="1" applyBorder="1" applyAlignment="1">
      <alignment horizontal="right" vertical="center" wrapText="1"/>
    </xf>
    <xf numFmtId="0" fontId="56" fillId="3" borderId="0" xfId="0" applyFont="1" applyFill="1" applyAlignment="1">
      <alignment horizontal="right" wrapText="1"/>
    </xf>
    <xf numFmtId="0" fontId="56" fillId="3" borderId="0" xfId="0" applyFont="1" applyFill="1" applyAlignment="1">
      <alignment horizontal="left" wrapText="1"/>
    </xf>
    <xf numFmtId="0" fontId="56" fillId="3" borderId="9" xfId="0" applyFont="1" applyFill="1" applyBorder="1" applyAlignment="1">
      <alignment horizontal="left" vertical="center" wrapText="1"/>
    </xf>
    <xf numFmtId="0" fontId="56" fillId="3" borderId="0" xfId="0" applyFont="1" applyFill="1" applyAlignment="1">
      <alignment horizontal="right" vertical="center"/>
    </xf>
    <xf numFmtId="0" fontId="41" fillId="3" borderId="0" xfId="0" applyFont="1" applyFill="1" applyAlignment="1">
      <alignment horizontal="right" vertical="center" wrapText="1"/>
    </xf>
    <xf numFmtId="0" fontId="23" fillId="3" borderId="8" xfId="0" applyFont="1" applyFill="1" applyBorder="1" applyAlignment="1">
      <alignment horizontal="center" vertical="center"/>
    </xf>
    <xf numFmtId="0" fontId="24" fillId="0" borderId="0" xfId="0" applyFont="1" applyAlignment="1">
      <alignment horizontal="right"/>
    </xf>
    <xf numFmtId="49" fontId="53" fillId="0" borderId="12" xfId="0" applyNumberFormat="1" applyFont="1" applyBorder="1" applyAlignment="1">
      <alignment horizontal="center" vertical="center"/>
    </xf>
    <xf numFmtId="49" fontId="53" fillId="0" borderId="1" xfId="0" applyNumberFormat="1" applyFont="1" applyBorder="1" applyAlignment="1">
      <alignment horizontal="center" vertical="center"/>
    </xf>
    <xf numFmtId="49" fontId="53" fillId="0" borderId="8" xfId="0" applyNumberFormat="1" applyFont="1" applyBorder="1" applyAlignment="1">
      <alignment horizontal="center" vertical="center"/>
    </xf>
    <xf numFmtId="0" fontId="53" fillId="2" borderId="10" xfId="0" applyFont="1" applyFill="1" applyBorder="1" applyAlignment="1">
      <alignment horizontal="center" vertical="center"/>
    </xf>
    <xf numFmtId="0" fontId="53" fillId="2" borderId="9" xfId="0" applyFont="1" applyFill="1" applyBorder="1" applyAlignment="1">
      <alignment horizontal="center" vertical="center"/>
    </xf>
    <xf numFmtId="0" fontId="53" fillId="2" borderId="4" xfId="0" applyFont="1" applyFill="1" applyBorder="1" applyAlignment="1">
      <alignment horizontal="center" vertical="center"/>
    </xf>
    <xf numFmtId="0" fontId="23" fillId="0" borderId="9" xfId="0" applyFont="1" applyBorder="1" applyAlignment="1">
      <alignment horizontal="center" vertical="center" textRotation="180"/>
    </xf>
    <xf numFmtId="0" fontId="23" fillId="0" borderId="0" xfId="0" applyFont="1" applyAlignment="1">
      <alignment horizontal="center" vertical="center" textRotation="180"/>
    </xf>
    <xf numFmtId="0" fontId="23" fillId="0" borderId="1" xfId="0" applyFont="1" applyBorder="1" applyAlignment="1">
      <alignment horizontal="center" vertical="center" textRotation="180"/>
    </xf>
    <xf numFmtId="0" fontId="23" fillId="3" borderId="4" xfId="0" applyFont="1" applyFill="1" applyBorder="1" applyAlignment="1">
      <alignment horizontal="center" vertical="center" textRotation="90"/>
    </xf>
    <xf numFmtId="0" fontId="23" fillId="3" borderId="6" xfId="0" applyFont="1" applyFill="1" applyBorder="1" applyAlignment="1">
      <alignment horizontal="center" vertical="center" textRotation="90"/>
    </xf>
    <xf numFmtId="0" fontId="23" fillId="3" borderId="8" xfId="0" applyFont="1" applyFill="1" applyBorder="1" applyAlignment="1">
      <alignment horizontal="center" vertical="center" textRotation="90"/>
    </xf>
    <xf numFmtId="0" fontId="41" fillId="3" borderId="0" xfId="0" applyFont="1" applyFill="1" applyAlignment="1">
      <alignment horizontal="right"/>
    </xf>
    <xf numFmtId="0" fontId="23" fillId="3" borderId="10" xfId="0" applyFont="1" applyFill="1" applyBorder="1" applyAlignment="1">
      <alignment horizontal="center" vertical="center" wrapText="1"/>
    </xf>
    <xf numFmtId="0" fontId="23" fillId="3" borderId="11" xfId="0" applyFont="1" applyFill="1" applyBorder="1" applyAlignment="1">
      <alignment horizontal="center" vertical="center" wrapText="1"/>
    </xf>
    <xf numFmtId="0" fontId="23" fillId="3" borderId="12" xfId="0" applyFont="1" applyFill="1" applyBorder="1" applyAlignment="1">
      <alignment horizontal="center" vertical="center" wrapText="1"/>
    </xf>
    <xf numFmtId="0" fontId="4" fillId="3" borderId="10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49" fontId="23" fillId="3" borderId="12" xfId="0" applyNumberFormat="1" applyFont="1" applyFill="1" applyBorder="1" applyAlignment="1">
      <alignment horizontal="center" vertical="center"/>
    </xf>
    <xf numFmtId="49" fontId="23" fillId="3" borderId="1" xfId="0" applyNumberFormat="1" applyFont="1" applyFill="1" applyBorder="1" applyAlignment="1">
      <alignment horizontal="center" vertical="center"/>
    </xf>
    <xf numFmtId="49" fontId="23" fillId="3" borderId="8" xfId="0" applyNumberFormat="1" applyFont="1" applyFill="1" applyBorder="1" applyAlignment="1">
      <alignment horizontal="center" vertical="center"/>
    </xf>
    <xf numFmtId="0" fontId="69" fillId="3" borderId="10" xfId="0" applyFont="1" applyFill="1" applyBorder="1" applyAlignment="1">
      <alignment horizontal="center" vertical="center"/>
    </xf>
    <xf numFmtId="0" fontId="69" fillId="3" borderId="9" xfId="0" applyFont="1" applyFill="1" applyBorder="1" applyAlignment="1">
      <alignment horizontal="center" vertical="center"/>
    </xf>
    <xf numFmtId="0" fontId="69" fillId="3" borderId="4" xfId="0" applyFont="1" applyFill="1" applyBorder="1" applyAlignment="1">
      <alignment horizontal="center" vertical="center"/>
    </xf>
    <xf numFmtId="0" fontId="56" fillId="3" borderId="9" xfId="0" applyFont="1" applyFill="1" applyBorder="1" applyAlignment="1">
      <alignment horizontal="left"/>
    </xf>
    <xf numFmtId="0" fontId="24" fillId="0" borderId="2" xfId="0" applyFont="1" applyBorder="1" applyAlignment="1">
      <alignment horizontal="center" vertical="center"/>
    </xf>
    <xf numFmtId="0" fontId="24" fillId="0" borderId="5" xfId="0" applyFont="1" applyBorder="1" applyAlignment="1">
      <alignment horizontal="center" vertical="center"/>
    </xf>
    <xf numFmtId="0" fontId="24" fillId="0" borderId="7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41" fillId="3" borderId="1" xfId="0" applyFont="1" applyFill="1" applyBorder="1" applyAlignment="1">
      <alignment horizontal="left" vertical="center"/>
    </xf>
    <xf numFmtId="0" fontId="19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 textRotation="180"/>
    </xf>
    <xf numFmtId="49" fontId="53" fillId="2" borderId="0" xfId="0" applyNumberFormat="1" applyFont="1" applyFill="1" applyAlignment="1">
      <alignment horizontal="center" vertical="center"/>
    </xf>
    <xf numFmtId="0" fontId="53" fillId="0" borderId="0" xfId="0" applyFont="1" applyAlignment="1">
      <alignment horizontal="center" vertical="center"/>
    </xf>
    <xf numFmtId="0" fontId="6" fillId="3" borderId="0" xfId="0" applyFont="1" applyFill="1" applyAlignment="1">
      <alignment horizontal="right" vertical="center" wrapText="1" readingOrder="2"/>
    </xf>
    <xf numFmtId="0" fontId="10" fillId="0" borderId="0" xfId="0" applyFont="1" applyAlignment="1">
      <alignment horizontal="right" vertical="center" wrapText="1" indent="1"/>
    </xf>
    <xf numFmtId="0" fontId="18" fillId="0" borderId="0" xfId="0" applyFont="1" applyAlignment="1">
      <alignment horizontal="right" vertical="center" wrapText="1" indent="1"/>
    </xf>
    <xf numFmtId="0" fontId="10" fillId="0" borderId="0" xfId="0" applyFont="1" applyAlignment="1">
      <alignment horizontal="left" vertical="center" wrapText="1" indent="1"/>
    </xf>
    <xf numFmtId="0" fontId="55" fillId="3" borderId="0" xfId="0" applyFont="1" applyFill="1" applyAlignment="1">
      <alignment horizontal="right" vertical="center" wrapText="1" readingOrder="1"/>
    </xf>
    <xf numFmtId="0" fontId="0" fillId="3" borderId="0" xfId="0" applyFill="1" applyAlignment="1">
      <alignment horizontal="right" vertical="center" wrapText="1"/>
    </xf>
    <xf numFmtId="0" fontId="0" fillId="0" borderId="0" xfId="0" applyAlignment="1">
      <alignment horizontal="center" vertical="center"/>
    </xf>
    <xf numFmtId="165" fontId="41" fillId="3" borderId="0" xfId="0" applyNumberFormat="1" applyFont="1" applyFill="1" applyAlignment="1">
      <alignment horizontal="right" vertical="center"/>
    </xf>
    <xf numFmtId="0" fontId="51" fillId="3" borderId="9" xfId="0" applyFont="1" applyFill="1" applyBorder="1" applyAlignment="1">
      <alignment horizontal="right"/>
    </xf>
    <xf numFmtId="164" fontId="10" fillId="0" borderId="0" xfId="0" applyNumberFormat="1" applyFont="1" applyAlignment="1">
      <alignment horizontal="right" vertical="center" indent="1"/>
    </xf>
    <xf numFmtId="1" fontId="10" fillId="0" borderId="0" xfId="0" applyNumberFormat="1" applyFont="1" applyAlignment="1">
      <alignment horizontal="right" vertical="center" indent="1"/>
    </xf>
    <xf numFmtId="0" fontId="10" fillId="0" borderId="0" xfId="0" applyFont="1" applyAlignment="1">
      <alignment horizontal="right" vertical="center" indent="1"/>
    </xf>
    <xf numFmtId="0" fontId="53" fillId="3" borderId="0" xfId="0" applyFont="1" applyFill="1" applyAlignment="1">
      <alignment horizontal="center" vertical="center"/>
    </xf>
    <xf numFmtId="0" fontId="53" fillId="2" borderId="0" xfId="0" applyFont="1" applyFill="1" applyAlignment="1">
      <alignment horizontal="center" vertical="center"/>
    </xf>
    <xf numFmtId="0" fontId="23" fillId="0" borderId="0" xfId="0" applyFont="1" applyAlignment="1">
      <alignment horizontal="center" vertical="center"/>
    </xf>
    <xf numFmtId="49" fontId="53" fillId="0" borderId="0" xfId="0" applyNumberFormat="1" applyFont="1" applyAlignment="1">
      <alignment horizontal="center" vertical="center"/>
    </xf>
    <xf numFmtId="0" fontId="41" fillId="3" borderId="0" xfId="0" applyFont="1" applyFill="1" applyAlignment="1">
      <alignment horizontal="left" vertical="center" wrapText="1"/>
    </xf>
    <xf numFmtId="1" fontId="41" fillId="3" borderId="0" xfId="0" applyNumberFormat="1" applyFont="1" applyFill="1" applyAlignment="1">
      <alignment horizontal="right" vertical="center"/>
    </xf>
    <xf numFmtId="0" fontId="23" fillId="3" borderId="6" xfId="0" applyFont="1" applyFill="1" applyBorder="1" applyAlignment="1">
      <alignment horizontal="center" vertical="center"/>
    </xf>
    <xf numFmtId="49" fontId="23" fillId="3" borderId="11" xfId="0" applyNumberFormat="1" applyFont="1" applyFill="1" applyBorder="1" applyAlignment="1">
      <alignment horizontal="center" vertical="center"/>
    </xf>
    <xf numFmtId="49" fontId="23" fillId="3" borderId="0" xfId="0" applyNumberFormat="1" applyFont="1" applyFill="1" applyAlignment="1">
      <alignment horizontal="center" vertical="center"/>
    </xf>
    <xf numFmtId="49" fontId="23" fillId="3" borderId="6" xfId="0" applyNumberFormat="1" applyFont="1" applyFill="1" applyBorder="1" applyAlignment="1">
      <alignment horizontal="center" vertical="center"/>
    </xf>
    <xf numFmtId="0" fontId="41" fillId="3" borderId="0" xfId="0" applyFont="1" applyFill="1" applyAlignment="1">
      <alignment horizontal="right" wrapText="1"/>
    </xf>
    <xf numFmtId="0" fontId="10" fillId="0" borderId="13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42" fillId="0" borderId="0" xfId="0" applyFont="1" applyAlignment="1">
      <alignment horizontal="right" vertical="center"/>
    </xf>
    <xf numFmtId="0" fontId="0" fillId="0" borderId="5" xfId="0" applyBorder="1" applyAlignment="1">
      <alignment horizontal="center" vertical="center"/>
    </xf>
    <xf numFmtId="0" fontId="42" fillId="0" borderId="5" xfId="0" applyFont="1" applyBorder="1" applyAlignment="1">
      <alignment horizontal="center" vertical="center"/>
    </xf>
    <xf numFmtId="0" fontId="42" fillId="0" borderId="7" xfId="0" applyFont="1" applyBorder="1" applyAlignment="1">
      <alignment horizontal="center" vertical="center"/>
    </xf>
    <xf numFmtId="0" fontId="10" fillId="0" borderId="0" xfId="0" applyFont="1" applyAlignment="1">
      <alignment horizontal="center"/>
    </xf>
  </cellXfs>
  <cellStyles count="5">
    <cellStyle name="Normal" xfId="0" builtinId="0"/>
    <cellStyle name="Normal 2" xfId="3" xr:uid="{00000000-0005-0000-0000-000001000000}"/>
    <cellStyle name="Normal 3" xfId="2" xr:uid="{00000000-0005-0000-0000-000002000000}"/>
    <cellStyle name="Normal 4" xfId="4" xr:uid="{00000000-0005-0000-0000-000003000000}"/>
    <cellStyle name="Normal_Sheet1" xfId="1" xr:uid="{00000000-0005-0000-0000-000004000000}"/>
  </cellStyles>
  <dxfs count="0"/>
  <tableStyles count="0" defaultTableStyle="TableStyleMedium2" defaultPivotStyle="PivotStyleLight16"/>
  <colors>
    <mruColors>
      <color rgb="FF00CC66"/>
      <color rgb="FF00FF99"/>
      <color rgb="FF136EB9"/>
      <color rgb="FF61D6FF"/>
      <color rgb="FF00FFFF"/>
      <color rgb="FF6DE6F3"/>
      <color rgb="FF006C92"/>
      <color rgb="FF432D93"/>
      <color rgb="FF362CB2"/>
      <color rgb="FF2E3E8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alcChain" Target="calcChain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8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0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6263151062691353E-2"/>
          <c:y val="0.16512850245069757"/>
          <c:w val="0.85088308449652461"/>
          <c:h val="0.6299498541592057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'23-4'!$D$70</c:f>
              <c:strCache>
                <c:ptCount val="1"/>
                <c:pt idx="0">
                  <c:v>Male نارینه / ذکور  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multiLvlStrRef>
              <c:f>'23-4'!$E$68:$G$69</c:f>
              <c:multiLvlStrCache>
                <c:ptCount val="3"/>
                <c:lvl>
                  <c:pt idx="0">
                    <c:v>۱۴۰۰</c:v>
                  </c:pt>
                  <c:pt idx="1">
                    <c:v>۱۴۰۱</c:v>
                  </c:pt>
                  <c:pt idx="2">
                    <c:v>۱۴۰۲</c:v>
                  </c:pt>
                </c:lvl>
                <c:lvl>
                  <c:pt idx="0">
                    <c:v>2021-22</c:v>
                  </c:pt>
                  <c:pt idx="1">
                    <c:v>2022-23</c:v>
                  </c:pt>
                  <c:pt idx="2">
                    <c:v>2023-24</c:v>
                  </c:pt>
                </c:lvl>
              </c:multiLvlStrCache>
            </c:multiLvlStrRef>
          </c:cat>
          <c:val>
            <c:numRef>
              <c:f>'23-4'!$E$70:$G$70</c:f>
              <c:numCache>
                <c:formatCode>0</c:formatCode>
                <c:ptCount val="3"/>
                <c:pt idx="0">
                  <c:v>69.595644622307091</c:v>
                </c:pt>
                <c:pt idx="1">
                  <c:v>66.00228300950856</c:v>
                </c:pt>
                <c:pt idx="2">
                  <c:v>99.91039032918377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76-4414-A39A-4DC83766A412}"/>
            </c:ext>
          </c:extLst>
        </c:ser>
        <c:ser>
          <c:idx val="1"/>
          <c:order val="1"/>
          <c:tx>
            <c:strRef>
              <c:f>'23-4'!$D$71</c:f>
              <c:strCache>
                <c:ptCount val="1"/>
                <c:pt idx="0">
                  <c:v>   ښځينه / اناث Female     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multiLvlStrRef>
              <c:f>'23-4'!$E$68:$G$69</c:f>
              <c:multiLvlStrCache>
                <c:ptCount val="3"/>
                <c:lvl>
                  <c:pt idx="0">
                    <c:v>۱۴۰۰</c:v>
                  </c:pt>
                  <c:pt idx="1">
                    <c:v>۱۴۰۱</c:v>
                  </c:pt>
                  <c:pt idx="2">
                    <c:v>۱۴۰۲</c:v>
                  </c:pt>
                </c:lvl>
                <c:lvl>
                  <c:pt idx="0">
                    <c:v>2021-22</c:v>
                  </c:pt>
                  <c:pt idx="1">
                    <c:v>2022-23</c:v>
                  </c:pt>
                  <c:pt idx="2">
                    <c:v>2023-24</c:v>
                  </c:pt>
                </c:lvl>
              </c:multiLvlStrCache>
            </c:multiLvlStrRef>
          </c:cat>
          <c:val>
            <c:numRef>
              <c:f>'23-4'!$E$71:$G$71</c:f>
              <c:numCache>
                <c:formatCode>0</c:formatCode>
                <c:ptCount val="3"/>
                <c:pt idx="0">
                  <c:v>30.404355377692909</c:v>
                </c:pt>
                <c:pt idx="1">
                  <c:v>33.997716990491448</c:v>
                </c:pt>
                <c:pt idx="2">
                  <c:v>8.9609670816238676E-2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076-4414-A39A-4DC83766A4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0"/>
        <c:overlap val="-30"/>
        <c:axId val="183825920"/>
        <c:axId val="183827456"/>
      </c:barChart>
      <c:catAx>
        <c:axId val="18382592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low"/>
        <c:spPr>
          <a:noFill/>
          <a:ln w="6350" cap="flat" cmpd="sng" algn="ctr">
            <a:solidFill>
              <a:schemeClr val="dk1"/>
            </a:solidFill>
            <a:prstDash val="solid"/>
            <a:miter lim="800000"/>
          </a:ln>
          <a:effectLst/>
        </c:spPr>
        <c:txPr>
          <a:bodyPr/>
          <a:lstStyle/>
          <a:p>
            <a:pPr>
              <a:defRPr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827456"/>
        <c:crosses val="autoZero"/>
        <c:auto val="0"/>
        <c:lblAlgn val="ctr"/>
        <c:lblOffset val="100"/>
        <c:noMultiLvlLbl val="1"/>
      </c:catAx>
      <c:valAx>
        <c:axId val="183827456"/>
        <c:scaling>
          <c:orientation val="minMax"/>
        </c:scaling>
        <c:delete val="0"/>
        <c:axPos val="l"/>
        <c:numFmt formatCode="0" sourceLinked="1"/>
        <c:majorTickMark val="none"/>
        <c:minorTickMark val="none"/>
        <c:tickLblPos val="nextTo"/>
        <c:spPr>
          <a:noFill/>
          <a:ln w="6350" cap="flat" cmpd="sng" algn="ctr">
            <a:solidFill>
              <a:schemeClr val="dk1"/>
            </a:solidFill>
            <a:prstDash val="solid"/>
            <a:miter lim="800000"/>
          </a:ln>
          <a:effectLst/>
        </c:spPr>
        <c:txPr>
          <a:bodyPr/>
          <a:lstStyle/>
          <a:p>
            <a:pPr>
              <a:defRPr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8259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2.3706737672271834E-2"/>
          <c:y val="0.88544596067036785"/>
          <c:w val="0.96876874411912217"/>
          <c:h val="4.8605861528084326E-2"/>
        </c:manualLayout>
      </c:layout>
      <c:overlay val="0"/>
      <c:txPr>
        <a:bodyPr/>
        <a:lstStyle/>
        <a:p>
          <a:pPr>
            <a:defRPr>
              <a:solidFill>
                <a:schemeClr val="tx1"/>
              </a:solidFill>
            </a:defRPr>
          </a:pPr>
          <a:endParaRPr lang="en-US"/>
        </a:p>
      </c:txPr>
    </c:legend>
    <c:plotVisOnly val="1"/>
    <c:dispBlanksAs val="gap"/>
    <c:showDLblsOverMax val="0"/>
  </c:chart>
  <c:spPr>
    <a:ln>
      <a:noFill/>
    </a:ln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 orientation="portrait"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 rtl="1">
              <a:defRPr b="0"/>
            </a:pPr>
            <a:r>
              <a:rPr lang="fa-IR" b="0"/>
              <a:t>د پوهنتونونو او لوړو زده کړو موسسو نوي شامل شوي د جنس او کال </a:t>
            </a:r>
            <a:r>
              <a:rPr lang="ps-AF" b="0"/>
              <a:t>په توپیر</a:t>
            </a:r>
            <a:r>
              <a:rPr lang="fa-IR" b="0"/>
              <a:t>  </a:t>
            </a:r>
          </a:p>
          <a:p>
            <a:pPr algn="ctr" rtl="1">
              <a:defRPr b="0"/>
            </a:pPr>
            <a:r>
              <a:rPr lang="fa-IR" b="0"/>
              <a:t> جدیدالشمولان پوهنتون ها وموسسات تحصیلات عالی به تفکیک جنس وسال</a:t>
            </a:r>
            <a:endParaRPr lang="en-US" b="0"/>
          </a:p>
          <a:p>
            <a:pPr algn="ctr" rtl="1">
              <a:defRPr b="0"/>
            </a:pPr>
            <a:r>
              <a:rPr lang="en-US" b="0"/>
              <a:t>Universities and Higher Education Institutions New Enrolled- Students by sex  and Yea</a:t>
            </a:r>
          </a:p>
        </c:rich>
      </c:tx>
      <c:layout>
        <c:manualLayout>
          <c:xMode val="edge"/>
          <c:yMode val="edge"/>
          <c:x val="0.12089235898445932"/>
          <c:y val="1.8368681429875949E-2"/>
        </c:manualLayout>
      </c:layout>
      <c:overlay val="0"/>
      <c:spPr>
        <a:solidFill>
          <a:schemeClr val="bg1"/>
        </a:solidFill>
      </c:spPr>
    </c:title>
    <c:autoTitleDeleted val="0"/>
    <c:plotArea>
      <c:layout>
        <c:manualLayout>
          <c:layoutTarget val="inner"/>
          <c:xMode val="edge"/>
          <c:yMode val="edge"/>
          <c:x val="7.6701141663027272E-2"/>
          <c:y val="0.16720531728630214"/>
          <c:w val="0.83744227363004364"/>
          <c:h val="0.5197628293718042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'25-4'!$D$79</c:f>
              <c:strCache>
                <c:ptCount val="1"/>
                <c:pt idx="0">
                  <c:v>Male نارینه / مرد  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multiLvlStrRef>
              <c:f>'25-4'!$E$77:$G$78</c:f>
              <c:multiLvlStrCache>
                <c:ptCount val="3"/>
                <c:lvl>
                  <c:pt idx="0">
                    <c:v>۱۴۰۰</c:v>
                  </c:pt>
                  <c:pt idx="1">
                    <c:v>۱۴۰۱</c:v>
                  </c:pt>
                  <c:pt idx="2">
                    <c:v>۱۴۰۲</c:v>
                  </c:pt>
                </c:lvl>
                <c:lvl>
                  <c:pt idx="0">
                    <c:v>2021-22</c:v>
                  </c:pt>
                  <c:pt idx="1">
                    <c:v>2022-23</c:v>
                  </c:pt>
                  <c:pt idx="2">
                    <c:v>2023-24</c:v>
                  </c:pt>
                </c:lvl>
              </c:multiLvlStrCache>
            </c:multiLvlStrRef>
          </c:cat>
          <c:val>
            <c:numRef>
              <c:f>'25-4'!$E$79:$G$79</c:f>
              <c:numCache>
                <c:formatCode>0</c:formatCode>
                <c:ptCount val="3"/>
                <c:pt idx="0">
                  <c:v>68.324554480885354</c:v>
                </c:pt>
                <c:pt idx="1">
                  <c:v>63.785278193756476</c:v>
                </c:pt>
                <c:pt idx="2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9C-4FA6-9FF8-0775023A6803}"/>
            </c:ext>
          </c:extLst>
        </c:ser>
        <c:ser>
          <c:idx val="1"/>
          <c:order val="1"/>
          <c:tx>
            <c:strRef>
              <c:f>'25-4'!$D$80</c:f>
              <c:strCache>
                <c:ptCount val="1"/>
                <c:pt idx="0">
                  <c:v>ښځينه / زن Femal     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multiLvlStrRef>
              <c:f>'25-4'!$E$77:$G$78</c:f>
              <c:multiLvlStrCache>
                <c:ptCount val="3"/>
                <c:lvl>
                  <c:pt idx="0">
                    <c:v>۱۴۰۰</c:v>
                  </c:pt>
                  <c:pt idx="1">
                    <c:v>۱۴۰۱</c:v>
                  </c:pt>
                  <c:pt idx="2">
                    <c:v>۱۴۰۲</c:v>
                  </c:pt>
                </c:lvl>
                <c:lvl>
                  <c:pt idx="0">
                    <c:v>2021-22</c:v>
                  </c:pt>
                  <c:pt idx="1">
                    <c:v>2022-23</c:v>
                  </c:pt>
                  <c:pt idx="2">
                    <c:v>2023-24</c:v>
                  </c:pt>
                </c:lvl>
              </c:multiLvlStrCache>
            </c:multiLvlStrRef>
          </c:cat>
          <c:val>
            <c:numRef>
              <c:f>'25-4'!$E$80:$G$80</c:f>
              <c:numCache>
                <c:formatCode>0</c:formatCode>
                <c:ptCount val="3"/>
                <c:pt idx="0">
                  <c:v>31.675445519114653</c:v>
                </c:pt>
                <c:pt idx="1">
                  <c:v>36.214721806243524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D9C-4FA6-9FF8-0775023A68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0"/>
        <c:overlap val="-30"/>
        <c:axId val="217117056"/>
        <c:axId val="217118592"/>
      </c:barChart>
      <c:catAx>
        <c:axId val="21711705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low"/>
        <c:spPr>
          <a:noFill/>
          <a:ln w="6350" cap="flat" cmpd="sng" algn="ctr">
            <a:solidFill>
              <a:schemeClr val="dk1"/>
            </a:solidFill>
            <a:prstDash val="solid"/>
            <a:miter lim="800000"/>
          </a:ln>
          <a:effectLst/>
        </c:spPr>
        <c:txPr>
          <a:bodyPr/>
          <a:lstStyle/>
          <a:p>
            <a:pPr>
              <a:defRPr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7118592"/>
        <c:crosses val="autoZero"/>
        <c:auto val="0"/>
        <c:lblAlgn val="ctr"/>
        <c:lblOffset val="100"/>
        <c:noMultiLvlLbl val="1"/>
      </c:catAx>
      <c:valAx>
        <c:axId val="217118592"/>
        <c:scaling>
          <c:orientation val="minMax"/>
        </c:scaling>
        <c:delete val="0"/>
        <c:axPos val="l"/>
        <c:numFmt formatCode="0" sourceLinked="1"/>
        <c:majorTickMark val="none"/>
        <c:minorTickMark val="none"/>
        <c:tickLblPos val="nextTo"/>
        <c:spPr>
          <a:noFill/>
          <a:ln w="6350" cap="flat" cmpd="sng" algn="ctr">
            <a:solidFill>
              <a:schemeClr val="dk1"/>
            </a:solidFill>
            <a:prstDash val="solid"/>
            <a:miter lim="800000"/>
          </a:ln>
          <a:effectLst/>
        </c:spPr>
        <c:txPr>
          <a:bodyPr/>
          <a:lstStyle/>
          <a:p>
            <a:pPr>
              <a:defRPr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71170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9.9055655483956187E-2"/>
          <c:y val="0.78364484647495769"/>
          <c:w val="0.81108202099737525"/>
          <c:h val="7.9019079844518753E-2"/>
        </c:manualLayout>
      </c:layout>
      <c:overlay val="0"/>
    </c:legend>
    <c:plotVisOnly val="1"/>
    <c:dispBlanksAs val="gap"/>
    <c:showDLblsOverMax val="0"/>
  </c:chart>
  <c:spPr>
    <a:ln>
      <a:noFill/>
    </a:ln>
  </c:spPr>
  <c:txPr>
    <a:bodyPr/>
    <a:lstStyle/>
    <a:p>
      <a:pPr>
        <a:defRPr sz="900" b="1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 orientation="portrait"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r" rtl="1">
              <a:defRPr b="0"/>
            </a:pPr>
            <a:r>
              <a:rPr lang="en-US" b="0"/>
              <a:t> </a:t>
            </a:r>
            <a:r>
              <a:rPr lang="ps-AF" b="0"/>
              <a:t>د</a:t>
            </a:r>
            <a:r>
              <a:rPr lang="fa-IR" b="0"/>
              <a:t>پوهنتونونو او لوړو زده کړو موسسو</a:t>
            </a:r>
            <a:r>
              <a:rPr lang="ps-AF" b="0"/>
              <a:t> </a:t>
            </a:r>
            <a:r>
              <a:rPr lang="fa-IR" b="0"/>
              <a:t>د </a:t>
            </a:r>
            <a:r>
              <a:rPr lang="ps-AF" b="0"/>
              <a:t>فارغانو د جنس او کال په توپیر</a:t>
            </a:r>
            <a:r>
              <a:rPr lang="fa-IR" b="0"/>
              <a:t> </a:t>
            </a:r>
          </a:p>
          <a:p>
            <a:pPr algn="r" rtl="1">
              <a:defRPr b="0"/>
            </a:pPr>
            <a:r>
              <a:rPr lang="fa-IR" b="0"/>
              <a:t>فارغان پوهنتون‌ها وموسسات تحصیلات عالی به تفکیک جنس و سال </a:t>
            </a:r>
            <a:endParaRPr lang="en-US" b="0"/>
          </a:p>
          <a:p>
            <a:pPr algn="r" rtl="1">
              <a:defRPr b="0"/>
            </a:pPr>
            <a:r>
              <a:rPr lang="en-US" b="0"/>
              <a:t> Universities and Higher Education Institutions  by sex and Year</a:t>
            </a:r>
          </a:p>
        </c:rich>
      </c:tx>
      <c:layout>
        <c:manualLayout>
          <c:xMode val="edge"/>
          <c:yMode val="edge"/>
          <c:x val="0.20783521395173035"/>
          <c:y val="2.6065965055338956E-2"/>
        </c:manualLayout>
      </c:layout>
      <c:overlay val="0"/>
      <c:spPr>
        <a:solidFill>
          <a:schemeClr val="bg1"/>
        </a:solidFill>
      </c:spPr>
    </c:title>
    <c:autoTitleDeleted val="0"/>
    <c:plotArea>
      <c:layout>
        <c:manualLayout>
          <c:layoutTarget val="inner"/>
          <c:xMode val="edge"/>
          <c:yMode val="edge"/>
          <c:x val="0.11992480689958826"/>
          <c:y val="0.17053531766527813"/>
          <c:w val="0.79115179352580922"/>
          <c:h val="0.6005714626580768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'27-4'!$E$73</c:f>
              <c:strCache>
                <c:ptCount val="1"/>
                <c:pt idx="0">
                  <c:v>Male نارینه / ذکور  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multiLvlStrRef>
              <c:f>'27-4'!$F$71:$H$72</c:f>
              <c:multiLvlStrCache>
                <c:ptCount val="3"/>
                <c:lvl>
                  <c:pt idx="0">
                    <c:v>۱۴۰۰</c:v>
                  </c:pt>
                  <c:pt idx="1">
                    <c:v>۱۴۰۱</c:v>
                  </c:pt>
                  <c:pt idx="2">
                    <c:v>۱۴۰۲</c:v>
                  </c:pt>
                </c:lvl>
                <c:lvl>
                  <c:pt idx="0">
                    <c:v>2021-22</c:v>
                  </c:pt>
                  <c:pt idx="1">
                    <c:v>2022-23</c:v>
                  </c:pt>
                  <c:pt idx="2">
                    <c:v>2023-24</c:v>
                  </c:pt>
                </c:lvl>
              </c:multiLvlStrCache>
            </c:multiLvlStrRef>
          </c:cat>
          <c:val>
            <c:numRef>
              <c:f>'27-4'!$F$73:$H$73</c:f>
              <c:numCache>
                <c:formatCode>0</c:formatCode>
                <c:ptCount val="3"/>
                <c:pt idx="0">
                  <c:v>83.580144532638315</c:v>
                </c:pt>
                <c:pt idx="1">
                  <c:v>70.615388817568487</c:v>
                </c:pt>
                <c:pt idx="2">
                  <c:v>99.348629204744313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34-4FE6-89FB-C91A1F0FCCFD}"/>
            </c:ext>
          </c:extLst>
        </c:ser>
        <c:ser>
          <c:idx val="1"/>
          <c:order val="1"/>
          <c:tx>
            <c:strRef>
              <c:f>'27-4'!$E$74</c:f>
              <c:strCache>
                <c:ptCount val="1"/>
                <c:pt idx="0">
                  <c:v>   ښځينه / اناث Female     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multiLvlStrRef>
              <c:f>'27-4'!$F$71:$H$72</c:f>
              <c:multiLvlStrCache>
                <c:ptCount val="3"/>
                <c:lvl>
                  <c:pt idx="0">
                    <c:v>۱۴۰۰</c:v>
                  </c:pt>
                  <c:pt idx="1">
                    <c:v>۱۴۰۱</c:v>
                  </c:pt>
                  <c:pt idx="2">
                    <c:v>۱۴۰۲</c:v>
                  </c:pt>
                </c:lvl>
                <c:lvl>
                  <c:pt idx="0">
                    <c:v>2021-22</c:v>
                  </c:pt>
                  <c:pt idx="1">
                    <c:v>2022-23</c:v>
                  </c:pt>
                  <c:pt idx="2">
                    <c:v>2023-24</c:v>
                  </c:pt>
                </c:lvl>
              </c:multiLvlStrCache>
            </c:multiLvlStrRef>
          </c:cat>
          <c:val>
            <c:numRef>
              <c:f>'27-4'!$F$74:$H$74</c:f>
              <c:numCache>
                <c:formatCode>0</c:formatCode>
                <c:ptCount val="3"/>
                <c:pt idx="0">
                  <c:v>16.419855467361689</c:v>
                </c:pt>
                <c:pt idx="1">
                  <c:v>29.384611182431509</c:v>
                </c:pt>
                <c:pt idx="2">
                  <c:v>0.65137079525568731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F34-4FE6-89FB-C91A1F0FCC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0"/>
        <c:overlap val="-5"/>
        <c:axId val="240806144"/>
        <c:axId val="240816128"/>
      </c:barChart>
      <c:catAx>
        <c:axId val="24080614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low"/>
        <c:spPr>
          <a:noFill/>
          <a:ln w="6350" cap="flat" cmpd="sng" algn="ctr">
            <a:solidFill>
              <a:schemeClr val="dk1"/>
            </a:solidFill>
            <a:prstDash val="solid"/>
            <a:miter lim="800000"/>
          </a:ln>
          <a:effectLst/>
        </c:spPr>
        <c:txPr>
          <a:bodyPr/>
          <a:lstStyle/>
          <a:p>
            <a:pPr>
              <a:defRPr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0816128"/>
        <c:crosses val="autoZero"/>
        <c:auto val="0"/>
        <c:lblAlgn val="ctr"/>
        <c:lblOffset val="100"/>
        <c:noMultiLvlLbl val="1"/>
      </c:catAx>
      <c:valAx>
        <c:axId val="240816128"/>
        <c:scaling>
          <c:orientation val="minMax"/>
        </c:scaling>
        <c:delete val="0"/>
        <c:axPos val="l"/>
        <c:numFmt formatCode="0" sourceLinked="1"/>
        <c:majorTickMark val="none"/>
        <c:minorTickMark val="none"/>
        <c:tickLblPos val="nextTo"/>
        <c:spPr>
          <a:noFill/>
          <a:ln w="6350" cap="flat" cmpd="sng" algn="ctr">
            <a:solidFill>
              <a:schemeClr val="dk1"/>
            </a:solidFill>
            <a:prstDash val="solid"/>
            <a:miter lim="800000"/>
          </a:ln>
          <a:effectLst/>
        </c:spPr>
        <c:txPr>
          <a:bodyPr/>
          <a:lstStyle/>
          <a:p>
            <a:pPr>
              <a:defRPr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08061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10748931037397111"/>
          <c:y val="0.86200561731326242"/>
          <c:w val="0.81009517600569481"/>
          <c:h val="7.8977932636469225E-2"/>
        </c:manualLayout>
      </c:layout>
      <c:overlay val="1"/>
    </c:legend>
    <c:plotVisOnly val="1"/>
    <c:dispBlanksAs val="gap"/>
    <c:showDLblsOverMax val="0"/>
  </c:chart>
  <c:spPr>
    <a:ln>
      <a:noFill/>
    </a:ln>
  </c:spPr>
  <c:txPr>
    <a:bodyPr/>
    <a:lstStyle/>
    <a:p>
      <a:pPr>
        <a:defRPr sz="9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 orientation="portrait"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0988990959463399E-2"/>
          <c:y val="0.18875195256463384"/>
          <c:w val="0.91049249052201808"/>
          <c:h val="0.669637965294824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'30-4'!$B$66</c:f>
              <c:strCache>
                <c:ptCount val="1"/>
                <c:pt idx="0">
                  <c:v>Male نارینه / ذکور 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'30-4'!$C$64:$E$65</c:f>
              <c:multiLvlStrCache>
                <c:ptCount val="3"/>
                <c:lvl>
                  <c:pt idx="0">
                    <c:v>۱۴۰۰</c:v>
                  </c:pt>
                  <c:pt idx="1">
                    <c:v>۱۴۰۱</c:v>
                  </c:pt>
                  <c:pt idx="2">
                    <c:v>۱۴۰۲</c:v>
                  </c:pt>
                </c:lvl>
                <c:lvl>
                  <c:pt idx="0">
                    <c:v>2021-22</c:v>
                  </c:pt>
                  <c:pt idx="1">
                    <c:v>2022-23</c:v>
                  </c:pt>
                  <c:pt idx="2">
                    <c:v>2023-24</c:v>
                  </c:pt>
                </c:lvl>
              </c:multiLvlStrCache>
            </c:multiLvlStrRef>
          </c:cat>
          <c:val>
            <c:numRef>
              <c:f>'30-4'!$C$66:$E$66</c:f>
              <c:numCache>
                <c:formatCode>0</c:formatCode>
                <c:ptCount val="3"/>
                <c:pt idx="0">
                  <c:v>85.015522949489224</c:v>
                </c:pt>
                <c:pt idx="1">
                  <c:v>80.965928220321857</c:v>
                </c:pt>
                <c:pt idx="2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36-4469-8098-851349A1420F}"/>
            </c:ext>
          </c:extLst>
        </c:ser>
        <c:ser>
          <c:idx val="2"/>
          <c:order val="1"/>
          <c:tx>
            <c:strRef>
              <c:f>'30-4'!$B$67</c:f>
              <c:strCache>
                <c:ptCount val="1"/>
                <c:pt idx="0">
                  <c:v>   ښځينه / اناث Female    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'30-4'!$C$64:$E$65</c:f>
              <c:multiLvlStrCache>
                <c:ptCount val="3"/>
                <c:lvl>
                  <c:pt idx="0">
                    <c:v>۱۴۰۰</c:v>
                  </c:pt>
                  <c:pt idx="1">
                    <c:v>۱۴۰۱</c:v>
                  </c:pt>
                  <c:pt idx="2">
                    <c:v>۱۴۰۲</c:v>
                  </c:pt>
                </c:lvl>
                <c:lvl>
                  <c:pt idx="0">
                    <c:v>2021-22</c:v>
                  </c:pt>
                  <c:pt idx="1">
                    <c:v>2022-23</c:v>
                  </c:pt>
                  <c:pt idx="2">
                    <c:v>2023-24</c:v>
                  </c:pt>
                </c:lvl>
              </c:multiLvlStrCache>
            </c:multiLvlStrRef>
          </c:cat>
          <c:val>
            <c:numRef>
              <c:f>'30-4'!$C$67:$E$67</c:f>
              <c:numCache>
                <c:formatCode>0</c:formatCode>
                <c:ptCount val="3"/>
                <c:pt idx="0">
                  <c:v>14.984477050510774</c:v>
                </c:pt>
                <c:pt idx="1">
                  <c:v>19.034071779678136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A36-4469-8098-851349A1420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40620288"/>
        <c:axId val="240621824"/>
      </c:barChart>
      <c:catAx>
        <c:axId val="2406202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6350" cap="flat" cmpd="sng" algn="ctr">
            <a:solidFill>
              <a:schemeClr val="dk1"/>
            </a:solidFill>
            <a:prstDash val="solid"/>
            <a:miter lim="800000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0621824"/>
        <c:crosses val="autoZero"/>
        <c:auto val="1"/>
        <c:lblAlgn val="ctr"/>
        <c:lblOffset val="100"/>
        <c:noMultiLvlLbl val="0"/>
      </c:catAx>
      <c:valAx>
        <c:axId val="24062182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 rtl="0">
                  <a:defRPr sz="9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fa-IR" sz="900" baseline="0">
                    <a:solidFill>
                      <a:schemeClr val="tx1"/>
                    </a:solidFill>
                    <a:effectLst/>
                  </a:rPr>
                  <a:t>          </a:t>
                </a:r>
                <a:r>
                  <a:rPr lang="en-US" sz="900" baseline="0">
                    <a:solidFill>
                      <a:schemeClr val="tx1"/>
                    </a:solidFill>
                    <a:effectLst/>
                  </a:rPr>
                  <a:t>percent</a:t>
                </a:r>
                <a:r>
                  <a:rPr lang="ps-AF" sz="900" baseline="0">
                    <a:solidFill>
                      <a:schemeClr val="tx1"/>
                    </a:solidFill>
                    <a:effectLst/>
                  </a:rPr>
                  <a:t> </a:t>
                </a:r>
                <a:r>
                  <a:rPr lang="ps-AF" sz="900">
                    <a:solidFill>
                      <a:schemeClr val="tx1"/>
                    </a:solidFill>
                    <a:effectLst/>
                  </a:rPr>
                  <a:t>سلنه</a:t>
                </a:r>
                <a:r>
                  <a:rPr lang="fa-IR" sz="900">
                    <a:solidFill>
                      <a:schemeClr val="tx1"/>
                    </a:solidFill>
                    <a:effectLst/>
                  </a:rPr>
                  <a:t> /</a:t>
                </a:r>
                <a:r>
                  <a:rPr lang="ps-AF" sz="900" baseline="0">
                    <a:solidFill>
                      <a:schemeClr val="tx1"/>
                    </a:solidFill>
                    <a:effectLst/>
                  </a:rPr>
                  <a:t> </a:t>
                </a:r>
                <a:r>
                  <a:rPr lang="ps-AF" sz="900">
                    <a:solidFill>
                      <a:schemeClr val="tx1"/>
                    </a:solidFill>
                    <a:effectLst/>
                  </a:rPr>
                  <a:t>فیصد     </a:t>
                </a:r>
                <a:endParaRPr lang="en-US">
                  <a:solidFill>
                    <a:schemeClr val="tx1"/>
                  </a:solidFill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rtl="0">
                <a:defRPr sz="9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6350" cap="flat" cmpd="sng" algn="ctr">
            <a:solidFill>
              <a:schemeClr val="dk1"/>
            </a:solidFill>
            <a:prstDash val="solid"/>
            <a:miter lim="800000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06202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6089691155614001"/>
          <c:y val="0.95611807456014353"/>
          <c:w val="0.30464031096458966"/>
          <c:h val="4.115528096460511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9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http://us.yimg.com/i/pim/vbar.gif" TargetMode="External"/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http://us.yimg.com/i/pim/vbar.gif" TargetMode="External"/><Relationship Id="rId1" Type="http://schemas.openxmlformats.org/officeDocument/2006/relationships/image" Target="../media/image1.gif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http://us.yimg.com/i/pim/vbar.gif" TargetMode="External"/><Relationship Id="rId1" Type="http://schemas.openxmlformats.org/officeDocument/2006/relationships/image" Target="../media/image1.gif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http://us.yimg.com/i/pim/vbar.gif" TargetMode="External"/><Relationship Id="rId1" Type="http://schemas.openxmlformats.org/officeDocument/2006/relationships/image" Target="../media/image1.gif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37</xdr:row>
      <xdr:rowOff>0</xdr:rowOff>
    </xdr:from>
    <xdr:to>
      <xdr:col>5</xdr:col>
      <xdr:colOff>9525</xdr:colOff>
      <xdr:row>37</xdr:row>
      <xdr:rowOff>0</xdr:rowOff>
    </xdr:to>
    <xdr:pic>
      <xdr:nvPicPr>
        <xdr:cNvPr id="4" name="Picture 3" descr="Unconverted Image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/>
        <a:srcRect/>
        <a:stretch>
          <a:fillRect/>
        </a:stretch>
      </xdr:blipFill>
      <xdr:spPr bwMode="auto">
        <a:xfrm>
          <a:off x="0" y="9010650"/>
          <a:ext cx="95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37</xdr:row>
      <xdr:rowOff>0</xdr:rowOff>
    </xdr:from>
    <xdr:to>
      <xdr:col>5</xdr:col>
      <xdr:colOff>9525</xdr:colOff>
      <xdr:row>37</xdr:row>
      <xdr:rowOff>0</xdr:rowOff>
    </xdr:to>
    <xdr:pic>
      <xdr:nvPicPr>
        <xdr:cNvPr id="2" name="Picture 1" descr="Unconverted Image">
          <a:extLst>
            <a:ext uri="{FF2B5EF4-FFF2-40B4-BE49-F238E27FC236}">
              <a16:creationId xmlns:a16="http://schemas.microsoft.com/office/drawing/2014/main" id="{398FF022-8C12-453F-A662-1261D3840F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/>
        <a:srcRect/>
        <a:stretch>
          <a:fillRect/>
        </a:stretch>
      </xdr:blipFill>
      <xdr:spPr bwMode="auto">
        <a:xfrm>
          <a:off x="6905625" y="7048500"/>
          <a:ext cx="95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37</xdr:row>
      <xdr:rowOff>0</xdr:rowOff>
    </xdr:from>
    <xdr:to>
      <xdr:col>4</xdr:col>
      <xdr:colOff>9525</xdr:colOff>
      <xdr:row>37</xdr:row>
      <xdr:rowOff>0</xdr:rowOff>
    </xdr:to>
    <xdr:pic>
      <xdr:nvPicPr>
        <xdr:cNvPr id="2" name="Picture 18" descr="Unconverted Image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/>
        <a:srcRect/>
        <a:stretch>
          <a:fillRect/>
        </a:stretch>
      </xdr:blipFill>
      <xdr:spPr bwMode="auto">
        <a:xfrm>
          <a:off x="371475" y="8582025"/>
          <a:ext cx="95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34</xdr:row>
      <xdr:rowOff>0</xdr:rowOff>
    </xdr:from>
    <xdr:to>
      <xdr:col>1</xdr:col>
      <xdr:colOff>9525</xdr:colOff>
      <xdr:row>34</xdr:row>
      <xdr:rowOff>0</xdr:rowOff>
    </xdr:to>
    <xdr:pic>
      <xdr:nvPicPr>
        <xdr:cNvPr id="2" name="Picture 18" descr="Unconverted Image">
          <a:extLst>
            <a:ext uri="{FF2B5EF4-FFF2-40B4-BE49-F238E27FC236}">
              <a16:creationId xmlns:a16="http://schemas.microsoft.com/office/drawing/2014/main" id="{CB5DB26A-2988-4D40-8D04-668C166292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/>
        <a:srcRect/>
        <a:stretch>
          <a:fillRect/>
        </a:stretch>
      </xdr:blipFill>
      <xdr:spPr bwMode="auto">
        <a:xfrm>
          <a:off x="609600" y="6477000"/>
          <a:ext cx="95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605118</xdr:colOff>
      <xdr:row>61</xdr:row>
      <xdr:rowOff>0</xdr:rowOff>
    </xdr:from>
    <xdr:ext cx="3003176" cy="291354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1060608-BC27-49DD-818E-5A6A7C1CBE54}"/>
            </a:ext>
          </a:extLst>
        </xdr:cNvPr>
        <xdr:cNvSpPr txBox="1"/>
      </xdr:nvSpPr>
      <xdr:spPr>
        <a:xfrm>
          <a:off x="9139518" y="11620500"/>
          <a:ext cx="3003176" cy="29135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1" anchor="t">
          <a:noAutofit/>
        </a:bodyPr>
        <a:lstStyle/>
        <a:p>
          <a:pPr algn="r"/>
          <a:endParaRPr lang="fa-IR" sz="1200">
            <a:cs typeface="B Nazanin" panose="00000400000000000000" pitchFamily="2" charset="-78"/>
          </a:endParaRPr>
        </a:p>
      </xdr:txBody>
    </xdr:sp>
    <xdr:clientData/>
  </xdr:oneCellAnchor>
  <xdr:twoCellAnchor>
    <xdr:from>
      <xdr:col>0</xdr:col>
      <xdr:colOff>16565</xdr:colOff>
      <xdr:row>57</xdr:row>
      <xdr:rowOff>256760</xdr:rowOff>
    </xdr:from>
    <xdr:to>
      <xdr:col>12</xdr:col>
      <xdr:colOff>192156</xdr:colOff>
      <xdr:row>73</xdr:row>
      <xdr:rowOff>190500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DFD79E0-5FC7-4B14-AF42-C8AABED4050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0.01013</cdr:x>
      <cdr:y>0.10677</cdr:y>
    </cdr:from>
    <cdr:to>
      <cdr:x>0.04436</cdr:x>
      <cdr:y>0.84967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83920" y="339589"/>
          <a:ext cx="283570" cy="236280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vert270" wrap="square" rtlCol="0" anchor="t"/>
        <a:lstStyle xmlns:a="http://schemas.openxmlformats.org/drawingml/2006/main"/>
        <a:p xmlns:a="http://schemas.openxmlformats.org/drawingml/2006/main"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percent</a:t>
          </a:r>
          <a:r>
            <a:rPr lang="ps-AF" sz="1100" baseline="0">
              <a:effectLst/>
              <a:latin typeface="+mn-lt"/>
              <a:ea typeface="+mn-ea"/>
              <a:cs typeface="+mn-cs"/>
            </a:rPr>
            <a:t> </a:t>
          </a:r>
          <a:r>
            <a:rPr lang="ps-AF" sz="1100">
              <a:effectLst/>
              <a:latin typeface="+mn-lt"/>
              <a:ea typeface="+mn-ea"/>
              <a:cs typeface="+mn-cs"/>
            </a:rPr>
            <a:t>سلنه</a:t>
          </a:r>
          <a:r>
            <a:rPr lang="fa-IR" sz="1100">
              <a:effectLst/>
              <a:latin typeface="+mn-lt"/>
              <a:ea typeface="+mn-ea"/>
              <a:cs typeface="+mn-cs"/>
            </a:rPr>
            <a:t> /</a:t>
          </a:r>
          <a:r>
            <a:rPr lang="ps-AF" sz="1100" baseline="0">
              <a:effectLst/>
              <a:latin typeface="+mn-lt"/>
              <a:ea typeface="+mn-ea"/>
              <a:cs typeface="+mn-cs"/>
            </a:rPr>
            <a:t> </a:t>
          </a:r>
          <a:r>
            <a:rPr lang="ps-AF" sz="1000">
              <a:solidFill>
                <a:sysClr val="windowText" lastClr="000000"/>
              </a:solidFill>
              <a:effectLst/>
              <a:latin typeface="+mn-lt"/>
              <a:ea typeface="+mn-ea"/>
              <a:cs typeface="+mj-cs"/>
            </a:rPr>
            <a:t>فیصد</a:t>
          </a:r>
          <a:r>
            <a:rPr lang="ps-AF" sz="1100">
              <a:effectLst/>
              <a:latin typeface="+mn-lt"/>
              <a:ea typeface="+mn-ea"/>
              <a:cs typeface="+mn-cs"/>
            </a:rPr>
            <a:t>     </a:t>
          </a:r>
          <a:endParaRPr lang="en-US">
            <a:effectLst/>
          </a:endParaRPr>
        </a:p>
        <a:p xmlns:a="http://schemas.openxmlformats.org/drawingml/2006/main">
          <a:endParaRPr lang="en-US" sz="1100">
            <a:cs typeface="+mj-cs"/>
          </a:endParaRPr>
        </a:p>
      </cdr:txBody>
    </cdr:sp>
  </cdr:relSizeAnchor>
  <cdr:relSizeAnchor xmlns:cdr="http://schemas.openxmlformats.org/drawingml/2006/chartDrawing">
    <cdr:from>
      <cdr:x>0.00601</cdr:x>
      <cdr:y>0.33769</cdr:y>
    </cdr:from>
    <cdr:to>
      <cdr:x>0.0188</cdr:x>
      <cdr:y>0.71895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56029" y="1085571"/>
          <a:ext cx="119063" cy="122564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0.17326</cdr:x>
      <cdr:y>0</cdr:y>
    </cdr:from>
    <cdr:to>
      <cdr:x>0.92133</cdr:x>
      <cdr:y>0.16365</cdr:y>
    </cdr:to>
    <cdr:sp macro="" textlink="">
      <cdr:nvSpPr>
        <cdr:cNvPr id="5" name="TextBox 4"/>
        <cdr:cNvSpPr txBox="1"/>
      </cdr:nvSpPr>
      <cdr:spPr>
        <a:xfrm xmlns:a="http://schemas.openxmlformats.org/drawingml/2006/main">
          <a:off x="1608920" y="0"/>
          <a:ext cx="6946558" cy="82080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algn="ctr"/>
          <a:r>
            <a:rPr lang="fa-IR" sz="1200" baseline="0">
              <a:solidFill>
                <a:schemeClr val="tx1"/>
              </a:solidFill>
              <a:cs typeface="+mj-cs"/>
            </a:rPr>
            <a:t> د پوهنتونونو او لوړو زده کړو موسسو محصلین د جنس او کال په توپیر</a:t>
          </a:r>
        </a:p>
        <a:p xmlns:a="http://schemas.openxmlformats.org/drawingml/2006/main">
          <a:pPr algn="ctr"/>
          <a:r>
            <a:rPr lang="fa-IR" sz="1200" baseline="0">
              <a:solidFill>
                <a:schemeClr val="tx1"/>
              </a:solidFill>
              <a:cs typeface="B Nazanin" panose="00000400000000000000" pitchFamily="2" charset="-78"/>
            </a:rPr>
            <a:t> </a:t>
          </a:r>
          <a:r>
            <a:rPr lang="fa-IR" sz="1200" baseline="0">
              <a:solidFill>
                <a:schemeClr val="tx1"/>
              </a:solidFill>
              <a:cs typeface="+mj-cs"/>
            </a:rPr>
            <a:t>محصلان پوهنتون‌ها و موسسات تحصیلات عالی به تفکیک جنس وسال</a:t>
          </a:r>
        </a:p>
        <a:p xmlns:a="http://schemas.openxmlformats.org/drawingml/2006/main">
          <a:pPr algn="ctr"/>
          <a:r>
            <a:rPr lang="en-US" sz="1200">
              <a:solidFill>
                <a:schemeClr val="tx1"/>
              </a:solidFill>
              <a:effectLst/>
              <a:cs typeface="+mj-cs"/>
            </a:rPr>
            <a:t>Universities‌ and Higher Education Institutions Students by Sex and ‌Year  </a:t>
          </a:r>
          <a:endParaRPr lang="fa-IR" sz="1200" baseline="0">
            <a:solidFill>
              <a:schemeClr val="tx1"/>
            </a:solidFill>
            <a:cs typeface="+mj-cs"/>
          </a:endParaRPr>
        </a:p>
        <a:p xmlns:a="http://schemas.openxmlformats.org/drawingml/2006/main">
          <a:endParaRPr lang="en-US" sz="1200">
            <a:solidFill>
              <a:schemeClr val="tx1"/>
            </a:solidFill>
            <a:cs typeface="+mj-cs"/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56</xdr:row>
      <xdr:rowOff>66676</xdr:rowOff>
    </xdr:from>
    <xdr:to>
      <xdr:col>12</xdr:col>
      <xdr:colOff>117229</xdr:colOff>
      <xdr:row>80</xdr:row>
      <xdr:rowOff>85725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A4FA057-2513-44DC-AA86-78915FBE3EA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0.00757</cdr:x>
      <cdr:y>0.31743</cdr:y>
    </cdr:from>
    <cdr:to>
      <cdr:x>0.04436</cdr:x>
      <cdr:y>0.70124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63071" y="1601456"/>
          <a:ext cx="306526" cy="193640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vert270" wrap="square" rtlCol="0" anchor="ctr"/>
        <a:lstStyle xmlns:a="http://schemas.openxmlformats.org/drawingml/2006/main"/>
        <a:p xmlns:a="http://schemas.openxmlformats.org/drawingml/2006/main">
          <a:pPr eaLnBrk="1" fontAlgn="auto" latinLnBrk="0" hangingPunct="1"/>
          <a:r>
            <a:rPr lang="fa-IR" sz="1100" baseline="0">
              <a:effectLst/>
              <a:latin typeface="+mn-lt"/>
              <a:ea typeface="+mn-ea"/>
              <a:cs typeface="+mn-cs"/>
            </a:rPr>
            <a:t>          </a:t>
          </a:r>
          <a:r>
            <a:rPr lang="en-US" sz="1100" baseline="0">
              <a:effectLst/>
              <a:latin typeface="+mn-lt"/>
              <a:ea typeface="+mn-ea"/>
              <a:cs typeface="+mn-cs"/>
            </a:rPr>
            <a:t>percent</a:t>
          </a:r>
          <a:r>
            <a:rPr lang="ps-AF" sz="1100" baseline="0">
              <a:effectLst/>
              <a:latin typeface="+mn-lt"/>
              <a:ea typeface="+mn-ea"/>
              <a:cs typeface="+mn-cs"/>
            </a:rPr>
            <a:t> </a:t>
          </a:r>
          <a:r>
            <a:rPr lang="ps-AF" sz="1100">
              <a:effectLst/>
              <a:latin typeface="+mn-lt"/>
              <a:ea typeface="+mn-ea"/>
              <a:cs typeface="+mn-cs"/>
            </a:rPr>
            <a:t>سلنه</a:t>
          </a:r>
          <a:r>
            <a:rPr lang="fa-IR" sz="1100">
              <a:effectLst/>
              <a:latin typeface="+mn-lt"/>
              <a:ea typeface="+mn-ea"/>
              <a:cs typeface="+mn-cs"/>
            </a:rPr>
            <a:t> /</a:t>
          </a:r>
          <a:r>
            <a:rPr lang="ps-AF" sz="1100" baseline="0">
              <a:effectLst/>
              <a:latin typeface="+mn-lt"/>
              <a:ea typeface="+mn-ea"/>
              <a:cs typeface="+mn-cs"/>
            </a:rPr>
            <a:t> </a:t>
          </a:r>
          <a:r>
            <a:rPr lang="ps-AF" sz="1100">
              <a:effectLst/>
              <a:latin typeface="+mn-lt"/>
              <a:ea typeface="+mn-ea"/>
              <a:cs typeface="+mn-cs"/>
            </a:rPr>
            <a:t>فیصد     </a:t>
          </a:r>
          <a:endParaRPr lang="en-US">
            <a:effectLst/>
          </a:endParaRPr>
        </a:p>
        <a:p xmlns:a="http://schemas.openxmlformats.org/drawingml/2006/main">
          <a:endParaRPr lang="en-US" sz="1100">
            <a:cs typeface="+mj-cs"/>
          </a:endParaRPr>
        </a:p>
      </cdr:txBody>
    </cdr:sp>
  </cdr:relSizeAnchor>
  <cdr:relSizeAnchor xmlns:cdr="http://schemas.openxmlformats.org/drawingml/2006/chartDrawing">
    <cdr:from>
      <cdr:x>0.00601</cdr:x>
      <cdr:y>0.33769</cdr:y>
    </cdr:from>
    <cdr:to>
      <cdr:x>0.0188</cdr:x>
      <cdr:y>0.71895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56029" y="1085571"/>
          <a:ext cx="119063" cy="122564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</c:userShapes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21981</xdr:colOff>
      <xdr:row>57</xdr:row>
      <xdr:rowOff>485775</xdr:rowOff>
    </xdr:from>
    <xdr:to>
      <xdr:col>13</xdr:col>
      <xdr:colOff>14655</xdr:colOff>
      <xdr:row>84</xdr:row>
      <xdr:rowOff>169252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7875117-39F7-426B-8138-B8C2BE5A2B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c:userShapes xmlns:c="http://schemas.openxmlformats.org/drawingml/2006/chart">
  <cdr:relSizeAnchor xmlns:cdr="http://schemas.openxmlformats.org/drawingml/2006/chartDrawing">
    <cdr:from>
      <cdr:x>0.03263</cdr:x>
      <cdr:y>0.19463</cdr:y>
    </cdr:from>
    <cdr:to>
      <cdr:x>0.06686</cdr:x>
      <cdr:y>0.69963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270743" y="1104900"/>
          <a:ext cx="283982" cy="286685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vert270" wrap="square" rtlCol="0" anchor="t"/>
        <a:lstStyle xmlns:a="http://schemas.openxmlformats.org/drawingml/2006/main"/>
        <a:p xmlns:a="http://schemas.openxmlformats.org/drawingml/2006/main">
          <a:pPr eaLnBrk="1" fontAlgn="auto" latinLnBrk="0" hangingPunct="1"/>
          <a:r>
            <a:rPr lang="fa-IR" sz="1100" baseline="0">
              <a:effectLst/>
              <a:latin typeface="+mn-lt"/>
              <a:ea typeface="+mn-ea"/>
              <a:cs typeface="+mn-cs"/>
            </a:rPr>
            <a:t>          </a:t>
          </a:r>
          <a:r>
            <a:rPr lang="en-US" sz="1100" baseline="0">
              <a:effectLst/>
              <a:latin typeface="+mn-lt"/>
              <a:ea typeface="+mn-ea"/>
              <a:cs typeface="+mn-cs"/>
            </a:rPr>
            <a:t>percent</a:t>
          </a:r>
          <a:r>
            <a:rPr lang="ps-AF" sz="1100" baseline="0">
              <a:effectLst/>
              <a:latin typeface="+mn-lt"/>
              <a:ea typeface="+mn-ea"/>
              <a:cs typeface="+mn-cs"/>
            </a:rPr>
            <a:t> </a:t>
          </a:r>
          <a:r>
            <a:rPr lang="ps-AF" sz="1100">
              <a:effectLst/>
              <a:latin typeface="+mn-lt"/>
              <a:ea typeface="+mn-ea"/>
              <a:cs typeface="+mn-cs"/>
            </a:rPr>
            <a:t>سلنه</a:t>
          </a:r>
          <a:r>
            <a:rPr lang="fa-IR" sz="1100">
              <a:effectLst/>
              <a:latin typeface="+mn-lt"/>
              <a:ea typeface="+mn-ea"/>
              <a:cs typeface="+mn-cs"/>
            </a:rPr>
            <a:t> /</a:t>
          </a:r>
          <a:r>
            <a:rPr lang="ps-AF" sz="1100" baseline="0">
              <a:effectLst/>
              <a:latin typeface="+mn-lt"/>
              <a:ea typeface="+mn-ea"/>
              <a:cs typeface="+mn-cs"/>
            </a:rPr>
            <a:t> </a:t>
          </a:r>
          <a:r>
            <a:rPr lang="ps-AF" sz="1100">
              <a:effectLst/>
              <a:latin typeface="+mn-lt"/>
              <a:ea typeface="+mn-ea"/>
              <a:cs typeface="+mn-cs"/>
            </a:rPr>
            <a:t>فیصد     </a:t>
          </a:r>
          <a:endParaRPr lang="en-US">
            <a:effectLst/>
          </a:endParaRPr>
        </a:p>
        <a:p xmlns:a="http://schemas.openxmlformats.org/drawingml/2006/main">
          <a:endParaRPr lang="en-US" sz="1100">
            <a:cs typeface="+mj-cs"/>
          </a:endParaRPr>
        </a:p>
      </cdr:txBody>
    </cdr:sp>
  </cdr:relSizeAnchor>
  <cdr:relSizeAnchor xmlns:cdr="http://schemas.openxmlformats.org/drawingml/2006/chartDrawing">
    <cdr:from>
      <cdr:x>0.00601</cdr:x>
      <cdr:y>0.33769</cdr:y>
    </cdr:from>
    <cdr:to>
      <cdr:x>0.0188</cdr:x>
      <cdr:y>0.71895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56029" y="1085571"/>
          <a:ext cx="119063" cy="122564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</c:userShapes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57</xdr:row>
      <xdr:rowOff>28577</xdr:rowOff>
    </xdr:from>
    <xdr:to>
      <xdr:col>12</xdr:col>
      <xdr:colOff>123825</xdr:colOff>
      <xdr:row>81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4A2839A-C846-4A47-B06E-F79E69EC310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c:userShapes xmlns:c="http://schemas.openxmlformats.org/drawingml/2006/chart">
  <cdr:relSizeAnchor xmlns:cdr="http://schemas.openxmlformats.org/drawingml/2006/chartDrawing">
    <cdr:from>
      <cdr:x>0.2963</cdr:x>
      <cdr:y>0.00919</cdr:y>
    </cdr:from>
    <cdr:to>
      <cdr:x>0.69284</cdr:x>
      <cdr:y>0.17206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2444075" y="43241"/>
          <a:ext cx="3270920" cy="76638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ctr"/>
          <a:r>
            <a:rPr lang="fa-IR" sz="1200" baseline="0">
              <a:cs typeface="+mj-cs"/>
            </a:rPr>
            <a:t>لیلیو ته شامل شوي د جنس او کال په توپیر</a:t>
          </a:r>
        </a:p>
        <a:p xmlns:a="http://schemas.openxmlformats.org/drawingml/2006/main">
          <a:pPr algn="ctr"/>
          <a:r>
            <a:rPr lang="fa-IR" sz="1200" baseline="0">
              <a:cs typeface="B Nazanin" panose="00000400000000000000" pitchFamily="2" charset="-78"/>
            </a:rPr>
            <a:t> </a:t>
          </a:r>
          <a:r>
            <a:rPr lang="fa-IR" sz="1200" baseline="0">
              <a:cs typeface="+mj-cs"/>
            </a:rPr>
            <a:t>شاملین لیلیه ها به </a:t>
          </a:r>
          <a:r>
            <a:rPr lang="fa-IR" sz="1200" baseline="0">
              <a:solidFill>
                <a:schemeClr val="tx1"/>
              </a:solidFill>
              <a:cs typeface="+mj-cs"/>
            </a:rPr>
            <a:t>تفکیک</a:t>
          </a:r>
          <a:r>
            <a:rPr lang="fa-IR" sz="1200" baseline="0">
              <a:cs typeface="+mj-cs"/>
            </a:rPr>
            <a:t> جنس وسال </a:t>
          </a:r>
          <a:endParaRPr lang="en-US" sz="1200" baseline="0">
            <a:cs typeface="+mj-cs"/>
          </a:endParaRPr>
        </a:p>
        <a:p xmlns:a="http://schemas.openxmlformats.org/drawingml/2006/main">
          <a:pPr algn="ctr"/>
          <a:r>
            <a:rPr lang="fa-IR" sz="1200" baseline="0">
              <a:cs typeface="+mj-cs"/>
            </a:rPr>
            <a:t> </a:t>
          </a:r>
          <a:r>
            <a:rPr lang="en-US" sz="1200" baseline="0">
              <a:cs typeface="+mj-cs"/>
            </a:rPr>
            <a:t>Dormitories Inmates by sex and year</a:t>
          </a:r>
          <a:endParaRPr lang="en-US" sz="1200">
            <a:cs typeface="+mj-cs"/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us.f202.mail.yahoo.com/ym/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us.f202.mail.yahoo.com/ym/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us.f202.mail.yahoo.com/ym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/>
  </sheetPr>
  <dimension ref="A1:Q39"/>
  <sheetViews>
    <sheetView view="pageBreakPreview" topLeftCell="A3" zoomScaleSheetLayoutView="100" workbookViewId="0">
      <selection activeCell="A3" sqref="A3:E3"/>
    </sheetView>
  </sheetViews>
  <sheetFormatPr baseColWidth="10" defaultColWidth="8.83203125" defaultRowHeight="15"/>
  <cols>
    <col min="1" max="1" width="6.5" customWidth="1"/>
    <col min="2" max="2" width="30.5" customWidth="1"/>
    <col min="3" max="3" width="15.6640625" customWidth="1"/>
    <col min="4" max="4" width="37.1640625" customWidth="1"/>
    <col min="5" max="5" width="9" style="377" customWidth="1"/>
    <col min="7" max="7" width="14.5" customWidth="1"/>
    <col min="8" max="8" width="9.33203125" bestFit="1" customWidth="1"/>
  </cols>
  <sheetData>
    <row r="1" spans="1:17" ht="15.75" hidden="1" customHeight="1">
      <c r="A1" s="1259" t="s">
        <v>2272</v>
      </c>
      <c r="B1" s="1259"/>
      <c r="C1" s="1259"/>
      <c r="D1" s="1259"/>
      <c r="E1" s="1259"/>
    </row>
    <row r="2" spans="1:17" ht="15.75" hidden="1" customHeight="1">
      <c r="A2" s="1260" t="s">
        <v>2273</v>
      </c>
      <c r="B2" s="1260"/>
      <c r="C2" s="1260"/>
      <c r="D2" s="1260"/>
      <c r="E2" s="1260"/>
    </row>
    <row r="3" spans="1:17" ht="16.5" customHeight="1">
      <c r="A3" s="1261" t="s">
        <v>2274</v>
      </c>
      <c r="B3" s="1261"/>
      <c r="C3" s="1261"/>
      <c r="D3" s="1261"/>
      <c r="E3" s="1261"/>
    </row>
    <row r="4" spans="1:17" ht="15" customHeight="1">
      <c r="A4" s="1262" t="s">
        <v>621</v>
      </c>
      <c r="B4" s="1262" t="s">
        <v>90</v>
      </c>
      <c r="C4" s="1095">
        <v>1402</v>
      </c>
      <c r="D4" s="1263" t="s">
        <v>80</v>
      </c>
      <c r="E4" s="1264" t="s">
        <v>727</v>
      </c>
    </row>
    <row r="5" spans="1:17" ht="15" customHeight="1">
      <c r="A5" s="1262"/>
      <c r="B5" s="1262"/>
      <c r="C5" s="306" t="s">
        <v>772</v>
      </c>
      <c r="D5" s="1263"/>
      <c r="E5" s="1264"/>
      <c r="F5" s="45"/>
      <c r="G5" s="2"/>
      <c r="H5" s="2"/>
      <c r="I5" s="2"/>
      <c r="J5" s="2"/>
      <c r="P5" s="2"/>
      <c r="Q5" s="2"/>
    </row>
    <row r="6" spans="1:17" ht="22" customHeight="1">
      <c r="A6" s="327">
        <v>1</v>
      </c>
      <c r="B6" s="563" t="s">
        <v>2147</v>
      </c>
      <c r="C6" s="629">
        <f>C7+C11</f>
        <v>18336</v>
      </c>
      <c r="D6" s="422" t="s">
        <v>1491</v>
      </c>
      <c r="E6" s="874">
        <v>1</v>
      </c>
      <c r="H6" s="2"/>
      <c r="I6" s="79"/>
      <c r="J6" s="79"/>
    </row>
    <row r="7" spans="1:17" s="639" customFormat="1" ht="22" customHeight="1">
      <c r="A7" s="257">
        <v>1.1000000000000001</v>
      </c>
      <c r="B7" s="1100" t="s">
        <v>2146</v>
      </c>
      <c r="C7" s="742">
        <f>C8+C9+C10</f>
        <v>15314</v>
      </c>
      <c r="D7" s="743" t="s">
        <v>1492</v>
      </c>
      <c r="E7" s="875" t="s">
        <v>87</v>
      </c>
      <c r="F7" s="673"/>
      <c r="G7"/>
      <c r="H7" s="673"/>
      <c r="I7" s="79"/>
      <c r="J7" s="79"/>
    </row>
    <row r="8" spans="1:17" ht="22" customHeight="1">
      <c r="A8" s="147" t="s">
        <v>600</v>
      </c>
      <c r="B8" s="419" t="s">
        <v>91</v>
      </c>
      <c r="C8" s="630">
        <v>6381</v>
      </c>
      <c r="D8" s="420" t="s">
        <v>1493</v>
      </c>
      <c r="E8" s="876" t="s">
        <v>597</v>
      </c>
    </row>
    <row r="9" spans="1:17" s="639" customFormat="1" ht="22" customHeight="1">
      <c r="A9" s="148" t="s">
        <v>601</v>
      </c>
      <c r="B9" s="719" t="s">
        <v>92</v>
      </c>
      <c r="C9" s="744">
        <v>3819</v>
      </c>
      <c r="D9" s="745" t="s">
        <v>1494</v>
      </c>
      <c r="E9" s="877" t="s">
        <v>599</v>
      </c>
      <c r="H9" s="692"/>
    </row>
    <row r="10" spans="1:17" ht="19.5" customHeight="1">
      <c r="A10" s="147" t="s">
        <v>602</v>
      </c>
      <c r="B10" s="419" t="s">
        <v>93</v>
      </c>
      <c r="C10" s="630">
        <v>5114</v>
      </c>
      <c r="D10" s="378" t="s">
        <v>1495</v>
      </c>
      <c r="E10" s="876" t="s">
        <v>733</v>
      </c>
      <c r="L10" s="4"/>
    </row>
    <row r="11" spans="1:17" s="639" customFormat="1" ht="22" customHeight="1">
      <c r="A11" s="257">
        <v>1.2</v>
      </c>
      <c r="B11" s="724" t="s">
        <v>94</v>
      </c>
      <c r="C11" s="742">
        <f>C12+C13+C14</f>
        <v>3022</v>
      </c>
      <c r="D11" s="746" t="s">
        <v>1496</v>
      </c>
      <c r="E11" s="875" t="s">
        <v>88</v>
      </c>
    </row>
    <row r="12" spans="1:17" ht="19.5" customHeight="1">
      <c r="A12" s="147" t="s">
        <v>614</v>
      </c>
      <c r="B12" s="419" t="s">
        <v>91</v>
      </c>
      <c r="C12" s="630">
        <v>1253</v>
      </c>
      <c r="D12" s="378" t="s">
        <v>1493</v>
      </c>
      <c r="E12" s="876" t="s">
        <v>612</v>
      </c>
    </row>
    <row r="13" spans="1:17" s="639" customFormat="1" ht="22" customHeight="1">
      <c r="A13" s="148" t="s">
        <v>615</v>
      </c>
      <c r="B13" s="719" t="s">
        <v>92</v>
      </c>
      <c r="C13" s="744">
        <v>620</v>
      </c>
      <c r="D13" s="745" t="s">
        <v>1494</v>
      </c>
      <c r="E13" s="877" t="s">
        <v>613</v>
      </c>
    </row>
    <row r="14" spans="1:17" ht="18.75" customHeight="1">
      <c r="A14" s="147" t="s">
        <v>616</v>
      </c>
      <c r="B14" s="419" t="s">
        <v>93</v>
      </c>
      <c r="C14" s="630">
        <v>1149</v>
      </c>
      <c r="D14" s="378" t="s">
        <v>1495</v>
      </c>
      <c r="E14" s="876" t="s">
        <v>734</v>
      </c>
    </row>
    <row r="15" spans="1:17" s="639" customFormat="1" ht="38.25" customHeight="1">
      <c r="A15" s="257">
        <v>2</v>
      </c>
      <c r="B15" s="1100" t="s">
        <v>1233</v>
      </c>
      <c r="C15" s="742">
        <f>C16+C20</f>
        <v>10906730</v>
      </c>
      <c r="D15" s="746" t="s">
        <v>1497</v>
      </c>
      <c r="E15" s="875" t="s">
        <v>89</v>
      </c>
      <c r="L15" s="692"/>
    </row>
    <row r="16" spans="1:17" ht="24.75" customHeight="1">
      <c r="A16" s="400">
        <v>2.1</v>
      </c>
      <c r="B16" s="1094" t="s">
        <v>1303</v>
      </c>
      <c r="C16" s="629">
        <f>C17+C18+C19</f>
        <v>9845505</v>
      </c>
      <c r="D16" s="599" t="s">
        <v>1301</v>
      </c>
      <c r="E16" s="500" t="s">
        <v>3</v>
      </c>
      <c r="H16" s="80"/>
      <c r="I16" s="80"/>
    </row>
    <row r="17" spans="1:14" s="639" customFormat="1" ht="22" customHeight="1">
      <c r="A17" s="148" t="s">
        <v>605</v>
      </c>
      <c r="B17" s="719" t="s">
        <v>1199</v>
      </c>
      <c r="C17" s="744">
        <v>6728517</v>
      </c>
      <c r="D17" s="745" t="s">
        <v>1498</v>
      </c>
      <c r="E17" s="877" t="s">
        <v>598</v>
      </c>
    </row>
    <row r="18" spans="1:14" ht="22" customHeight="1">
      <c r="A18" s="147" t="s">
        <v>606</v>
      </c>
      <c r="B18" s="419" t="s">
        <v>1200</v>
      </c>
      <c r="C18" s="630">
        <v>2050475</v>
      </c>
      <c r="D18" s="378" t="s">
        <v>1499</v>
      </c>
      <c r="E18" s="876" t="s">
        <v>603</v>
      </c>
      <c r="L18" s="1256"/>
      <c r="M18" s="1256"/>
      <c r="N18" s="1256"/>
    </row>
    <row r="19" spans="1:14" s="639" customFormat="1" ht="22" customHeight="1">
      <c r="A19" s="148" t="s">
        <v>607</v>
      </c>
      <c r="B19" s="719" t="s">
        <v>1201</v>
      </c>
      <c r="C19" s="744">
        <v>1066513</v>
      </c>
      <c r="D19" s="745" t="s">
        <v>1500</v>
      </c>
      <c r="E19" s="877" t="s">
        <v>735</v>
      </c>
      <c r="L19" s="747"/>
      <c r="M19" s="747"/>
      <c r="N19" s="98"/>
    </row>
    <row r="20" spans="1:14" ht="30.75" customHeight="1">
      <c r="A20" s="496">
        <v>2.2000000000000002</v>
      </c>
      <c r="B20" s="490" t="s">
        <v>1304</v>
      </c>
      <c r="C20" s="629">
        <f>C21+C22+C23</f>
        <v>1061225</v>
      </c>
      <c r="D20" s="599" t="s">
        <v>1501</v>
      </c>
      <c r="E20" s="500" t="s">
        <v>5</v>
      </c>
    </row>
    <row r="21" spans="1:14" s="639" customFormat="1" ht="22" customHeight="1">
      <c r="A21" s="148" t="s">
        <v>665</v>
      </c>
      <c r="B21" s="719" t="s">
        <v>1199</v>
      </c>
      <c r="C21" s="744">
        <v>772994</v>
      </c>
      <c r="D21" s="745" t="s">
        <v>1498</v>
      </c>
      <c r="E21" s="877" t="s">
        <v>664</v>
      </c>
      <c r="H21" s="80"/>
      <c r="I21" s="80"/>
    </row>
    <row r="22" spans="1:14" ht="22" customHeight="1">
      <c r="A22" s="147" t="s">
        <v>666</v>
      </c>
      <c r="B22" s="419" t="s">
        <v>1200</v>
      </c>
      <c r="C22" s="630">
        <v>206302</v>
      </c>
      <c r="D22" s="378" t="s">
        <v>1499</v>
      </c>
      <c r="E22" s="876" t="s">
        <v>663</v>
      </c>
    </row>
    <row r="23" spans="1:14" s="639" customFormat="1" ht="22" customHeight="1">
      <c r="A23" s="148" t="s">
        <v>667</v>
      </c>
      <c r="B23" s="719" t="s">
        <v>1201</v>
      </c>
      <c r="C23" s="744">
        <v>81929</v>
      </c>
      <c r="D23" s="745" t="s">
        <v>1302</v>
      </c>
      <c r="E23" s="877" t="s">
        <v>736</v>
      </c>
    </row>
    <row r="24" spans="1:14" ht="37.5" customHeight="1">
      <c r="A24" s="400">
        <v>3</v>
      </c>
      <c r="B24" s="490" t="s">
        <v>668</v>
      </c>
      <c r="C24" s="629" t="s">
        <v>43</v>
      </c>
      <c r="D24" s="599" t="s">
        <v>1502</v>
      </c>
      <c r="E24" s="500" t="s">
        <v>2157</v>
      </c>
      <c r="H24" s="3"/>
    </row>
    <row r="25" spans="1:14" s="639" customFormat="1" ht="23.5" customHeight="1">
      <c r="A25" s="257">
        <v>4</v>
      </c>
      <c r="B25" s="1100" t="s">
        <v>1234</v>
      </c>
      <c r="C25" s="1078" t="s">
        <v>56</v>
      </c>
      <c r="D25" s="746" t="s">
        <v>1503</v>
      </c>
      <c r="E25" s="875" t="s">
        <v>2158</v>
      </c>
      <c r="J25" s="642"/>
    </row>
    <row r="26" spans="1:14" ht="30.75" customHeight="1">
      <c r="A26" s="400">
        <v>5</v>
      </c>
      <c r="B26" s="1094" t="s">
        <v>1235</v>
      </c>
      <c r="C26" s="629">
        <f>C27+C28</f>
        <v>250679</v>
      </c>
      <c r="D26" s="599" t="s">
        <v>1504</v>
      </c>
      <c r="E26" s="500" t="s">
        <v>609</v>
      </c>
      <c r="H26" s="79"/>
      <c r="I26" s="79"/>
    </row>
    <row r="27" spans="1:14" s="639" customFormat="1" ht="18" customHeight="1">
      <c r="A27" s="148">
        <v>5.0999999999999996</v>
      </c>
      <c r="B27" s="1101" t="s">
        <v>1236</v>
      </c>
      <c r="C27" s="744">
        <v>205720</v>
      </c>
      <c r="D27" s="745" t="s">
        <v>1505</v>
      </c>
      <c r="E27" s="877" t="s">
        <v>737</v>
      </c>
    </row>
    <row r="28" spans="1:14" ht="23.5" customHeight="1">
      <c r="A28" s="147">
        <v>5.2</v>
      </c>
      <c r="B28" s="419" t="s">
        <v>95</v>
      </c>
      <c r="C28" s="630">
        <v>44959</v>
      </c>
      <c r="D28" s="378" t="s">
        <v>1211</v>
      </c>
      <c r="E28" s="876" t="s">
        <v>738</v>
      </c>
      <c r="J28" s="4"/>
    </row>
    <row r="29" spans="1:14" s="639" customFormat="1" ht="23.5" customHeight="1">
      <c r="A29" s="257">
        <v>6</v>
      </c>
      <c r="B29" s="724" t="s">
        <v>591</v>
      </c>
      <c r="C29" s="742" t="s">
        <v>56</v>
      </c>
      <c r="D29" s="746" t="s">
        <v>1506</v>
      </c>
      <c r="E29" s="875" t="s">
        <v>2159</v>
      </c>
    </row>
    <row r="30" spans="1:14" ht="19.5" customHeight="1">
      <c r="A30" s="400">
        <v>7</v>
      </c>
      <c r="B30" s="490" t="s">
        <v>662</v>
      </c>
      <c r="C30" s="629">
        <v>176</v>
      </c>
      <c r="D30" s="599" t="s">
        <v>1507</v>
      </c>
      <c r="E30" s="500" t="s">
        <v>610</v>
      </c>
      <c r="K30" s="4"/>
    </row>
    <row r="31" spans="1:14" s="639" customFormat="1" ht="18.75" customHeight="1">
      <c r="A31" s="257">
        <v>8</v>
      </c>
      <c r="B31" s="724" t="s">
        <v>669</v>
      </c>
      <c r="C31" s="742">
        <v>11717</v>
      </c>
      <c r="D31" s="746" t="s">
        <v>1508</v>
      </c>
      <c r="E31" s="875" t="s">
        <v>611</v>
      </c>
    </row>
    <row r="32" spans="1:14" ht="20.25" customHeight="1">
      <c r="A32" s="400">
        <v>9</v>
      </c>
      <c r="B32" s="490" t="s">
        <v>670</v>
      </c>
      <c r="C32" s="629">
        <v>464</v>
      </c>
      <c r="D32" s="599" t="s">
        <v>1509</v>
      </c>
      <c r="E32" s="500" t="s">
        <v>619</v>
      </c>
    </row>
    <row r="33" spans="1:6" s="639" customFormat="1" ht="27" customHeight="1">
      <c r="A33" s="257">
        <v>10</v>
      </c>
      <c r="B33" s="1100" t="s">
        <v>1237</v>
      </c>
      <c r="C33" s="742" t="s">
        <v>56</v>
      </c>
      <c r="D33" s="746" t="s">
        <v>1510</v>
      </c>
      <c r="E33" s="875" t="s">
        <v>2160</v>
      </c>
    </row>
    <row r="34" spans="1:6" ht="28.5" customHeight="1">
      <c r="A34" s="147">
        <v>10.1</v>
      </c>
      <c r="B34" s="1102" t="s">
        <v>1238</v>
      </c>
      <c r="C34" s="630" t="s">
        <v>56</v>
      </c>
      <c r="D34" s="378" t="s">
        <v>1511</v>
      </c>
      <c r="E34" s="876" t="s">
        <v>2161</v>
      </c>
    </row>
    <row r="35" spans="1:6" s="639" customFormat="1" ht="23.5" customHeight="1">
      <c r="A35" s="170">
        <v>10.199999999999999</v>
      </c>
      <c r="B35" s="748" t="s">
        <v>96</v>
      </c>
      <c r="C35" s="749" t="s">
        <v>56</v>
      </c>
      <c r="D35" s="745" t="s">
        <v>1512</v>
      </c>
      <c r="E35" s="877" t="s">
        <v>2162</v>
      </c>
      <c r="F35" s="750"/>
    </row>
    <row r="36" spans="1:6" ht="13.5" customHeight="1">
      <c r="A36" s="1257" t="s">
        <v>756</v>
      </c>
      <c r="B36" s="1257"/>
      <c r="C36" s="126"/>
      <c r="D36" s="1258" t="s">
        <v>1513</v>
      </c>
      <c r="E36" s="1258"/>
      <c r="F36" s="600"/>
    </row>
    <row r="37" spans="1:6" ht="57" customHeight="1">
      <c r="A37" s="1254" t="s">
        <v>2163</v>
      </c>
      <c r="B37" s="1254"/>
      <c r="C37" s="1254"/>
      <c r="D37" s="1254"/>
      <c r="E37" s="1254"/>
    </row>
    <row r="38" spans="1:6">
      <c r="A38" s="1255" t="s">
        <v>2164</v>
      </c>
      <c r="B38" s="1255"/>
      <c r="C38" s="1255"/>
      <c r="D38" s="1255"/>
      <c r="E38" s="1255"/>
    </row>
    <row r="39" spans="1:6">
      <c r="A39" s="1255"/>
      <c r="B39" s="1255"/>
      <c r="C39" s="1255"/>
      <c r="D39" s="1255"/>
      <c r="E39" s="1255"/>
    </row>
  </sheetData>
  <mergeCells count="12">
    <mergeCell ref="A1:E1"/>
    <mergeCell ref="A2:E2"/>
    <mergeCell ref="A3:E3"/>
    <mergeCell ref="A4:A5"/>
    <mergeCell ref="B4:B5"/>
    <mergeCell ref="D4:D5"/>
    <mergeCell ref="E4:E5"/>
    <mergeCell ref="A37:E37"/>
    <mergeCell ref="A38:E39"/>
    <mergeCell ref="L18:N18"/>
    <mergeCell ref="A36:B36"/>
    <mergeCell ref="D36:E36"/>
  </mergeCells>
  <printOptions horizontalCentered="1"/>
  <pageMargins left="0" right="0" top="0.06" bottom="0.6" header="0.03" footer="0.39370078740157499"/>
  <pageSetup paperSize="9" orientation="portrait" r:id="rId1"/>
  <headerFooter>
    <oddFooter>&amp;L&amp;"Times New Roman,Regular"&amp;10    Afghanistan Statistical Yearbook 2023-24&amp;R&amp;"Times New Roman,Regular"&amp;10          د ۱۴۰۲ احصایيوي کالنۍ  /سالنامه احصائیوی ۱۴۰۲</oddFooter>
  </headerFooter>
  <rowBreaks count="1" manualBreakCount="1">
    <brk id="17" min="11" max="1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0"/>
  </sheetPr>
  <dimension ref="A1:AA55"/>
  <sheetViews>
    <sheetView view="pageBreakPreview" topLeftCell="E3" zoomScale="145" zoomScaleSheetLayoutView="145" workbookViewId="0">
      <selection activeCell="E3" sqref="E3:K3"/>
    </sheetView>
  </sheetViews>
  <sheetFormatPr baseColWidth="10" defaultColWidth="8.83203125" defaultRowHeight="15"/>
  <cols>
    <col min="1" max="3" width="10.6640625" hidden="1" customWidth="1"/>
    <col min="4" max="4" width="13" hidden="1" customWidth="1"/>
    <col min="5" max="5" width="7.1640625" style="100" customWidth="1"/>
    <col min="6" max="6" width="16.83203125" customWidth="1"/>
    <col min="7" max="7" width="14.5" customWidth="1"/>
    <col min="8" max="8" width="12" customWidth="1"/>
    <col min="9" max="9" width="16" customWidth="1"/>
    <col min="10" max="10" width="22" style="125" customWidth="1"/>
    <col min="11" max="11" width="5.83203125" customWidth="1"/>
    <col min="12" max="12" width="15.33203125" customWidth="1"/>
    <col min="13" max="13" width="14.6640625" style="2" customWidth="1"/>
    <col min="14" max="14" width="12.83203125" customWidth="1"/>
    <col min="15" max="15" width="13.6640625" customWidth="1"/>
    <col min="16" max="16" width="12" style="2" customWidth="1"/>
    <col min="17" max="17" width="13" customWidth="1"/>
    <col min="18" max="18" width="11.5" customWidth="1"/>
    <col min="19" max="19" width="11.5" style="2" customWidth="1"/>
    <col min="20" max="20" width="11.33203125" customWidth="1"/>
    <col min="21" max="21" width="10.5" customWidth="1"/>
    <col min="22" max="22" width="11.5" style="2" customWidth="1"/>
    <col min="23" max="23" width="10.1640625" bestFit="1" customWidth="1"/>
    <col min="24" max="27" width="10.6640625" bestFit="1" customWidth="1"/>
  </cols>
  <sheetData>
    <row r="1" spans="1:27" ht="16" hidden="1">
      <c r="A1" s="125"/>
      <c r="B1" s="125"/>
      <c r="C1" s="125"/>
      <c r="D1" s="125"/>
      <c r="E1" s="1259" t="s">
        <v>2269</v>
      </c>
      <c r="F1" s="1259"/>
      <c r="G1" s="1259"/>
      <c r="H1" s="1259"/>
      <c r="I1" s="1259"/>
      <c r="J1" s="1259"/>
      <c r="K1" s="1259"/>
      <c r="L1" s="125"/>
    </row>
    <row r="2" spans="1:27" ht="16" hidden="1">
      <c r="A2" s="125"/>
      <c r="B2" s="125"/>
      <c r="C2" s="125"/>
      <c r="D2" s="125"/>
      <c r="E2" s="1259" t="s">
        <v>2270</v>
      </c>
      <c r="F2" s="1259"/>
      <c r="G2" s="1259"/>
      <c r="H2" s="1259"/>
      <c r="I2" s="1259"/>
      <c r="J2" s="1259"/>
      <c r="K2" s="1259"/>
      <c r="L2" s="125"/>
    </row>
    <row r="3" spans="1:27" ht="25.5" customHeight="1">
      <c r="A3" s="125"/>
      <c r="B3" s="125"/>
      <c r="C3" s="125"/>
      <c r="D3" s="125"/>
      <c r="E3" s="1265" t="s">
        <v>2271</v>
      </c>
      <c r="F3" s="1265"/>
      <c r="G3" s="1265"/>
      <c r="H3" s="1265"/>
      <c r="I3" s="1265"/>
      <c r="J3" s="1265"/>
      <c r="K3" s="1265"/>
      <c r="L3" s="125"/>
      <c r="N3" s="401"/>
      <c r="O3" s="402"/>
    </row>
    <row r="4" spans="1:27" ht="15.75" customHeight="1">
      <c r="A4" s="125"/>
      <c r="B4" s="125"/>
      <c r="C4" s="125"/>
      <c r="D4" s="125"/>
      <c r="E4" s="1266" t="s">
        <v>621</v>
      </c>
      <c r="F4" s="1280" t="s">
        <v>97</v>
      </c>
      <c r="G4" s="1282">
        <v>1402</v>
      </c>
      <c r="H4" s="1283"/>
      <c r="I4" s="1284"/>
      <c r="J4" s="1285" t="s">
        <v>62</v>
      </c>
      <c r="K4" s="1286" t="s">
        <v>727</v>
      </c>
      <c r="L4" s="125"/>
    </row>
    <row r="5" spans="1:27" ht="16.5" customHeight="1">
      <c r="A5" s="1271">
        <v>1400</v>
      </c>
      <c r="B5" s="1271"/>
      <c r="C5" s="1271"/>
      <c r="D5" s="1272"/>
      <c r="E5" s="1266"/>
      <c r="F5" s="1280"/>
      <c r="G5" s="1273" t="s">
        <v>772</v>
      </c>
      <c r="H5" s="1274"/>
      <c r="I5" s="1275"/>
      <c r="J5" s="1285"/>
      <c r="K5" s="1286"/>
      <c r="L5" s="125"/>
    </row>
    <row r="6" spans="1:27" ht="15" customHeight="1">
      <c r="A6" s="331"/>
      <c r="B6" s="331"/>
      <c r="C6" s="331"/>
      <c r="D6" s="332"/>
      <c r="E6" s="1266"/>
      <c r="F6" s="1280"/>
      <c r="G6" s="1276" t="s">
        <v>732</v>
      </c>
      <c r="H6" s="1276" t="s">
        <v>755</v>
      </c>
      <c r="I6" s="1278" t="s">
        <v>754</v>
      </c>
      <c r="J6" s="1285"/>
      <c r="K6" s="1286"/>
      <c r="L6" s="115"/>
    </row>
    <row r="7" spans="1:27" ht="15.75" customHeight="1">
      <c r="A7" s="331"/>
      <c r="B7" s="331"/>
      <c r="C7" s="331"/>
      <c r="D7" s="332"/>
      <c r="E7" s="1266"/>
      <c r="F7" s="1280"/>
      <c r="G7" s="1277"/>
      <c r="H7" s="1277"/>
      <c r="I7" s="1279"/>
      <c r="J7" s="1285"/>
      <c r="K7" s="1286"/>
      <c r="L7" s="401"/>
      <c r="N7" s="402"/>
    </row>
    <row r="8" spans="1:27" ht="12" customHeight="1">
      <c r="A8" s="305" t="s">
        <v>60</v>
      </c>
      <c r="B8" s="326" t="s">
        <v>4</v>
      </c>
      <c r="C8" s="326" t="s">
        <v>6</v>
      </c>
      <c r="D8" s="333" t="s">
        <v>61</v>
      </c>
      <c r="E8" s="1267"/>
      <c r="F8" s="1281"/>
      <c r="G8" s="1221" t="s">
        <v>98</v>
      </c>
      <c r="H8" s="1221" t="s">
        <v>99</v>
      </c>
      <c r="I8" s="864" t="s">
        <v>100</v>
      </c>
      <c r="J8" s="1279"/>
      <c r="K8" s="1287"/>
      <c r="L8" s="82"/>
      <c r="M8" s="46"/>
      <c r="N8" s="47"/>
    </row>
    <row r="9" spans="1:27" ht="17.25" customHeight="1">
      <c r="A9" s="217" t="s">
        <v>56</v>
      </c>
      <c r="B9" s="334" t="s">
        <v>56</v>
      </c>
      <c r="C9" s="334" t="s">
        <v>56</v>
      </c>
      <c r="D9" s="334" t="s">
        <v>56</v>
      </c>
      <c r="E9" s="400"/>
      <c r="F9" s="421" t="s">
        <v>70</v>
      </c>
      <c r="G9" s="414">
        <f>SUM(G10:G43)</f>
        <v>4128087</v>
      </c>
      <c r="H9" s="414">
        <f>SUM(H10:H43)</f>
        <v>5717418</v>
      </c>
      <c r="I9" s="414">
        <f>SUM(I10:I43)</f>
        <v>9845505</v>
      </c>
      <c r="J9" s="422" t="s">
        <v>671</v>
      </c>
      <c r="K9" s="313"/>
      <c r="L9" s="8"/>
      <c r="M9" s="592"/>
      <c r="N9" s="48"/>
      <c r="O9" s="4"/>
      <c r="P9" s="49"/>
      <c r="S9" s="49"/>
      <c r="U9" s="4"/>
      <c r="V9" s="50"/>
    </row>
    <row r="10" spans="1:27" s="639" customFormat="1" ht="16">
      <c r="A10" s="185" t="s">
        <v>56</v>
      </c>
      <c r="B10" s="212" t="s">
        <v>56</v>
      </c>
      <c r="C10" s="212" t="s">
        <v>56</v>
      </c>
      <c r="D10" s="212" t="s">
        <v>56</v>
      </c>
      <c r="E10" s="148">
        <v>1</v>
      </c>
      <c r="F10" s="239" t="s">
        <v>101</v>
      </c>
      <c r="G10" s="212">
        <v>688306</v>
      </c>
      <c r="H10" s="212">
        <v>776312</v>
      </c>
      <c r="I10" s="212">
        <f>H10+G10</f>
        <v>1464618</v>
      </c>
      <c r="J10" s="751" t="s">
        <v>18</v>
      </c>
      <c r="K10" s="878">
        <v>1</v>
      </c>
      <c r="L10" s="25"/>
      <c r="M10" s="752"/>
      <c r="N10" s="753"/>
      <c r="P10" s="673"/>
      <c r="S10" s="673"/>
      <c r="V10" s="673"/>
    </row>
    <row r="11" spans="1:27" ht="14.25" customHeight="1">
      <c r="A11" s="185" t="s">
        <v>56</v>
      </c>
      <c r="B11" s="212" t="s">
        <v>56</v>
      </c>
      <c r="C11" s="212" t="s">
        <v>56</v>
      </c>
      <c r="D11" s="212" t="s">
        <v>56</v>
      </c>
      <c r="E11" s="147">
        <v>2</v>
      </c>
      <c r="F11" s="240" t="s">
        <v>102</v>
      </c>
      <c r="G11" s="214">
        <v>48495</v>
      </c>
      <c r="H11" s="214">
        <v>91901</v>
      </c>
      <c r="I11" s="214">
        <f t="shared" ref="I11:I43" si="0">H11+G11</f>
        <v>140396</v>
      </c>
      <c r="J11" s="252" t="s">
        <v>26</v>
      </c>
      <c r="K11" s="879">
        <v>2</v>
      </c>
      <c r="L11" s="51"/>
      <c r="M11" s="54"/>
      <c r="N11" s="51"/>
      <c r="O11" s="1292"/>
      <c r="P11" s="1291"/>
      <c r="Q11" s="1292"/>
      <c r="R11" s="1292"/>
      <c r="S11" s="1291"/>
      <c r="T11" s="1292"/>
      <c r="U11" s="1293"/>
      <c r="V11" s="1288"/>
      <c r="W11" s="1289"/>
      <c r="X11" s="55"/>
      <c r="Y11" s="56"/>
      <c r="Z11" s="52"/>
      <c r="AA11" s="52"/>
    </row>
    <row r="12" spans="1:27" s="639" customFormat="1" ht="19">
      <c r="A12" s="185" t="s">
        <v>56</v>
      </c>
      <c r="B12" s="212" t="s">
        <v>56</v>
      </c>
      <c r="C12" s="212" t="s">
        <v>56</v>
      </c>
      <c r="D12" s="212" t="s">
        <v>56</v>
      </c>
      <c r="E12" s="148">
        <v>3</v>
      </c>
      <c r="F12" s="239" t="s">
        <v>103</v>
      </c>
      <c r="G12" s="212">
        <v>85202</v>
      </c>
      <c r="H12" s="212">
        <v>118956</v>
      </c>
      <c r="I12" s="212">
        <f t="shared" si="0"/>
        <v>204158</v>
      </c>
      <c r="J12" s="751" t="s">
        <v>27</v>
      </c>
      <c r="K12" s="878">
        <v>3</v>
      </c>
      <c r="L12" s="753"/>
      <c r="M12" s="753"/>
      <c r="N12" s="753"/>
      <c r="O12" s="1292"/>
      <c r="P12" s="1291"/>
      <c r="Q12" s="1292"/>
      <c r="R12" s="1292"/>
      <c r="S12" s="1291"/>
      <c r="T12" s="1292"/>
      <c r="U12" s="1293"/>
      <c r="V12" s="1288"/>
      <c r="W12" s="1289"/>
      <c r="X12" s="754"/>
      <c r="Y12" s="755"/>
      <c r="Z12" s="756"/>
      <c r="AA12" s="756"/>
    </row>
    <row r="13" spans="1:27" ht="19">
      <c r="A13" s="185" t="s">
        <v>56</v>
      </c>
      <c r="B13" s="212" t="s">
        <v>56</v>
      </c>
      <c r="C13" s="212" t="s">
        <v>56</v>
      </c>
      <c r="D13" s="212" t="s">
        <v>56</v>
      </c>
      <c r="E13" s="147">
        <v>4</v>
      </c>
      <c r="F13" s="240" t="s">
        <v>652</v>
      </c>
      <c r="G13" s="214">
        <v>72308</v>
      </c>
      <c r="H13" s="214">
        <v>120003</v>
      </c>
      <c r="I13" s="214">
        <f t="shared" si="0"/>
        <v>192311</v>
      </c>
      <c r="J13" s="252" t="s">
        <v>1255</v>
      </c>
      <c r="K13" s="879">
        <v>4</v>
      </c>
      <c r="L13" s="51"/>
      <c r="M13" s="51"/>
      <c r="N13" s="51"/>
      <c r="O13" s="320"/>
      <c r="P13" s="319"/>
      <c r="Q13" s="320"/>
      <c r="R13" s="320"/>
      <c r="S13" s="319"/>
      <c r="T13" s="320"/>
      <c r="U13" s="321"/>
      <c r="V13" s="318"/>
      <c r="W13" s="57"/>
      <c r="X13" s="55"/>
      <c r="Y13" s="56"/>
      <c r="Z13" s="52"/>
      <c r="AA13" s="52"/>
    </row>
    <row r="14" spans="1:27" s="639" customFormat="1" ht="19">
      <c r="A14" s="185" t="s">
        <v>56</v>
      </c>
      <c r="B14" s="212" t="s">
        <v>56</v>
      </c>
      <c r="C14" s="212" t="s">
        <v>56</v>
      </c>
      <c r="D14" s="212" t="s">
        <v>56</v>
      </c>
      <c r="E14" s="148">
        <v>5</v>
      </c>
      <c r="F14" s="239" t="s">
        <v>104</v>
      </c>
      <c r="G14" s="212">
        <v>63969</v>
      </c>
      <c r="H14" s="212">
        <v>103754</v>
      </c>
      <c r="I14" s="212">
        <f t="shared" si="0"/>
        <v>167723</v>
      </c>
      <c r="J14" s="751" t="s">
        <v>19</v>
      </c>
      <c r="K14" s="878">
        <v>5</v>
      </c>
      <c r="L14" s="753"/>
      <c r="M14" s="753"/>
      <c r="N14" s="753"/>
      <c r="O14" s="758"/>
      <c r="P14" s="759"/>
      <c r="Q14" s="758"/>
      <c r="R14" s="758"/>
      <c r="S14" s="759"/>
      <c r="T14" s="758"/>
      <c r="U14" s="760"/>
      <c r="V14" s="761"/>
      <c r="W14" s="762"/>
      <c r="X14" s="754"/>
      <c r="Y14" s="755"/>
      <c r="Z14" s="756"/>
      <c r="AA14" s="756"/>
    </row>
    <row r="15" spans="1:27" ht="15.75" customHeight="1">
      <c r="A15" s="185" t="s">
        <v>56</v>
      </c>
      <c r="B15" s="212" t="s">
        <v>56</v>
      </c>
      <c r="C15" s="212" t="s">
        <v>56</v>
      </c>
      <c r="D15" s="212" t="s">
        <v>56</v>
      </c>
      <c r="E15" s="147">
        <v>6</v>
      </c>
      <c r="F15" s="240" t="s">
        <v>105</v>
      </c>
      <c r="G15" s="214">
        <v>353358</v>
      </c>
      <c r="H15" s="214">
        <v>495659</v>
      </c>
      <c r="I15" s="214">
        <f t="shared" si="0"/>
        <v>849017</v>
      </c>
      <c r="J15" s="252" t="s">
        <v>28</v>
      </c>
      <c r="K15" s="879">
        <v>6</v>
      </c>
      <c r="L15" s="51"/>
      <c r="M15" s="51"/>
      <c r="N15" s="51"/>
      <c r="O15" s="320"/>
      <c r="P15" s="319"/>
      <c r="Q15" s="320"/>
      <c r="R15" s="320"/>
      <c r="S15" s="319"/>
      <c r="T15" s="320"/>
      <c r="U15" s="321"/>
      <c r="V15" s="318"/>
      <c r="W15" s="57"/>
      <c r="X15" s="55"/>
      <c r="Y15" s="56"/>
      <c r="Z15" s="52"/>
      <c r="AA15" s="52"/>
    </row>
    <row r="16" spans="1:27" s="639" customFormat="1" ht="19">
      <c r="A16" s="185" t="s">
        <v>56</v>
      </c>
      <c r="B16" s="212" t="s">
        <v>56</v>
      </c>
      <c r="C16" s="212" t="s">
        <v>56</v>
      </c>
      <c r="D16" s="212" t="s">
        <v>56</v>
      </c>
      <c r="E16" s="148">
        <v>7</v>
      </c>
      <c r="F16" s="239" t="s">
        <v>106</v>
      </c>
      <c r="G16" s="212">
        <v>95263</v>
      </c>
      <c r="H16" s="212">
        <v>123529</v>
      </c>
      <c r="I16" s="212">
        <f t="shared" si="0"/>
        <v>218792</v>
      </c>
      <c r="J16" s="751" t="s">
        <v>29</v>
      </c>
      <c r="K16" s="878">
        <v>7</v>
      </c>
      <c r="L16" s="763"/>
      <c r="M16" s="764"/>
      <c r="N16" s="753"/>
      <c r="O16" s="758"/>
      <c r="P16" s="759"/>
      <c r="Q16" s="758"/>
      <c r="R16" s="758"/>
      <c r="S16" s="759"/>
      <c r="T16" s="758"/>
      <c r="U16" s="760"/>
      <c r="V16" s="761"/>
      <c r="W16" s="762"/>
      <c r="X16" s="754"/>
      <c r="Y16" s="755"/>
      <c r="Z16" s="756"/>
      <c r="AA16" s="756"/>
    </row>
    <row r="17" spans="1:27" ht="19">
      <c r="A17" s="185" t="s">
        <v>56</v>
      </c>
      <c r="B17" s="212" t="s">
        <v>56</v>
      </c>
      <c r="C17" s="212" t="s">
        <v>56</v>
      </c>
      <c r="D17" s="212" t="s">
        <v>56</v>
      </c>
      <c r="E17" s="147">
        <v>8</v>
      </c>
      <c r="F17" s="240" t="s">
        <v>107</v>
      </c>
      <c r="G17" s="214">
        <v>15739</v>
      </c>
      <c r="H17" s="214">
        <v>17736</v>
      </c>
      <c r="I17" s="214">
        <f t="shared" si="0"/>
        <v>33475</v>
      </c>
      <c r="J17" s="252" t="s">
        <v>30</v>
      </c>
      <c r="K17" s="879">
        <v>8</v>
      </c>
      <c r="L17" s="58"/>
      <c r="M17" s="59"/>
      <c r="N17" s="51"/>
      <c r="O17" s="320"/>
      <c r="P17" s="319"/>
      <c r="Q17" s="320"/>
      <c r="R17" s="320"/>
      <c r="S17" s="319"/>
      <c r="T17" s="320"/>
      <c r="U17" s="321"/>
      <c r="V17" s="318"/>
      <c r="W17" s="57"/>
      <c r="X17" s="55"/>
      <c r="Y17" s="56"/>
      <c r="Z17" s="52"/>
      <c r="AA17" s="52"/>
    </row>
    <row r="18" spans="1:27" s="639" customFormat="1" ht="19">
      <c r="A18" s="185" t="s">
        <v>56</v>
      </c>
      <c r="B18" s="212" t="s">
        <v>56</v>
      </c>
      <c r="C18" s="212" t="s">
        <v>56</v>
      </c>
      <c r="D18" s="212" t="s">
        <v>56</v>
      </c>
      <c r="E18" s="148">
        <v>9</v>
      </c>
      <c r="F18" s="239" t="s">
        <v>108</v>
      </c>
      <c r="G18" s="212">
        <v>155855</v>
      </c>
      <c r="H18" s="212">
        <v>219781</v>
      </c>
      <c r="I18" s="212">
        <f t="shared" si="0"/>
        <v>375636</v>
      </c>
      <c r="J18" s="643" t="s">
        <v>20</v>
      </c>
      <c r="K18" s="878">
        <v>9</v>
      </c>
      <c r="L18" s="752"/>
      <c r="M18" s="764"/>
      <c r="N18" s="753"/>
      <c r="O18" s="758"/>
      <c r="P18" s="759"/>
      <c r="Q18" s="758"/>
      <c r="R18" s="758"/>
      <c r="S18" s="759"/>
      <c r="T18" s="758"/>
      <c r="U18" s="760"/>
      <c r="V18" s="761"/>
      <c r="W18" s="762"/>
      <c r="X18" s="754"/>
      <c r="Y18" s="755"/>
      <c r="Z18" s="756"/>
      <c r="AA18" s="756"/>
    </row>
    <row r="19" spans="1:27" ht="19">
      <c r="A19" s="185" t="s">
        <v>56</v>
      </c>
      <c r="B19" s="212" t="s">
        <v>56</v>
      </c>
      <c r="C19" s="212" t="s">
        <v>56</v>
      </c>
      <c r="D19" s="212" t="s">
        <v>56</v>
      </c>
      <c r="E19" s="147">
        <v>10</v>
      </c>
      <c r="F19" s="240" t="s">
        <v>109</v>
      </c>
      <c r="G19" s="214">
        <v>71851</v>
      </c>
      <c r="H19" s="214">
        <v>76456</v>
      </c>
      <c r="I19" s="214">
        <f t="shared" si="0"/>
        <v>148307</v>
      </c>
      <c r="J19" s="252" t="s">
        <v>21</v>
      </c>
      <c r="K19" s="879">
        <v>10</v>
      </c>
      <c r="L19" s="51"/>
      <c r="M19" s="51"/>
      <c r="N19" s="51"/>
      <c r="O19" s="320"/>
      <c r="P19" s="319"/>
      <c r="Q19" s="320"/>
      <c r="R19" s="320"/>
      <c r="S19" s="319"/>
      <c r="T19" s="320"/>
      <c r="U19" s="321"/>
      <c r="V19" s="318"/>
      <c r="W19" s="57"/>
      <c r="X19" s="55"/>
      <c r="Y19" s="56"/>
      <c r="Z19" s="52"/>
      <c r="AA19" s="52"/>
    </row>
    <row r="20" spans="1:27" s="639" customFormat="1" ht="19">
      <c r="A20" s="185" t="s">
        <v>56</v>
      </c>
      <c r="B20" s="212" t="s">
        <v>56</v>
      </c>
      <c r="C20" s="212" t="s">
        <v>56</v>
      </c>
      <c r="D20" s="212" t="s">
        <v>56</v>
      </c>
      <c r="E20" s="148">
        <v>11</v>
      </c>
      <c r="F20" s="239" t="s">
        <v>110</v>
      </c>
      <c r="G20" s="212">
        <v>148314</v>
      </c>
      <c r="H20" s="212">
        <v>240719</v>
      </c>
      <c r="I20" s="212">
        <f t="shared" si="0"/>
        <v>389033</v>
      </c>
      <c r="J20" s="751" t="s">
        <v>31</v>
      </c>
      <c r="K20" s="878">
        <v>11</v>
      </c>
      <c r="L20" s="753"/>
      <c r="M20" s="753"/>
      <c r="N20" s="753"/>
      <c r="O20" s="758"/>
      <c r="P20" s="759"/>
      <c r="Q20" s="758"/>
      <c r="R20" s="758"/>
      <c r="S20" s="759"/>
      <c r="T20" s="758"/>
      <c r="U20" s="760"/>
      <c r="V20" s="761"/>
      <c r="W20" s="762"/>
      <c r="X20" s="754"/>
      <c r="Y20" s="755"/>
      <c r="Z20" s="756"/>
      <c r="AA20" s="756"/>
    </row>
    <row r="21" spans="1:27" ht="19">
      <c r="A21" s="185" t="s">
        <v>56</v>
      </c>
      <c r="B21" s="212" t="s">
        <v>56</v>
      </c>
      <c r="C21" s="212" t="s">
        <v>56</v>
      </c>
      <c r="D21" s="212" t="s">
        <v>56</v>
      </c>
      <c r="E21" s="147">
        <v>12</v>
      </c>
      <c r="F21" s="240" t="s">
        <v>111</v>
      </c>
      <c r="G21" s="214">
        <v>49677</v>
      </c>
      <c r="H21" s="214">
        <v>128752</v>
      </c>
      <c r="I21" s="214">
        <f t="shared" si="0"/>
        <v>178429</v>
      </c>
      <c r="J21" s="252" t="s">
        <v>32</v>
      </c>
      <c r="K21" s="879">
        <v>12</v>
      </c>
      <c r="L21" s="51"/>
      <c r="M21" s="51"/>
      <c r="N21" s="51"/>
      <c r="O21" s="320"/>
      <c r="P21" s="319"/>
      <c r="Q21" s="320"/>
      <c r="R21" s="320"/>
      <c r="S21" s="319"/>
      <c r="T21" s="320"/>
      <c r="U21" s="321"/>
      <c r="V21" s="318"/>
      <c r="W21" s="57"/>
      <c r="X21" s="55"/>
      <c r="Y21" s="56"/>
      <c r="Z21" s="52"/>
      <c r="AA21" s="52"/>
    </row>
    <row r="22" spans="1:27" s="639" customFormat="1" ht="19">
      <c r="A22" s="185" t="s">
        <v>56</v>
      </c>
      <c r="B22" s="212" t="s">
        <v>56</v>
      </c>
      <c r="C22" s="212" t="s">
        <v>56</v>
      </c>
      <c r="D22" s="212" t="s">
        <v>56</v>
      </c>
      <c r="E22" s="148">
        <v>13</v>
      </c>
      <c r="F22" s="239" t="s">
        <v>112</v>
      </c>
      <c r="G22" s="212">
        <v>58267</v>
      </c>
      <c r="H22" s="212">
        <v>157903</v>
      </c>
      <c r="I22" s="212">
        <f t="shared" si="0"/>
        <v>216170</v>
      </c>
      <c r="J22" s="751" t="s">
        <v>33</v>
      </c>
      <c r="K22" s="878">
        <v>13</v>
      </c>
      <c r="L22" s="753"/>
      <c r="M22" s="753"/>
      <c r="N22" s="753"/>
      <c r="O22" s="758"/>
      <c r="P22" s="759"/>
      <c r="Q22" s="758"/>
      <c r="R22" s="758"/>
      <c r="S22" s="759"/>
      <c r="T22" s="758"/>
      <c r="U22" s="760"/>
      <c r="V22" s="761"/>
      <c r="W22" s="762"/>
      <c r="X22" s="754"/>
      <c r="Y22" s="755"/>
      <c r="Z22" s="756"/>
      <c r="AA22" s="756"/>
    </row>
    <row r="23" spans="1:27" ht="19">
      <c r="A23" s="185" t="s">
        <v>56</v>
      </c>
      <c r="B23" s="212" t="s">
        <v>56</v>
      </c>
      <c r="C23" s="212" t="s">
        <v>56</v>
      </c>
      <c r="D23" s="212" t="s">
        <v>56</v>
      </c>
      <c r="E23" s="147">
        <v>14</v>
      </c>
      <c r="F23" s="240" t="s">
        <v>113</v>
      </c>
      <c r="G23" s="214">
        <v>83239</v>
      </c>
      <c r="H23" s="214">
        <v>182375</v>
      </c>
      <c r="I23" s="214">
        <f t="shared" si="0"/>
        <v>265614</v>
      </c>
      <c r="J23" s="252" t="s">
        <v>34</v>
      </c>
      <c r="K23" s="879">
        <v>14</v>
      </c>
      <c r="L23" s="51"/>
      <c r="M23" s="51"/>
      <c r="N23" s="51"/>
      <c r="O23" s="320"/>
      <c r="P23" s="319"/>
      <c r="Q23" s="320"/>
      <c r="R23" s="320"/>
      <c r="S23" s="319"/>
      <c r="T23" s="320"/>
      <c r="U23" s="321"/>
      <c r="V23" s="318"/>
      <c r="W23" s="57"/>
      <c r="X23" s="55"/>
      <c r="Y23" s="56"/>
      <c r="Z23" s="52"/>
      <c r="AA23" s="52"/>
    </row>
    <row r="24" spans="1:27" s="639" customFormat="1" ht="19">
      <c r="A24" s="185" t="s">
        <v>56</v>
      </c>
      <c r="B24" s="212" t="s">
        <v>56</v>
      </c>
      <c r="C24" s="212" t="s">
        <v>56</v>
      </c>
      <c r="D24" s="212" t="s">
        <v>56</v>
      </c>
      <c r="E24" s="148">
        <v>15</v>
      </c>
      <c r="F24" s="239" t="s">
        <v>763</v>
      </c>
      <c r="G24" s="212">
        <v>88152</v>
      </c>
      <c r="H24" s="212">
        <v>117813</v>
      </c>
      <c r="I24" s="212">
        <f t="shared" si="0"/>
        <v>205965</v>
      </c>
      <c r="J24" s="643" t="s">
        <v>729</v>
      </c>
      <c r="K24" s="878">
        <v>15</v>
      </c>
      <c r="L24" s="753"/>
      <c r="M24" s="753"/>
      <c r="N24" s="753"/>
      <c r="O24" s="758"/>
      <c r="P24" s="759"/>
      <c r="Q24" s="758"/>
      <c r="R24" s="758"/>
      <c r="S24" s="759"/>
      <c r="T24" s="758"/>
      <c r="U24" s="760"/>
      <c r="V24" s="761"/>
      <c r="W24" s="762"/>
      <c r="X24" s="754"/>
      <c r="Y24" s="755"/>
      <c r="Z24" s="756"/>
      <c r="AA24" s="756"/>
    </row>
    <row r="25" spans="1:27" ht="19">
      <c r="A25" s="185" t="s">
        <v>56</v>
      </c>
      <c r="B25" s="212" t="s">
        <v>56</v>
      </c>
      <c r="C25" s="212" t="s">
        <v>56</v>
      </c>
      <c r="D25" s="212" t="s">
        <v>56</v>
      </c>
      <c r="E25" s="147">
        <v>16</v>
      </c>
      <c r="F25" s="240" t="s">
        <v>114</v>
      </c>
      <c r="G25" s="214">
        <v>20968</v>
      </c>
      <c r="H25" s="214">
        <v>24581</v>
      </c>
      <c r="I25" s="214">
        <f t="shared" si="0"/>
        <v>45549</v>
      </c>
      <c r="J25" s="252" t="s">
        <v>35</v>
      </c>
      <c r="K25" s="879">
        <v>16</v>
      </c>
      <c r="L25" s="51"/>
      <c r="M25" s="51"/>
      <c r="N25" s="51"/>
      <c r="O25" s="320"/>
      <c r="P25" s="319"/>
      <c r="Q25" s="320"/>
      <c r="R25" s="320"/>
      <c r="S25" s="319"/>
      <c r="T25" s="320"/>
      <c r="U25" s="321"/>
      <c r="V25" s="318"/>
      <c r="W25" s="57"/>
      <c r="X25" s="55"/>
      <c r="Y25" s="56"/>
      <c r="Z25" s="52"/>
      <c r="AA25" s="52"/>
    </row>
    <row r="26" spans="1:27" s="639" customFormat="1" ht="18" customHeight="1">
      <c r="A26" s="185" t="s">
        <v>56</v>
      </c>
      <c r="B26" s="212" t="s">
        <v>56</v>
      </c>
      <c r="C26" s="212" t="s">
        <v>56</v>
      </c>
      <c r="D26" s="212" t="s">
        <v>56</v>
      </c>
      <c r="E26" s="148">
        <v>17</v>
      </c>
      <c r="F26" s="239" t="s">
        <v>115</v>
      </c>
      <c r="G26" s="212">
        <v>188124</v>
      </c>
      <c r="H26" s="212">
        <v>213003</v>
      </c>
      <c r="I26" s="212">
        <f t="shared" si="0"/>
        <v>401127</v>
      </c>
      <c r="J26" s="751" t="s">
        <v>36</v>
      </c>
      <c r="K26" s="878">
        <v>17</v>
      </c>
      <c r="L26" s="753"/>
      <c r="M26" s="753"/>
      <c r="N26" s="753"/>
      <c r="O26" s="758"/>
      <c r="P26" s="759"/>
      <c r="Q26" s="758"/>
      <c r="R26" s="758"/>
      <c r="S26" s="759"/>
      <c r="T26" s="758"/>
      <c r="U26" s="760"/>
      <c r="V26" s="761"/>
      <c r="W26" s="762"/>
      <c r="X26" s="754"/>
      <c r="Y26" s="755"/>
      <c r="Z26" s="756"/>
      <c r="AA26" s="756"/>
    </row>
    <row r="27" spans="1:27" ht="19">
      <c r="A27" s="185" t="s">
        <v>56</v>
      </c>
      <c r="B27" s="212" t="s">
        <v>56</v>
      </c>
      <c r="C27" s="212" t="s">
        <v>56</v>
      </c>
      <c r="D27" s="212" t="s">
        <v>56</v>
      </c>
      <c r="E27" s="147">
        <v>18</v>
      </c>
      <c r="F27" s="240" t="s">
        <v>116</v>
      </c>
      <c r="G27" s="214">
        <v>189740</v>
      </c>
      <c r="H27" s="214">
        <v>229187</v>
      </c>
      <c r="I27" s="214">
        <f t="shared" si="0"/>
        <v>418927</v>
      </c>
      <c r="J27" s="252" t="s">
        <v>37</v>
      </c>
      <c r="K27" s="879">
        <v>18</v>
      </c>
      <c r="L27" s="51"/>
      <c r="M27" s="51"/>
      <c r="N27" s="51"/>
      <c r="O27" s="57"/>
      <c r="P27" s="318"/>
      <c r="Q27" s="320"/>
      <c r="R27" s="320"/>
      <c r="S27" s="319"/>
      <c r="T27" s="320"/>
      <c r="U27" s="321"/>
      <c r="V27" s="318"/>
      <c r="W27" s="57"/>
      <c r="X27" s="55"/>
      <c r="Y27" s="56"/>
      <c r="Z27" s="52"/>
      <c r="AA27" s="52"/>
    </row>
    <row r="28" spans="1:27" s="639" customFormat="1" ht="19">
      <c r="A28" s="185" t="s">
        <v>56</v>
      </c>
      <c r="B28" s="212" t="s">
        <v>56</v>
      </c>
      <c r="C28" s="212" t="s">
        <v>56</v>
      </c>
      <c r="D28" s="212" t="s">
        <v>56</v>
      </c>
      <c r="E28" s="148">
        <v>19</v>
      </c>
      <c r="F28" s="239" t="s">
        <v>117</v>
      </c>
      <c r="G28" s="212">
        <v>160869</v>
      </c>
      <c r="H28" s="212">
        <v>223105</v>
      </c>
      <c r="I28" s="212">
        <f t="shared" si="0"/>
        <v>383974</v>
      </c>
      <c r="J28" s="643" t="s">
        <v>38</v>
      </c>
      <c r="K28" s="878">
        <v>19</v>
      </c>
      <c r="L28" s="753"/>
      <c r="M28" s="753"/>
      <c r="N28" s="753"/>
      <c r="O28" s="758"/>
      <c r="P28" s="759"/>
      <c r="Q28" s="758"/>
      <c r="R28" s="758"/>
      <c r="S28" s="759"/>
      <c r="T28" s="758"/>
      <c r="U28" s="760"/>
      <c r="V28" s="761"/>
      <c r="W28" s="762"/>
      <c r="X28" s="754"/>
      <c r="Y28" s="755"/>
      <c r="Z28" s="756"/>
      <c r="AA28" s="756"/>
    </row>
    <row r="29" spans="1:27" ht="19">
      <c r="A29" s="185" t="s">
        <v>56</v>
      </c>
      <c r="B29" s="212" t="s">
        <v>56</v>
      </c>
      <c r="C29" s="212" t="s">
        <v>56</v>
      </c>
      <c r="D29" s="212" t="s">
        <v>56</v>
      </c>
      <c r="E29" s="147">
        <v>20</v>
      </c>
      <c r="F29" s="240" t="s">
        <v>118</v>
      </c>
      <c r="G29" s="214">
        <v>63149</v>
      </c>
      <c r="H29" s="214">
        <v>79118</v>
      </c>
      <c r="I29" s="214">
        <f t="shared" si="0"/>
        <v>142267</v>
      </c>
      <c r="J29" s="238" t="s">
        <v>39</v>
      </c>
      <c r="K29" s="879">
        <v>20</v>
      </c>
      <c r="L29" s="51"/>
      <c r="M29" s="51"/>
      <c r="N29" s="51"/>
      <c r="O29" s="320"/>
      <c r="P29" s="319"/>
      <c r="Q29" s="320"/>
      <c r="R29" s="320"/>
      <c r="S29" s="319"/>
      <c r="T29" s="320"/>
      <c r="U29" s="321"/>
      <c r="V29" s="318"/>
      <c r="W29" s="57"/>
      <c r="X29" s="55"/>
      <c r="Y29" s="56"/>
      <c r="Z29" s="52"/>
      <c r="AA29" s="52"/>
    </row>
    <row r="30" spans="1:27" s="639" customFormat="1" ht="19">
      <c r="A30" s="185" t="s">
        <v>56</v>
      </c>
      <c r="B30" s="212" t="s">
        <v>56</v>
      </c>
      <c r="C30" s="212" t="s">
        <v>56</v>
      </c>
      <c r="D30" s="212" t="s">
        <v>56</v>
      </c>
      <c r="E30" s="148">
        <v>21</v>
      </c>
      <c r="F30" s="239" t="s">
        <v>119</v>
      </c>
      <c r="G30" s="212">
        <v>260010</v>
      </c>
      <c r="H30" s="212">
        <v>288420</v>
      </c>
      <c r="I30" s="212">
        <f t="shared" si="0"/>
        <v>548430</v>
      </c>
      <c r="J30" s="643" t="s">
        <v>40</v>
      </c>
      <c r="K30" s="878">
        <v>21</v>
      </c>
      <c r="L30" s="753"/>
      <c r="M30" s="753"/>
      <c r="N30" s="753"/>
      <c r="O30" s="758"/>
      <c r="P30" s="759"/>
      <c r="Q30" s="758"/>
      <c r="R30" s="758"/>
      <c r="S30" s="759"/>
      <c r="T30" s="758"/>
      <c r="U30" s="760"/>
      <c r="V30" s="761"/>
      <c r="W30" s="762"/>
      <c r="X30" s="754"/>
      <c r="Y30" s="755"/>
      <c r="Z30" s="756"/>
      <c r="AA30" s="756"/>
    </row>
    <row r="31" spans="1:27" ht="16.5" customHeight="1">
      <c r="A31" s="185" t="s">
        <v>56</v>
      </c>
      <c r="B31" s="212" t="s">
        <v>56</v>
      </c>
      <c r="C31" s="212" t="s">
        <v>56</v>
      </c>
      <c r="D31" s="212" t="s">
        <v>56</v>
      </c>
      <c r="E31" s="147">
        <v>22</v>
      </c>
      <c r="F31" s="240" t="s">
        <v>120</v>
      </c>
      <c r="G31" s="214">
        <v>75004</v>
      </c>
      <c r="H31" s="214">
        <v>91239</v>
      </c>
      <c r="I31" s="214">
        <f t="shared" si="0"/>
        <v>166243</v>
      </c>
      <c r="J31" s="238" t="s">
        <v>41</v>
      </c>
      <c r="K31" s="879">
        <v>22</v>
      </c>
      <c r="L31" s="51"/>
      <c r="M31" s="51"/>
      <c r="N31" s="51"/>
      <c r="O31" s="320"/>
      <c r="P31" s="319"/>
      <c r="Q31" s="320"/>
      <c r="R31" s="320"/>
      <c r="S31" s="319"/>
      <c r="T31" s="320"/>
      <c r="U31" s="321"/>
      <c r="V31" s="318"/>
      <c r="W31" s="57"/>
      <c r="X31" s="55"/>
      <c r="Y31" s="56"/>
      <c r="Z31" s="52"/>
      <c r="AA31" s="52"/>
    </row>
    <row r="32" spans="1:27" s="639" customFormat="1" ht="19">
      <c r="A32" s="185" t="s">
        <v>56</v>
      </c>
      <c r="B32" s="212" t="s">
        <v>56</v>
      </c>
      <c r="C32" s="212" t="s">
        <v>56</v>
      </c>
      <c r="D32" s="212" t="s">
        <v>56</v>
      </c>
      <c r="E32" s="148">
        <v>23</v>
      </c>
      <c r="F32" s="239" t="s">
        <v>121</v>
      </c>
      <c r="G32" s="212">
        <v>82611</v>
      </c>
      <c r="H32" s="212">
        <v>131648</v>
      </c>
      <c r="I32" s="212">
        <f t="shared" si="0"/>
        <v>214259</v>
      </c>
      <c r="J32" s="751" t="s">
        <v>22</v>
      </c>
      <c r="K32" s="878">
        <v>23</v>
      </c>
      <c r="L32" s="753"/>
      <c r="M32" s="753"/>
      <c r="N32" s="753"/>
      <c r="O32" s="758"/>
      <c r="P32" s="759"/>
      <c r="Q32" s="758"/>
      <c r="R32" s="758"/>
      <c r="S32" s="759"/>
      <c r="T32" s="758"/>
      <c r="U32" s="760"/>
      <c r="V32" s="761"/>
      <c r="W32" s="762"/>
      <c r="X32" s="754"/>
      <c r="Y32" s="755"/>
      <c r="Z32" s="756"/>
      <c r="AA32" s="756"/>
    </row>
    <row r="33" spans="1:27" ht="15.75" customHeight="1">
      <c r="A33" s="185" t="s">
        <v>56</v>
      </c>
      <c r="B33" s="212" t="s">
        <v>56</v>
      </c>
      <c r="C33" s="212" t="s">
        <v>56</v>
      </c>
      <c r="D33" s="212" t="s">
        <v>56</v>
      </c>
      <c r="E33" s="147">
        <v>24</v>
      </c>
      <c r="F33" s="298" t="s">
        <v>122</v>
      </c>
      <c r="G33" s="214">
        <v>66139</v>
      </c>
      <c r="H33" s="214">
        <v>72944</v>
      </c>
      <c r="I33" s="214">
        <f t="shared" si="0"/>
        <v>139083</v>
      </c>
      <c r="J33" s="252" t="s">
        <v>23</v>
      </c>
      <c r="K33" s="879">
        <v>24</v>
      </c>
      <c r="L33" s="51"/>
      <c r="M33" s="51"/>
      <c r="N33" s="51"/>
      <c r="O33" s="320"/>
      <c r="P33" s="319"/>
      <c r="Q33" s="320"/>
      <c r="R33" s="320"/>
      <c r="S33" s="319"/>
      <c r="T33" s="320"/>
      <c r="U33" s="321"/>
      <c r="V33" s="318"/>
      <c r="W33" s="57"/>
      <c r="X33" s="55"/>
      <c r="Y33" s="56"/>
      <c r="Z33" s="52"/>
      <c r="AA33" s="52"/>
    </row>
    <row r="34" spans="1:27" s="639" customFormat="1" ht="19">
      <c r="A34" s="185" t="s">
        <v>56</v>
      </c>
      <c r="B34" s="212" t="s">
        <v>56</v>
      </c>
      <c r="C34" s="212" t="s">
        <v>56</v>
      </c>
      <c r="D34" s="212" t="s">
        <v>56</v>
      </c>
      <c r="E34" s="148">
        <v>25</v>
      </c>
      <c r="F34" s="239" t="s">
        <v>123</v>
      </c>
      <c r="G34" s="212">
        <v>12860</v>
      </c>
      <c r="H34" s="212">
        <v>55297</v>
      </c>
      <c r="I34" s="212">
        <f t="shared" si="0"/>
        <v>68157</v>
      </c>
      <c r="J34" s="751" t="s">
        <v>42</v>
      </c>
      <c r="K34" s="878">
        <v>25</v>
      </c>
      <c r="L34" s="753"/>
      <c r="M34" s="753"/>
      <c r="N34" s="753"/>
      <c r="O34" s="758"/>
      <c r="P34" s="759"/>
      <c r="Q34" s="758"/>
      <c r="R34" s="758"/>
      <c r="S34" s="759"/>
      <c r="T34" s="758"/>
      <c r="U34" s="760"/>
      <c r="V34" s="761"/>
      <c r="W34" s="762"/>
      <c r="X34" s="754"/>
      <c r="Y34" s="755"/>
      <c r="Z34" s="756"/>
      <c r="AA34" s="756"/>
    </row>
    <row r="35" spans="1:27" ht="15" customHeight="1">
      <c r="A35" s="185" t="s">
        <v>56</v>
      </c>
      <c r="B35" s="212" t="s">
        <v>56</v>
      </c>
      <c r="C35" s="212" t="s">
        <v>56</v>
      </c>
      <c r="D35" s="212" t="s">
        <v>56</v>
      </c>
      <c r="E35" s="147">
        <v>26</v>
      </c>
      <c r="F35" s="240" t="s">
        <v>124</v>
      </c>
      <c r="G35" s="214">
        <v>22859</v>
      </c>
      <c r="H35" s="214">
        <v>62111</v>
      </c>
      <c r="I35" s="214">
        <f t="shared" si="0"/>
        <v>84970</v>
      </c>
      <c r="J35" s="252" t="s">
        <v>44</v>
      </c>
      <c r="K35" s="879">
        <v>26</v>
      </c>
      <c r="L35" s="51"/>
      <c r="M35" s="51"/>
      <c r="N35" s="51"/>
      <c r="O35" s="320"/>
      <c r="P35" s="319"/>
      <c r="Q35" s="320"/>
      <c r="R35" s="320"/>
      <c r="S35" s="319"/>
      <c r="T35" s="320"/>
      <c r="U35" s="321"/>
      <c r="V35" s="318"/>
      <c r="W35" s="57"/>
      <c r="X35" s="55"/>
      <c r="Y35" s="56"/>
      <c r="Z35" s="52"/>
      <c r="AA35" s="52"/>
    </row>
    <row r="36" spans="1:27" s="639" customFormat="1" ht="19">
      <c r="A36" s="185" t="s">
        <v>56</v>
      </c>
      <c r="B36" s="212" t="s">
        <v>56</v>
      </c>
      <c r="C36" s="212" t="s">
        <v>56</v>
      </c>
      <c r="D36" s="212" t="s">
        <v>56</v>
      </c>
      <c r="E36" s="148">
        <v>27</v>
      </c>
      <c r="F36" s="239" t="s">
        <v>125</v>
      </c>
      <c r="G36" s="212">
        <v>90061</v>
      </c>
      <c r="H36" s="212">
        <v>173301</v>
      </c>
      <c r="I36" s="212">
        <f t="shared" si="0"/>
        <v>263362</v>
      </c>
      <c r="J36" s="751" t="s">
        <v>45</v>
      </c>
      <c r="K36" s="878">
        <v>27</v>
      </c>
      <c r="L36" s="753"/>
      <c r="M36" s="753"/>
      <c r="N36" s="753"/>
      <c r="O36" s="758"/>
      <c r="P36" s="759"/>
      <c r="Q36" s="758"/>
      <c r="R36" s="758"/>
      <c r="S36" s="759"/>
      <c r="T36" s="758"/>
      <c r="U36" s="760"/>
      <c r="V36" s="761"/>
      <c r="W36" s="762"/>
      <c r="X36" s="754"/>
      <c r="Y36" s="755"/>
      <c r="Z36" s="756"/>
      <c r="AA36" s="756"/>
    </row>
    <row r="37" spans="1:27" ht="19">
      <c r="A37" s="185" t="s">
        <v>56</v>
      </c>
      <c r="B37" s="212" t="s">
        <v>56</v>
      </c>
      <c r="C37" s="212" t="s">
        <v>56</v>
      </c>
      <c r="D37" s="212" t="s">
        <v>56</v>
      </c>
      <c r="E37" s="147">
        <v>28</v>
      </c>
      <c r="F37" s="240" t="s">
        <v>126</v>
      </c>
      <c r="G37" s="214">
        <v>104291</v>
      </c>
      <c r="H37" s="214">
        <v>126976</v>
      </c>
      <c r="I37" s="214">
        <f t="shared" si="0"/>
        <v>231267</v>
      </c>
      <c r="J37" s="238" t="s">
        <v>46</v>
      </c>
      <c r="K37" s="879">
        <v>28</v>
      </c>
      <c r="L37" s="51"/>
      <c r="M37" s="51"/>
      <c r="N37" s="51"/>
      <c r="O37" s="320"/>
      <c r="P37" s="319"/>
      <c r="Q37" s="320"/>
      <c r="R37" s="320"/>
      <c r="S37" s="319"/>
      <c r="T37" s="320"/>
      <c r="U37" s="61"/>
      <c r="V37" s="62"/>
      <c r="W37" s="57"/>
      <c r="X37" s="55"/>
      <c r="Y37" s="56"/>
      <c r="Z37" s="52"/>
      <c r="AA37" s="52"/>
    </row>
    <row r="38" spans="1:27" s="639" customFormat="1" ht="19">
      <c r="A38" s="185" t="s">
        <v>56</v>
      </c>
      <c r="B38" s="212" t="s">
        <v>56</v>
      </c>
      <c r="C38" s="212" t="s">
        <v>56</v>
      </c>
      <c r="D38" s="212" t="s">
        <v>56</v>
      </c>
      <c r="E38" s="148">
        <v>29</v>
      </c>
      <c r="F38" s="239" t="s">
        <v>127</v>
      </c>
      <c r="G38" s="212">
        <v>164317</v>
      </c>
      <c r="H38" s="212">
        <v>190947</v>
      </c>
      <c r="I38" s="212">
        <f t="shared" si="0"/>
        <v>355264</v>
      </c>
      <c r="J38" s="643" t="s">
        <v>47</v>
      </c>
      <c r="K38" s="878">
        <v>29</v>
      </c>
      <c r="L38" s="757"/>
      <c r="M38" s="766"/>
      <c r="N38" s="757"/>
      <c r="O38" s="758"/>
      <c r="P38" s="759"/>
      <c r="Q38" s="758"/>
      <c r="R38" s="758"/>
      <c r="S38" s="759"/>
      <c r="T38" s="758"/>
      <c r="U38" s="760"/>
      <c r="V38" s="761"/>
      <c r="W38" s="762"/>
      <c r="X38" s="754"/>
      <c r="Y38" s="755"/>
      <c r="Z38" s="756"/>
      <c r="AA38" s="756"/>
    </row>
    <row r="39" spans="1:27" ht="14.25" customHeight="1">
      <c r="A39" s="185" t="s">
        <v>56</v>
      </c>
      <c r="B39" s="212" t="s">
        <v>56</v>
      </c>
      <c r="C39" s="212" t="s">
        <v>56</v>
      </c>
      <c r="D39" s="212" t="s">
        <v>56</v>
      </c>
      <c r="E39" s="147">
        <v>30</v>
      </c>
      <c r="F39" s="240" t="s">
        <v>128</v>
      </c>
      <c r="G39" s="214">
        <v>60168</v>
      </c>
      <c r="H39" s="214">
        <v>157832</v>
      </c>
      <c r="I39" s="214">
        <f t="shared" si="0"/>
        <v>218000</v>
      </c>
      <c r="J39" s="252" t="s">
        <v>48</v>
      </c>
      <c r="K39" s="879">
        <v>30</v>
      </c>
      <c r="L39" s="53"/>
      <c r="M39" s="63"/>
      <c r="N39" s="53"/>
      <c r="O39" s="320"/>
      <c r="P39" s="319"/>
      <c r="Q39" s="320"/>
      <c r="R39" s="320"/>
      <c r="S39" s="319"/>
      <c r="T39" s="320"/>
      <c r="U39" s="321"/>
      <c r="V39" s="318"/>
      <c r="W39" s="57"/>
      <c r="X39" s="55"/>
      <c r="Y39" s="56"/>
      <c r="Z39" s="52"/>
      <c r="AA39" s="52"/>
    </row>
    <row r="40" spans="1:27" s="639" customFormat="1" ht="16.5" customHeight="1">
      <c r="A40" s="185" t="s">
        <v>56</v>
      </c>
      <c r="B40" s="212" t="s">
        <v>56</v>
      </c>
      <c r="C40" s="212" t="s">
        <v>56</v>
      </c>
      <c r="D40" s="212" t="s">
        <v>56</v>
      </c>
      <c r="E40" s="148">
        <v>31</v>
      </c>
      <c r="F40" s="239" t="s">
        <v>129</v>
      </c>
      <c r="G40" s="212">
        <v>42510</v>
      </c>
      <c r="H40" s="212">
        <v>98135</v>
      </c>
      <c r="I40" s="212">
        <f t="shared" si="0"/>
        <v>140645</v>
      </c>
      <c r="J40" s="751" t="s">
        <v>24</v>
      </c>
      <c r="K40" s="878">
        <v>31</v>
      </c>
      <c r="L40" s="757"/>
      <c r="M40" s="766"/>
      <c r="N40" s="757"/>
      <c r="O40" s="758"/>
      <c r="P40" s="759"/>
      <c r="Q40" s="758"/>
      <c r="R40" s="758"/>
      <c r="S40" s="759"/>
      <c r="T40" s="758"/>
      <c r="U40" s="760"/>
      <c r="V40" s="761"/>
      <c r="W40" s="762"/>
      <c r="X40" s="754"/>
      <c r="Y40" s="755"/>
      <c r="Z40" s="756"/>
      <c r="AA40" s="756"/>
    </row>
    <row r="41" spans="1:27" ht="16.5" customHeight="1">
      <c r="A41" s="185" t="s">
        <v>56</v>
      </c>
      <c r="B41" s="212" t="s">
        <v>56</v>
      </c>
      <c r="C41" s="212" t="s">
        <v>56</v>
      </c>
      <c r="D41" s="212" t="s">
        <v>56</v>
      </c>
      <c r="E41" s="147">
        <v>32</v>
      </c>
      <c r="F41" s="240" t="s">
        <v>130</v>
      </c>
      <c r="G41" s="214">
        <v>367293</v>
      </c>
      <c r="H41" s="214">
        <v>405938</v>
      </c>
      <c r="I41" s="214">
        <f t="shared" si="0"/>
        <v>773231</v>
      </c>
      <c r="J41" s="238" t="s">
        <v>25</v>
      </c>
      <c r="K41" s="879">
        <v>32</v>
      </c>
      <c r="L41" s="53"/>
      <c r="M41" s="63"/>
      <c r="N41" s="53"/>
      <c r="O41" s="320"/>
      <c r="P41" s="319"/>
      <c r="Q41" s="320"/>
      <c r="R41" s="320"/>
      <c r="S41" s="319"/>
      <c r="T41" s="320"/>
      <c r="U41" s="321"/>
      <c r="V41" s="318"/>
      <c r="W41" s="57"/>
      <c r="X41" s="55"/>
      <c r="Y41" s="56"/>
      <c r="Z41" s="52"/>
      <c r="AA41" s="52"/>
    </row>
    <row r="42" spans="1:27" s="639" customFormat="1">
      <c r="A42" s="185" t="s">
        <v>56</v>
      </c>
      <c r="B42" s="212" t="s">
        <v>56</v>
      </c>
      <c r="C42" s="212" t="s">
        <v>56</v>
      </c>
      <c r="D42" s="212" t="s">
        <v>56</v>
      </c>
      <c r="E42" s="148">
        <v>33</v>
      </c>
      <c r="F42" s="239" t="s">
        <v>131</v>
      </c>
      <c r="G42" s="212">
        <v>42210</v>
      </c>
      <c r="H42" s="212">
        <v>77591</v>
      </c>
      <c r="I42" s="212">
        <f t="shared" si="0"/>
        <v>119801</v>
      </c>
      <c r="J42" s="643" t="s">
        <v>49</v>
      </c>
      <c r="K42" s="878">
        <v>33</v>
      </c>
      <c r="L42" s="767"/>
      <c r="M42" s="673"/>
      <c r="P42" s="673"/>
      <c r="S42" s="673"/>
      <c r="V42" s="673"/>
    </row>
    <row r="43" spans="1:27" ht="12.75" customHeight="1">
      <c r="A43" s="187" t="s">
        <v>56</v>
      </c>
      <c r="B43" s="188" t="s">
        <v>56</v>
      </c>
      <c r="C43" s="188" t="s">
        <v>56</v>
      </c>
      <c r="D43" s="188" t="s">
        <v>56</v>
      </c>
      <c r="E43" s="160">
        <v>34</v>
      </c>
      <c r="F43" s="363" t="s">
        <v>132</v>
      </c>
      <c r="G43" s="423">
        <v>36909</v>
      </c>
      <c r="H43" s="423">
        <v>44396</v>
      </c>
      <c r="I43" s="214">
        <f t="shared" si="0"/>
        <v>81305</v>
      </c>
      <c r="J43" s="424" t="s">
        <v>50</v>
      </c>
      <c r="K43" s="880">
        <v>34</v>
      </c>
      <c r="L43" s="125"/>
    </row>
    <row r="44" spans="1:27" ht="17.25" customHeight="1">
      <c r="A44" s="212"/>
      <c r="B44" s="212"/>
      <c r="C44" s="212"/>
      <c r="D44" s="212"/>
      <c r="E44" s="1268" t="s">
        <v>756</v>
      </c>
      <c r="F44" s="1268"/>
      <c r="G44" s="425"/>
      <c r="H44" s="425"/>
      <c r="I44" s="1270" t="s">
        <v>1514</v>
      </c>
      <c r="J44" s="1270"/>
      <c r="K44" s="1270"/>
      <c r="L44" s="125"/>
    </row>
    <row r="45" spans="1:27" ht="23.25" customHeight="1">
      <c r="A45" s="125"/>
      <c r="B45" s="125"/>
      <c r="C45" s="125"/>
      <c r="D45" s="125"/>
      <c r="E45" s="447"/>
      <c r="F45" s="1290"/>
      <c r="G45" s="1290"/>
      <c r="H45" s="1290"/>
      <c r="I45" s="1290"/>
      <c r="J45" s="1290"/>
      <c r="K45" s="1290"/>
      <c r="L45" s="125"/>
      <c r="P45"/>
    </row>
    <row r="46" spans="1:27" ht="14.25" customHeight="1">
      <c r="A46" s="125"/>
      <c r="B46" s="125"/>
      <c r="C46" s="125"/>
      <c r="D46" s="125"/>
      <c r="E46" s="447"/>
      <c r="F46" s="126"/>
      <c r="K46" s="125"/>
      <c r="L46" s="125"/>
      <c r="M46" s="1"/>
      <c r="N46" s="1"/>
      <c r="P46"/>
    </row>
    <row r="47" spans="1:27" ht="13.5" customHeight="1">
      <c r="A47" s="125"/>
      <c r="B47" s="1269"/>
      <c r="C47" s="1269"/>
      <c r="D47" s="1269"/>
      <c r="E47" s="1269"/>
      <c r="F47" s="1269"/>
      <c r="G47" s="1269"/>
      <c r="H47" s="1269"/>
      <c r="I47" s="1269"/>
      <c r="J47" s="1269"/>
      <c r="K47" s="1269"/>
      <c r="L47" s="125"/>
      <c r="M47"/>
    </row>
    <row r="48" spans="1:27" ht="11.25" customHeight="1">
      <c r="M48" s="21"/>
    </row>
    <row r="49" spans="13:13" ht="22.5" customHeight="1">
      <c r="M49" s="21"/>
    </row>
    <row r="50" spans="13:13" ht="10.5" customHeight="1">
      <c r="M50" s="21"/>
    </row>
    <row r="51" spans="13:13" ht="21.75" customHeight="1"/>
    <row r="52" spans="13:13" ht="23.25" customHeight="1"/>
    <row r="53" spans="13:13" ht="16" customHeight="1"/>
    <row r="55" spans="13:13" ht="25" customHeight="1"/>
  </sheetData>
  <mergeCells count="26">
    <mergeCell ref="V11:V12"/>
    <mergeCell ref="W11:W12"/>
    <mergeCell ref="F45:K45"/>
    <mergeCell ref="P11:P12"/>
    <mergeCell ref="Q11:Q12"/>
    <mergeCell ref="R11:R12"/>
    <mergeCell ref="S11:S12"/>
    <mergeCell ref="T11:T12"/>
    <mergeCell ref="U11:U12"/>
    <mergeCell ref="O11:O12"/>
    <mergeCell ref="B47:K47"/>
    <mergeCell ref="I44:K44"/>
    <mergeCell ref="A5:D5"/>
    <mergeCell ref="G5:I5"/>
    <mergeCell ref="G6:G7"/>
    <mergeCell ref="H6:H7"/>
    <mergeCell ref="I6:I7"/>
    <mergeCell ref="F4:F8"/>
    <mergeCell ref="G4:I4"/>
    <mergeCell ref="J4:J8"/>
    <mergeCell ref="K4:K8"/>
    <mergeCell ref="E1:K1"/>
    <mergeCell ref="E2:K2"/>
    <mergeCell ref="E3:K3"/>
    <mergeCell ref="E4:E8"/>
    <mergeCell ref="E44:F44"/>
  </mergeCells>
  <hyperlinks>
    <hyperlink ref="F34" r:id="rId1" location="FNote1" display="FNote1" xr:uid="{00000000-0004-0000-0100-000000000000}"/>
  </hyperlinks>
  <printOptions horizontalCentered="1"/>
  <pageMargins left="0" right="0" top="0.06" bottom="0.6" header="0.03" footer="0.39370078740157499"/>
  <pageSetup paperSize="9" scale="105" orientation="portrait" r:id="rId2"/>
  <headerFooter>
    <oddFooter>&amp;L&amp;"Times New Roman,Regular"&amp;10    Afghanistan Statistical Yearbook 2022-23&amp;R&amp;"Times New Roman,Regular"&amp;10          د ۱۴۰۱ احصایيوي کالنۍ  /سالنامه احصائیوی ۱۴۰۱</oddFooter>
  </headerFooter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0"/>
  </sheetPr>
  <dimension ref="A1:AF62"/>
  <sheetViews>
    <sheetView view="pageBreakPreview" topLeftCell="E3" zoomScale="154" zoomScaleSheetLayoutView="154" workbookViewId="0">
      <selection activeCell="E3" sqref="E3:K3"/>
    </sheetView>
  </sheetViews>
  <sheetFormatPr baseColWidth="10" defaultColWidth="20.6640625" defaultRowHeight="15"/>
  <cols>
    <col min="1" max="3" width="9.6640625" hidden="1" customWidth="1"/>
    <col min="4" max="4" width="11.33203125" hidden="1" customWidth="1"/>
    <col min="5" max="5" width="5.83203125" style="100" customWidth="1"/>
    <col min="6" max="6" width="21.5" customWidth="1"/>
    <col min="7" max="9" width="13.6640625" customWidth="1"/>
    <col min="10" max="10" width="23.83203125" customWidth="1"/>
    <col min="11" max="11" width="6" customWidth="1"/>
    <col min="12" max="12" width="14" bestFit="1" customWidth="1"/>
    <col min="13" max="13" width="16.5" bestFit="1" customWidth="1"/>
    <col min="17" max="17" width="9.1640625" customWidth="1"/>
  </cols>
  <sheetData>
    <row r="1" spans="1:32" ht="21" hidden="1" customHeight="1">
      <c r="A1" s="70"/>
      <c r="B1" s="70"/>
      <c r="C1" s="70"/>
      <c r="D1" s="70"/>
      <c r="E1" s="1300" t="s">
        <v>2266</v>
      </c>
      <c r="F1" s="1300"/>
      <c r="G1" s="1300"/>
      <c r="H1" s="1300"/>
      <c r="I1" s="1300"/>
      <c r="J1" s="1300"/>
      <c r="K1" s="1300"/>
    </row>
    <row r="2" spans="1:32" ht="24.75" hidden="1" customHeight="1">
      <c r="A2" s="70"/>
      <c r="B2" s="70"/>
      <c r="C2" s="70"/>
      <c r="D2" s="70"/>
      <c r="E2" s="1301" t="s">
        <v>2267</v>
      </c>
      <c r="F2" s="1301"/>
      <c r="G2" s="1301"/>
      <c r="H2" s="1301"/>
      <c r="I2" s="1301"/>
      <c r="J2" s="1301"/>
      <c r="K2" s="1301"/>
      <c r="L2" s="70"/>
      <c r="M2" s="70"/>
      <c r="N2" s="70"/>
      <c r="O2" s="70"/>
      <c r="P2" s="1296" t="s">
        <v>477</v>
      </c>
      <c r="Q2" s="1296"/>
      <c r="R2" s="1296"/>
      <c r="S2" s="1296"/>
      <c r="T2" s="1296"/>
      <c r="U2" s="1296"/>
      <c r="V2" s="1296"/>
      <c r="W2" s="1296"/>
      <c r="X2" s="1296"/>
      <c r="Y2" s="1296"/>
      <c r="Z2" s="1296"/>
      <c r="AA2" s="1296"/>
      <c r="AB2" s="1296"/>
      <c r="AC2" s="1296"/>
      <c r="AD2" s="1296"/>
    </row>
    <row r="3" spans="1:32" ht="24.75" customHeight="1">
      <c r="E3" s="1302" t="s">
        <v>2268</v>
      </c>
      <c r="F3" s="1302"/>
      <c r="G3" s="1302"/>
      <c r="H3" s="1302"/>
      <c r="I3" s="1302"/>
      <c r="J3" s="1302"/>
      <c r="K3" s="1302"/>
      <c r="L3" s="70"/>
      <c r="M3" s="70"/>
      <c r="N3" s="70"/>
      <c r="O3" s="70"/>
      <c r="P3" s="1297" t="s">
        <v>342</v>
      </c>
      <c r="Q3" s="1297"/>
      <c r="R3" s="1297"/>
      <c r="S3" s="1297"/>
      <c r="T3" s="1297"/>
      <c r="U3" s="1297"/>
      <c r="V3" s="1297"/>
      <c r="W3" s="1297"/>
      <c r="X3" s="1297"/>
      <c r="Y3" s="1297"/>
      <c r="Z3" s="1297"/>
      <c r="AA3" s="1297"/>
      <c r="AB3" s="1297"/>
      <c r="AC3" s="1297"/>
      <c r="AD3" s="1297"/>
    </row>
    <row r="4" spans="1:32" ht="15" customHeight="1">
      <c r="A4" s="125"/>
      <c r="B4" s="125"/>
      <c r="C4" s="125"/>
      <c r="D4" s="125"/>
      <c r="E4" s="1266" t="s">
        <v>621</v>
      </c>
      <c r="F4" s="1280" t="s">
        <v>97</v>
      </c>
      <c r="G4" s="1282">
        <v>1402</v>
      </c>
      <c r="H4" s="1283"/>
      <c r="I4" s="1284"/>
      <c r="J4" s="1285" t="s">
        <v>63</v>
      </c>
      <c r="K4" s="1298" t="s">
        <v>1308</v>
      </c>
      <c r="L4" s="1296" t="s">
        <v>481</v>
      </c>
      <c r="M4" s="1296"/>
      <c r="N4" s="1296"/>
      <c r="O4" s="1296"/>
      <c r="P4" s="1296"/>
      <c r="Q4" s="1296"/>
      <c r="R4" s="1296"/>
      <c r="S4" s="1296"/>
      <c r="T4" s="1296"/>
      <c r="U4" s="1296"/>
      <c r="V4" s="1296"/>
      <c r="W4" s="1296"/>
      <c r="X4" s="1296"/>
      <c r="Y4" s="1296"/>
      <c r="Z4" s="1296"/>
      <c r="AA4" s="1296"/>
      <c r="AB4" s="1296"/>
      <c r="AC4" s="1296"/>
      <c r="AD4" s="1296"/>
    </row>
    <row r="5" spans="1:32" ht="13.5" customHeight="1">
      <c r="A5" s="125"/>
      <c r="B5" s="125"/>
      <c r="C5" s="125"/>
      <c r="D5" s="125"/>
      <c r="E5" s="1266"/>
      <c r="F5" s="1280"/>
      <c r="G5" s="1273" t="s">
        <v>772</v>
      </c>
      <c r="H5" s="1274"/>
      <c r="I5" s="1275"/>
      <c r="J5" s="1285"/>
      <c r="K5" s="1298"/>
    </row>
    <row r="6" spans="1:32" ht="17.25" customHeight="1">
      <c r="A6" s="125"/>
      <c r="B6" s="125"/>
      <c r="C6" s="125"/>
      <c r="D6" s="125"/>
      <c r="E6" s="1266"/>
      <c r="F6" s="1280"/>
      <c r="G6" s="1209" t="s">
        <v>674</v>
      </c>
      <c r="H6" s="1209" t="s">
        <v>279</v>
      </c>
      <c r="I6" s="1238" t="s">
        <v>675</v>
      </c>
      <c r="J6" s="1285"/>
      <c r="K6" s="1298"/>
    </row>
    <row r="7" spans="1:32" ht="16.5" customHeight="1">
      <c r="A7" s="1294">
        <v>1400</v>
      </c>
      <c r="B7" s="1294"/>
      <c r="C7" s="1294"/>
      <c r="D7" s="1295"/>
      <c r="E7" s="1266"/>
      <c r="F7" s="1280"/>
      <c r="G7" s="1234" t="s">
        <v>673</v>
      </c>
      <c r="H7" s="1234" t="s">
        <v>672</v>
      </c>
      <c r="I7" s="1231" t="s">
        <v>61</v>
      </c>
      <c r="J7" s="1285"/>
      <c r="K7" s="1298"/>
      <c r="N7" s="70"/>
      <c r="O7" s="70"/>
      <c r="P7" s="70"/>
      <c r="Q7" s="70"/>
      <c r="R7" s="1296" t="s">
        <v>477</v>
      </c>
      <c r="S7" s="1296"/>
      <c r="T7" s="1296"/>
      <c r="U7" s="1296"/>
      <c r="V7" s="1296"/>
      <c r="W7" s="1296"/>
      <c r="X7" s="1296"/>
      <c r="Y7" s="1296"/>
      <c r="Z7" s="1296"/>
      <c r="AA7" s="1296"/>
      <c r="AB7" s="1296"/>
      <c r="AC7" s="1296"/>
      <c r="AD7" s="1296"/>
      <c r="AE7" s="1296"/>
      <c r="AF7" s="1296"/>
    </row>
    <row r="8" spans="1:32" ht="19.5" customHeight="1">
      <c r="A8" s="335"/>
      <c r="B8" s="335"/>
      <c r="C8" s="335"/>
      <c r="D8" s="336"/>
      <c r="E8" s="1266"/>
      <c r="F8" s="1281"/>
      <c r="G8" s="971" t="s">
        <v>133</v>
      </c>
      <c r="H8" s="971" t="s">
        <v>134</v>
      </c>
      <c r="I8" s="869" t="s">
        <v>100</v>
      </c>
      <c r="J8" s="1279"/>
      <c r="K8" s="1299"/>
      <c r="N8" s="70"/>
      <c r="O8" s="70"/>
      <c r="P8" s="70"/>
      <c r="Q8" s="70"/>
      <c r="R8" s="1297" t="s">
        <v>342</v>
      </c>
      <c r="S8" s="1297"/>
      <c r="T8" s="1297"/>
      <c r="U8" s="1297"/>
      <c r="V8" s="1297"/>
      <c r="W8" s="1297"/>
      <c r="X8" s="1297"/>
      <c r="Y8" s="1297"/>
      <c r="Z8" s="1297"/>
      <c r="AA8" s="1297"/>
      <c r="AB8" s="1297"/>
      <c r="AC8" s="1297"/>
      <c r="AD8" s="1297"/>
      <c r="AE8" s="1297"/>
      <c r="AF8" s="1297"/>
    </row>
    <row r="9" spans="1:32" ht="18" customHeight="1">
      <c r="A9" s="337" t="s">
        <v>43</v>
      </c>
      <c r="B9" s="338" t="s">
        <v>43</v>
      </c>
      <c r="C9" s="338" t="s">
        <v>43</v>
      </c>
      <c r="D9" s="338" t="s">
        <v>43</v>
      </c>
      <c r="E9" s="855"/>
      <c r="F9" s="851" t="s">
        <v>70</v>
      </c>
      <c r="G9" s="976">
        <f>SUM(G10:G43)</f>
        <v>71273</v>
      </c>
      <c r="H9" s="976">
        <f>SUM(H10:H43)</f>
        <v>134447</v>
      </c>
      <c r="I9" s="976">
        <f>SUM(I10:I43)</f>
        <v>205720</v>
      </c>
      <c r="J9" s="426" t="s">
        <v>671</v>
      </c>
      <c r="K9" s="881"/>
      <c r="L9" s="53"/>
      <c r="N9" s="1296" t="s">
        <v>481</v>
      </c>
      <c r="O9" s="1296"/>
      <c r="P9" s="1296"/>
      <c r="Q9" s="1296"/>
      <c r="R9" s="1296"/>
      <c r="S9" s="1296"/>
      <c r="T9" s="1296"/>
      <c r="U9" s="1296"/>
      <c r="V9" s="1296"/>
      <c r="W9" s="1296"/>
      <c r="X9" s="1296"/>
      <c r="Y9" s="1296"/>
      <c r="Z9" s="1296"/>
      <c r="AA9" s="1296"/>
      <c r="AB9" s="1296"/>
      <c r="AC9" s="1296"/>
      <c r="AD9" s="1296"/>
      <c r="AE9" s="1296"/>
      <c r="AF9" s="1296"/>
    </row>
    <row r="10" spans="1:32" s="639" customFormat="1" ht="18" customHeight="1">
      <c r="A10" s="339" t="s">
        <v>43</v>
      </c>
      <c r="B10" s="340" t="s">
        <v>43</v>
      </c>
      <c r="C10" s="340" t="s">
        <v>43</v>
      </c>
      <c r="D10" s="340" t="s">
        <v>43</v>
      </c>
      <c r="E10" s="769">
        <v>1</v>
      </c>
      <c r="F10" s="852" t="s">
        <v>135</v>
      </c>
      <c r="G10" s="977">
        <f>16452+1749</f>
        <v>18201</v>
      </c>
      <c r="H10" s="977">
        <f>6947+4150</f>
        <v>11097</v>
      </c>
      <c r="I10" s="977">
        <f t="shared" ref="I10:I43" si="0">H10+G10</f>
        <v>29298</v>
      </c>
      <c r="J10" s="751" t="s">
        <v>18</v>
      </c>
      <c r="K10" s="878">
        <v>1</v>
      </c>
      <c r="L10" s="768"/>
      <c r="O10" s="757"/>
    </row>
    <row r="11" spans="1:32" ht="18" customHeight="1">
      <c r="A11" s="337" t="s">
        <v>43</v>
      </c>
      <c r="B11" s="338" t="s">
        <v>43</v>
      </c>
      <c r="C11" s="338" t="s">
        <v>43</v>
      </c>
      <c r="D11" s="338" t="s">
        <v>43</v>
      </c>
      <c r="E11" s="580">
        <v>2</v>
      </c>
      <c r="F11" s="853" t="s">
        <v>102</v>
      </c>
      <c r="G11" s="978">
        <v>747</v>
      </c>
      <c r="H11" s="978">
        <v>2493</v>
      </c>
      <c r="I11" s="978">
        <f t="shared" si="0"/>
        <v>3240</v>
      </c>
      <c r="J11" s="252" t="s">
        <v>26</v>
      </c>
      <c r="K11" s="879">
        <v>2</v>
      </c>
      <c r="L11" s="53"/>
      <c r="M11" s="64"/>
      <c r="N11" s="53"/>
      <c r="O11" s="53"/>
    </row>
    <row r="12" spans="1:32" s="639" customFormat="1" ht="18" customHeight="1">
      <c r="A12" s="339" t="s">
        <v>43</v>
      </c>
      <c r="B12" s="340" t="s">
        <v>43</v>
      </c>
      <c r="C12" s="340" t="s">
        <v>43</v>
      </c>
      <c r="D12" s="340" t="s">
        <v>43</v>
      </c>
      <c r="E12" s="769">
        <v>3</v>
      </c>
      <c r="F12" s="852" t="s">
        <v>103</v>
      </c>
      <c r="G12" s="977">
        <v>1283</v>
      </c>
      <c r="H12" s="977">
        <v>4604</v>
      </c>
      <c r="I12" s="977">
        <f t="shared" si="0"/>
        <v>5887</v>
      </c>
      <c r="J12" s="751" t="s">
        <v>27</v>
      </c>
      <c r="K12" s="878">
        <v>3</v>
      </c>
      <c r="L12" s="757"/>
      <c r="M12" s="757"/>
      <c r="N12" s="757"/>
      <c r="O12" s="757"/>
    </row>
    <row r="13" spans="1:32" ht="18" customHeight="1">
      <c r="A13" s="340" t="s">
        <v>43</v>
      </c>
      <c r="B13" s="340" t="s">
        <v>43</v>
      </c>
      <c r="C13" s="340" t="s">
        <v>43</v>
      </c>
      <c r="D13" s="340" t="s">
        <v>43</v>
      </c>
      <c r="E13" s="580">
        <v>4</v>
      </c>
      <c r="F13" s="853" t="s">
        <v>652</v>
      </c>
      <c r="G13" s="978">
        <v>429</v>
      </c>
      <c r="H13" s="978">
        <v>4970</v>
      </c>
      <c r="I13" s="979">
        <f t="shared" si="0"/>
        <v>5399</v>
      </c>
      <c r="J13" s="286" t="s">
        <v>1255</v>
      </c>
      <c r="K13" s="879">
        <v>4</v>
      </c>
      <c r="L13" s="53"/>
      <c r="M13" s="53"/>
      <c r="N13" s="53"/>
      <c r="O13" s="53"/>
    </row>
    <row r="14" spans="1:32" s="639" customFormat="1" ht="18" customHeight="1">
      <c r="A14" s="340" t="s">
        <v>43</v>
      </c>
      <c r="B14" s="340" t="s">
        <v>43</v>
      </c>
      <c r="C14" s="340" t="s">
        <v>43</v>
      </c>
      <c r="D14" s="340" t="s">
        <v>43</v>
      </c>
      <c r="E14" s="769">
        <v>5</v>
      </c>
      <c r="F14" s="852" t="s">
        <v>104</v>
      </c>
      <c r="G14" s="977">
        <v>720</v>
      </c>
      <c r="H14" s="977">
        <v>3595</v>
      </c>
      <c r="I14" s="980">
        <f t="shared" si="0"/>
        <v>4315</v>
      </c>
      <c r="J14" s="658" t="s">
        <v>19</v>
      </c>
      <c r="K14" s="878">
        <v>5</v>
      </c>
      <c r="L14" s="757"/>
      <c r="M14" s="757"/>
      <c r="N14" s="757"/>
      <c r="O14" s="757"/>
    </row>
    <row r="15" spans="1:32" ht="18" customHeight="1">
      <c r="A15" s="340" t="s">
        <v>43</v>
      </c>
      <c r="B15" s="340" t="s">
        <v>43</v>
      </c>
      <c r="C15" s="340" t="s">
        <v>43</v>
      </c>
      <c r="D15" s="340" t="s">
        <v>43</v>
      </c>
      <c r="E15" s="580">
        <v>6</v>
      </c>
      <c r="F15" s="853" t="s">
        <v>105</v>
      </c>
      <c r="G15" s="978">
        <v>2821</v>
      </c>
      <c r="H15" s="978">
        <v>13497</v>
      </c>
      <c r="I15" s="979">
        <f t="shared" si="0"/>
        <v>16318</v>
      </c>
      <c r="J15" s="286" t="s">
        <v>28</v>
      </c>
      <c r="K15" s="879">
        <v>6</v>
      </c>
      <c r="L15" s="53"/>
      <c r="M15" s="53"/>
      <c r="N15" s="53"/>
      <c r="O15" s="53"/>
    </row>
    <row r="16" spans="1:32" s="639" customFormat="1" ht="18" customHeight="1">
      <c r="A16" s="340" t="s">
        <v>43</v>
      </c>
      <c r="B16" s="340" t="s">
        <v>43</v>
      </c>
      <c r="C16" s="340" t="s">
        <v>43</v>
      </c>
      <c r="D16" s="340" t="s">
        <v>43</v>
      </c>
      <c r="E16" s="769">
        <v>7</v>
      </c>
      <c r="F16" s="852" t="s">
        <v>106</v>
      </c>
      <c r="G16" s="977">
        <v>592</v>
      </c>
      <c r="H16" s="977">
        <v>3762</v>
      </c>
      <c r="I16" s="980">
        <f t="shared" si="0"/>
        <v>4354</v>
      </c>
      <c r="J16" s="658" t="s">
        <v>29</v>
      </c>
      <c r="K16" s="878">
        <v>7</v>
      </c>
      <c r="L16" s="757"/>
      <c r="M16" s="757"/>
      <c r="N16" s="757"/>
      <c r="O16" s="757"/>
    </row>
    <row r="17" spans="1:15" ht="18" customHeight="1">
      <c r="A17" s="340" t="s">
        <v>43</v>
      </c>
      <c r="B17" s="340" t="s">
        <v>43</v>
      </c>
      <c r="C17" s="340" t="s">
        <v>43</v>
      </c>
      <c r="D17" s="340" t="s">
        <v>43</v>
      </c>
      <c r="E17" s="580">
        <v>8</v>
      </c>
      <c r="F17" s="853" t="s">
        <v>107</v>
      </c>
      <c r="G17" s="978">
        <v>364</v>
      </c>
      <c r="H17" s="978">
        <v>729</v>
      </c>
      <c r="I17" s="979">
        <f t="shared" si="0"/>
        <v>1093</v>
      </c>
      <c r="J17" s="286" t="s">
        <v>30</v>
      </c>
      <c r="K17" s="879">
        <v>8</v>
      </c>
      <c r="L17" s="53"/>
      <c r="M17" s="53"/>
      <c r="N17" s="53"/>
      <c r="O17" s="53"/>
    </row>
    <row r="18" spans="1:15" s="639" customFormat="1" ht="18" customHeight="1">
      <c r="A18" s="340" t="s">
        <v>43</v>
      </c>
      <c r="B18" s="340" t="s">
        <v>43</v>
      </c>
      <c r="C18" s="340" t="s">
        <v>43</v>
      </c>
      <c r="D18" s="340" t="s">
        <v>43</v>
      </c>
      <c r="E18" s="769">
        <v>9</v>
      </c>
      <c r="F18" s="852" t="s">
        <v>108</v>
      </c>
      <c r="G18" s="977">
        <v>2599</v>
      </c>
      <c r="H18" s="977">
        <v>6298</v>
      </c>
      <c r="I18" s="980">
        <f t="shared" si="0"/>
        <v>8897</v>
      </c>
      <c r="J18" s="658" t="s">
        <v>20</v>
      </c>
      <c r="K18" s="878">
        <v>9</v>
      </c>
      <c r="L18" s="757"/>
      <c r="M18" s="757"/>
      <c r="N18" s="757"/>
      <c r="O18" s="757"/>
    </row>
    <row r="19" spans="1:15" ht="18" customHeight="1">
      <c r="A19" s="340" t="s">
        <v>43</v>
      </c>
      <c r="B19" s="340" t="s">
        <v>43</v>
      </c>
      <c r="C19" s="340" t="s">
        <v>43</v>
      </c>
      <c r="D19" s="340" t="s">
        <v>43</v>
      </c>
      <c r="E19" s="580">
        <v>10</v>
      </c>
      <c r="F19" s="853" t="s">
        <v>109</v>
      </c>
      <c r="G19" s="978">
        <v>1386</v>
      </c>
      <c r="H19" s="978">
        <v>2905</v>
      </c>
      <c r="I19" s="979">
        <f t="shared" si="0"/>
        <v>4291</v>
      </c>
      <c r="J19" s="286" t="s">
        <v>21</v>
      </c>
      <c r="K19" s="879">
        <v>10</v>
      </c>
      <c r="L19" s="53"/>
      <c r="M19" s="53"/>
      <c r="N19" s="53"/>
      <c r="O19" s="53"/>
    </row>
    <row r="20" spans="1:15" s="639" customFormat="1" ht="18" customHeight="1">
      <c r="A20" s="340" t="s">
        <v>43</v>
      </c>
      <c r="B20" s="340" t="s">
        <v>43</v>
      </c>
      <c r="C20" s="340" t="s">
        <v>43</v>
      </c>
      <c r="D20" s="340" t="s">
        <v>43</v>
      </c>
      <c r="E20" s="769">
        <v>11</v>
      </c>
      <c r="F20" s="852" t="s">
        <v>110</v>
      </c>
      <c r="G20" s="977">
        <v>1857</v>
      </c>
      <c r="H20" s="977">
        <v>5647</v>
      </c>
      <c r="I20" s="980">
        <f t="shared" si="0"/>
        <v>7504</v>
      </c>
      <c r="J20" s="658" t="s">
        <v>31</v>
      </c>
      <c r="K20" s="878">
        <v>11</v>
      </c>
      <c r="L20" s="757"/>
      <c r="M20" s="757"/>
      <c r="N20" s="757"/>
      <c r="O20" s="757"/>
    </row>
    <row r="21" spans="1:15" ht="18" customHeight="1">
      <c r="A21" s="340" t="s">
        <v>43</v>
      </c>
      <c r="B21" s="340" t="s">
        <v>43</v>
      </c>
      <c r="C21" s="340" t="s">
        <v>43</v>
      </c>
      <c r="D21" s="340" t="s">
        <v>43</v>
      </c>
      <c r="E21" s="580">
        <v>12</v>
      </c>
      <c r="F21" s="853" t="s">
        <v>111</v>
      </c>
      <c r="G21" s="978">
        <v>172</v>
      </c>
      <c r="H21" s="978">
        <v>3569</v>
      </c>
      <c r="I21" s="979">
        <f t="shared" si="0"/>
        <v>3741</v>
      </c>
      <c r="J21" s="286" t="s">
        <v>32</v>
      </c>
      <c r="K21" s="879">
        <v>12</v>
      </c>
      <c r="L21" s="53"/>
      <c r="M21" s="53"/>
      <c r="N21" s="53"/>
      <c r="O21" s="53"/>
    </row>
    <row r="22" spans="1:15" s="639" customFormat="1" ht="18" customHeight="1">
      <c r="A22" s="340" t="s">
        <v>43</v>
      </c>
      <c r="B22" s="340" t="s">
        <v>43</v>
      </c>
      <c r="C22" s="340" t="s">
        <v>43</v>
      </c>
      <c r="D22" s="340" t="s">
        <v>43</v>
      </c>
      <c r="E22" s="769">
        <v>13</v>
      </c>
      <c r="F22" s="852" t="s">
        <v>112</v>
      </c>
      <c r="G22" s="977">
        <v>267</v>
      </c>
      <c r="H22" s="977">
        <v>2942</v>
      </c>
      <c r="I22" s="980">
        <f t="shared" si="0"/>
        <v>3209</v>
      </c>
      <c r="J22" s="658" t="s">
        <v>33</v>
      </c>
      <c r="K22" s="878">
        <v>13</v>
      </c>
      <c r="L22" s="757"/>
      <c r="M22" s="757"/>
      <c r="N22" s="757"/>
      <c r="O22" s="757"/>
    </row>
    <row r="23" spans="1:15" ht="18" customHeight="1">
      <c r="A23" s="340" t="s">
        <v>43</v>
      </c>
      <c r="B23" s="340" t="s">
        <v>43</v>
      </c>
      <c r="C23" s="340" t="s">
        <v>43</v>
      </c>
      <c r="D23" s="340" t="s">
        <v>43</v>
      </c>
      <c r="E23" s="580">
        <v>14</v>
      </c>
      <c r="F23" s="853" t="s">
        <v>113</v>
      </c>
      <c r="G23" s="978">
        <v>319</v>
      </c>
      <c r="H23" s="978">
        <v>4580</v>
      </c>
      <c r="I23" s="979">
        <f t="shared" si="0"/>
        <v>4899</v>
      </c>
      <c r="J23" s="286" t="s">
        <v>34</v>
      </c>
      <c r="K23" s="879">
        <v>14</v>
      </c>
      <c r="L23" s="53"/>
      <c r="M23" s="53"/>
      <c r="N23" s="53"/>
      <c r="O23" s="53"/>
    </row>
    <row r="24" spans="1:15" s="639" customFormat="1" ht="18" customHeight="1">
      <c r="A24" s="340" t="s">
        <v>43</v>
      </c>
      <c r="B24" s="340" t="s">
        <v>43</v>
      </c>
      <c r="C24" s="340" t="s">
        <v>43</v>
      </c>
      <c r="D24" s="340" t="s">
        <v>43</v>
      </c>
      <c r="E24" s="769">
        <v>15</v>
      </c>
      <c r="F24" s="852" t="s">
        <v>763</v>
      </c>
      <c r="G24" s="977">
        <v>552</v>
      </c>
      <c r="H24" s="977">
        <v>4436</v>
      </c>
      <c r="I24" s="980">
        <f t="shared" si="0"/>
        <v>4988</v>
      </c>
      <c r="J24" s="658" t="s">
        <v>729</v>
      </c>
      <c r="K24" s="878">
        <v>15</v>
      </c>
      <c r="L24" s="757"/>
      <c r="M24" s="757"/>
      <c r="N24" s="757"/>
      <c r="O24" s="757"/>
    </row>
    <row r="25" spans="1:15" ht="18" customHeight="1">
      <c r="A25" s="340" t="s">
        <v>43</v>
      </c>
      <c r="B25" s="340" t="s">
        <v>43</v>
      </c>
      <c r="C25" s="340" t="s">
        <v>43</v>
      </c>
      <c r="D25" s="340" t="s">
        <v>43</v>
      </c>
      <c r="E25" s="580">
        <v>16</v>
      </c>
      <c r="F25" s="853" t="s">
        <v>114</v>
      </c>
      <c r="G25" s="978">
        <v>193</v>
      </c>
      <c r="H25" s="978">
        <v>1047</v>
      </c>
      <c r="I25" s="979">
        <f t="shared" si="0"/>
        <v>1240</v>
      </c>
      <c r="J25" s="286" t="s">
        <v>35</v>
      </c>
      <c r="K25" s="879">
        <v>16</v>
      </c>
      <c r="L25" s="53"/>
      <c r="M25" s="53"/>
      <c r="N25" s="53"/>
      <c r="O25" s="53"/>
    </row>
    <row r="26" spans="1:15" s="639" customFormat="1" ht="18" customHeight="1">
      <c r="A26" s="340" t="s">
        <v>43</v>
      </c>
      <c r="B26" s="340" t="s">
        <v>43</v>
      </c>
      <c r="C26" s="340" t="s">
        <v>43</v>
      </c>
      <c r="D26" s="340" t="s">
        <v>43</v>
      </c>
      <c r="E26" s="769">
        <v>17</v>
      </c>
      <c r="F26" s="852" t="s">
        <v>115</v>
      </c>
      <c r="G26" s="977">
        <v>4176</v>
      </c>
      <c r="H26" s="977">
        <v>6796</v>
      </c>
      <c r="I26" s="980">
        <f t="shared" si="0"/>
        <v>10972</v>
      </c>
      <c r="J26" s="658" t="s">
        <v>36</v>
      </c>
      <c r="K26" s="878">
        <v>17</v>
      </c>
      <c r="L26" s="757"/>
      <c r="M26" s="757"/>
      <c r="N26" s="757"/>
      <c r="O26" s="757"/>
    </row>
    <row r="27" spans="1:15" ht="18" customHeight="1">
      <c r="A27" s="340" t="s">
        <v>43</v>
      </c>
      <c r="B27" s="340" t="s">
        <v>43</v>
      </c>
      <c r="C27" s="340" t="s">
        <v>43</v>
      </c>
      <c r="D27" s="340" t="s">
        <v>43</v>
      </c>
      <c r="E27" s="580">
        <v>18</v>
      </c>
      <c r="F27" s="853" t="s">
        <v>116</v>
      </c>
      <c r="G27" s="978">
        <v>3205</v>
      </c>
      <c r="H27" s="978">
        <v>5204</v>
      </c>
      <c r="I27" s="979">
        <f t="shared" si="0"/>
        <v>8409</v>
      </c>
      <c r="J27" s="286" t="s">
        <v>37</v>
      </c>
      <c r="K27" s="879">
        <v>18</v>
      </c>
      <c r="L27" s="53"/>
      <c r="M27" s="53"/>
      <c r="N27" s="53"/>
      <c r="O27" s="53"/>
    </row>
    <row r="28" spans="1:15" s="639" customFormat="1" ht="18" customHeight="1">
      <c r="A28" s="340" t="s">
        <v>43</v>
      </c>
      <c r="B28" s="340" t="s">
        <v>43</v>
      </c>
      <c r="C28" s="340" t="s">
        <v>43</v>
      </c>
      <c r="D28" s="340" t="s">
        <v>43</v>
      </c>
      <c r="E28" s="769">
        <v>19</v>
      </c>
      <c r="F28" s="852" t="s">
        <v>117</v>
      </c>
      <c r="G28" s="977">
        <v>2445</v>
      </c>
      <c r="H28" s="977">
        <v>5031</v>
      </c>
      <c r="I28" s="980">
        <f t="shared" si="0"/>
        <v>7476</v>
      </c>
      <c r="J28" s="658" t="s">
        <v>38</v>
      </c>
      <c r="K28" s="878">
        <v>19</v>
      </c>
    </row>
    <row r="29" spans="1:15" ht="18" customHeight="1">
      <c r="A29" s="340"/>
      <c r="B29" s="340"/>
      <c r="C29" s="340"/>
      <c r="D29" s="340"/>
      <c r="E29" s="580">
        <v>20</v>
      </c>
      <c r="F29" s="853" t="s">
        <v>118</v>
      </c>
      <c r="G29" s="978">
        <v>1061</v>
      </c>
      <c r="H29" s="978">
        <v>1820</v>
      </c>
      <c r="I29" s="979">
        <f t="shared" si="0"/>
        <v>2881</v>
      </c>
      <c r="J29" s="286" t="s">
        <v>39</v>
      </c>
      <c r="K29" s="879">
        <v>20</v>
      </c>
    </row>
    <row r="30" spans="1:15" s="639" customFormat="1" ht="18" customHeight="1">
      <c r="A30" s="340">
        <v>1398</v>
      </c>
      <c r="B30" s="340"/>
      <c r="C30" s="340"/>
      <c r="D30" s="340"/>
      <c r="E30" s="769">
        <v>21</v>
      </c>
      <c r="F30" s="852" t="s">
        <v>119</v>
      </c>
      <c r="G30" s="977">
        <v>6825</v>
      </c>
      <c r="H30" s="977">
        <v>4742</v>
      </c>
      <c r="I30" s="980">
        <f t="shared" si="0"/>
        <v>11567</v>
      </c>
      <c r="J30" s="658" t="s">
        <v>40</v>
      </c>
      <c r="K30" s="878">
        <v>21</v>
      </c>
    </row>
    <row r="31" spans="1:15" ht="18" customHeight="1">
      <c r="A31" s="340" t="s">
        <v>82</v>
      </c>
      <c r="B31" s="340" t="s">
        <v>12</v>
      </c>
      <c r="C31" s="340" t="s">
        <v>13</v>
      </c>
      <c r="D31" s="340" t="s">
        <v>14</v>
      </c>
      <c r="E31" s="580">
        <v>22</v>
      </c>
      <c r="F31" s="853" t="s">
        <v>120</v>
      </c>
      <c r="G31" s="978">
        <v>1334</v>
      </c>
      <c r="H31" s="978">
        <v>1842</v>
      </c>
      <c r="I31" s="979">
        <f t="shared" si="0"/>
        <v>3176</v>
      </c>
      <c r="J31" s="286" t="s">
        <v>41</v>
      </c>
      <c r="K31" s="879">
        <v>22</v>
      </c>
    </row>
    <row r="32" spans="1:15" s="639" customFormat="1" ht="18" customHeight="1">
      <c r="A32" s="340" t="s">
        <v>43</v>
      </c>
      <c r="B32" s="340" t="s">
        <v>43</v>
      </c>
      <c r="C32" s="340" t="s">
        <v>43</v>
      </c>
      <c r="D32" s="340" t="s">
        <v>43</v>
      </c>
      <c r="E32" s="769">
        <v>23</v>
      </c>
      <c r="F32" s="852" t="s">
        <v>121</v>
      </c>
      <c r="G32" s="977">
        <v>660</v>
      </c>
      <c r="H32" s="977">
        <v>4174</v>
      </c>
      <c r="I32" s="980">
        <f t="shared" si="0"/>
        <v>4834</v>
      </c>
      <c r="J32" s="658" t="s">
        <v>22</v>
      </c>
      <c r="K32" s="878">
        <v>23</v>
      </c>
    </row>
    <row r="33" spans="1:26" ht="18" customHeight="1">
      <c r="A33" s="340" t="s">
        <v>43</v>
      </c>
      <c r="B33" s="340" t="s">
        <v>43</v>
      </c>
      <c r="C33" s="340" t="s">
        <v>43</v>
      </c>
      <c r="D33" s="340" t="s">
        <v>43</v>
      </c>
      <c r="E33" s="580">
        <v>24</v>
      </c>
      <c r="F33" s="853" t="s">
        <v>122</v>
      </c>
      <c r="G33" s="978">
        <v>1502</v>
      </c>
      <c r="H33" s="978">
        <v>2168</v>
      </c>
      <c r="I33" s="979">
        <f t="shared" si="0"/>
        <v>3670</v>
      </c>
      <c r="J33" s="286" t="s">
        <v>23</v>
      </c>
      <c r="K33" s="879">
        <v>24</v>
      </c>
      <c r="L33" s="46"/>
      <c r="M33" s="60"/>
      <c r="N33" s="53"/>
      <c r="O33" s="53"/>
    </row>
    <row r="34" spans="1:26" s="639" customFormat="1" ht="18" customHeight="1">
      <c r="A34" s="340" t="s">
        <v>43</v>
      </c>
      <c r="B34" s="340" t="s">
        <v>43</v>
      </c>
      <c r="C34" s="340" t="s">
        <v>43</v>
      </c>
      <c r="D34" s="340" t="s">
        <v>43</v>
      </c>
      <c r="E34" s="769">
        <v>25</v>
      </c>
      <c r="F34" s="852" t="s">
        <v>123</v>
      </c>
      <c r="G34" s="977">
        <v>66</v>
      </c>
      <c r="H34" s="977">
        <v>1158</v>
      </c>
      <c r="I34" s="980">
        <f t="shared" si="0"/>
        <v>1224</v>
      </c>
      <c r="J34" s="658" t="s">
        <v>42</v>
      </c>
      <c r="K34" s="878">
        <v>25</v>
      </c>
      <c r="L34" s="765"/>
      <c r="M34" s="765"/>
      <c r="N34" s="757"/>
      <c r="O34" s="757"/>
    </row>
    <row r="35" spans="1:26" ht="18" customHeight="1">
      <c r="A35" s="340" t="s">
        <v>43</v>
      </c>
      <c r="B35" s="340" t="s">
        <v>43</v>
      </c>
      <c r="C35" s="340" t="s">
        <v>43</v>
      </c>
      <c r="D35" s="340" t="s">
        <v>43</v>
      </c>
      <c r="E35" s="580">
        <v>26</v>
      </c>
      <c r="F35" s="853" t="s">
        <v>124</v>
      </c>
      <c r="G35" s="978">
        <v>96</v>
      </c>
      <c r="H35" s="978">
        <v>1733</v>
      </c>
      <c r="I35" s="979">
        <f t="shared" si="0"/>
        <v>1829</v>
      </c>
      <c r="J35" s="286" t="s">
        <v>44</v>
      </c>
      <c r="K35" s="879">
        <v>26</v>
      </c>
      <c r="L35" s="46"/>
      <c r="M35" s="46"/>
      <c r="N35" s="53"/>
      <c r="O35" s="53"/>
    </row>
    <row r="36" spans="1:26" s="639" customFormat="1" ht="18" customHeight="1">
      <c r="A36" s="340" t="s">
        <v>43</v>
      </c>
      <c r="B36" s="340" t="s">
        <v>43</v>
      </c>
      <c r="C36" s="340" t="s">
        <v>43</v>
      </c>
      <c r="D36" s="340" t="s">
        <v>43</v>
      </c>
      <c r="E36" s="769">
        <v>27</v>
      </c>
      <c r="F36" s="852" t="s">
        <v>125</v>
      </c>
      <c r="G36" s="977">
        <v>1059</v>
      </c>
      <c r="H36" s="977">
        <v>4660</v>
      </c>
      <c r="I36" s="980">
        <f t="shared" si="0"/>
        <v>5719</v>
      </c>
      <c r="J36" s="658" t="s">
        <v>45</v>
      </c>
      <c r="K36" s="878">
        <v>27</v>
      </c>
      <c r="L36" s="765"/>
      <c r="M36" s="765"/>
      <c r="N36" s="757"/>
      <c r="O36" s="757"/>
    </row>
    <row r="37" spans="1:26" ht="18" customHeight="1">
      <c r="A37" s="340" t="s">
        <v>43</v>
      </c>
      <c r="B37" s="340" t="s">
        <v>43</v>
      </c>
      <c r="C37" s="340" t="s">
        <v>43</v>
      </c>
      <c r="D37" s="340" t="s">
        <v>43</v>
      </c>
      <c r="E37" s="580">
        <v>28</v>
      </c>
      <c r="F37" s="853" t="s">
        <v>126</v>
      </c>
      <c r="G37" s="978">
        <v>2062</v>
      </c>
      <c r="H37" s="978">
        <v>2412</v>
      </c>
      <c r="I37" s="979">
        <f t="shared" si="0"/>
        <v>4474</v>
      </c>
      <c r="J37" s="286" t="s">
        <v>46</v>
      </c>
      <c r="K37" s="879">
        <v>28</v>
      </c>
      <c r="L37" s="46"/>
      <c r="M37" s="46"/>
      <c r="N37" s="53"/>
      <c r="O37" s="53"/>
    </row>
    <row r="38" spans="1:26" s="639" customFormat="1" ht="18" customHeight="1">
      <c r="A38" s="340" t="s">
        <v>43</v>
      </c>
      <c r="B38" s="340" t="s">
        <v>43</v>
      </c>
      <c r="C38" s="340" t="s">
        <v>43</v>
      </c>
      <c r="D38" s="340" t="s">
        <v>43</v>
      </c>
      <c r="E38" s="769">
        <v>29</v>
      </c>
      <c r="F38" s="852" t="s">
        <v>127</v>
      </c>
      <c r="G38" s="977">
        <v>3208</v>
      </c>
      <c r="H38" s="977">
        <v>3689</v>
      </c>
      <c r="I38" s="980">
        <f t="shared" si="0"/>
        <v>6897</v>
      </c>
      <c r="J38" s="658" t="s">
        <v>47</v>
      </c>
      <c r="K38" s="878">
        <v>29</v>
      </c>
      <c r="L38" s="757"/>
      <c r="M38" s="765"/>
      <c r="N38" s="757"/>
      <c r="O38" s="757"/>
    </row>
    <row r="39" spans="1:26" ht="18" customHeight="1">
      <c r="A39" s="340" t="s">
        <v>43</v>
      </c>
      <c r="B39" s="340" t="s">
        <v>43</v>
      </c>
      <c r="C39" s="340" t="s">
        <v>43</v>
      </c>
      <c r="D39" s="340" t="s">
        <v>43</v>
      </c>
      <c r="E39" s="580">
        <v>30</v>
      </c>
      <c r="F39" s="853" t="s">
        <v>128</v>
      </c>
      <c r="G39" s="978">
        <v>460</v>
      </c>
      <c r="H39" s="978">
        <v>2261</v>
      </c>
      <c r="I39" s="979">
        <f t="shared" si="0"/>
        <v>2721</v>
      </c>
      <c r="J39" s="286" t="s">
        <v>48</v>
      </c>
      <c r="K39" s="879">
        <v>30</v>
      </c>
      <c r="L39" s="53"/>
      <c r="M39" s="53"/>
      <c r="N39" s="53"/>
      <c r="O39" s="53"/>
    </row>
    <row r="40" spans="1:26" s="639" customFormat="1" ht="18" customHeight="1">
      <c r="A40" s="340" t="s">
        <v>43</v>
      </c>
      <c r="B40" s="340" t="s">
        <v>43</v>
      </c>
      <c r="C40" s="340" t="s">
        <v>43</v>
      </c>
      <c r="D40" s="340" t="s">
        <v>43</v>
      </c>
      <c r="E40" s="769">
        <v>31</v>
      </c>
      <c r="F40" s="852" t="s">
        <v>129</v>
      </c>
      <c r="G40" s="977">
        <v>746</v>
      </c>
      <c r="H40" s="977">
        <v>2014</v>
      </c>
      <c r="I40" s="980">
        <f t="shared" si="0"/>
        <v>2760</v>
      </c>
      <c r="J40" s="658" t="s">
        <v>24</v>
      </c>
      <c r="K40" s="878">
        <v>31</v>
      </c>
      <c r="L40" s="757"/>
      <c r="M40" s="757"/>
      <c r="N40" s="757"/>
      <c r="O40" s="757"/>
    </row>
    <row r="41" spans="1:26" ht="18" customHeight="1">
      <c r="A41" s="340" t="s">
        <v>43</v>
      </c>
      <c r="B41" s="340" t="s">
        <v>43</v>
      </c>
      <c r="C41" s="340" t="s">
        <v>43</v>
      </c>
      <c r="D41" s="340" t="s">
        <v>43</v>
      </c>
      <c r="E41" s="580">
        <v>32</v>
      </c>
      <c r="F41" s="853" t="s">
        <v>130</v>
      </c>
      <c r="G41" s="978">
        <v>8094</v>
      </c>
      <c r="H41" s="978">
        <v>6229</v>
      </c>
      <c r="I41" s="979">
        <f t="shared" si="0"/>
        <v>14323</v>
      </c>
      <c r="J41" s="286" t="s">
        <v>25</v>
      </c>
      <c r="K41" s="879">
        <v>32</v>
      </c>
      <c r="L41" s="53"/>
      <c r="M41" s="53"/>
      <c r="N41" s="53"/>
      <c r="O41" s="53"/>
    </row>
    <row r="42" spans="1:26" s="639" customFormat="1" ht="18" customHeight="1">
      <c r="A42" s="340" t="s">
        <v>43</v>
      </c>
      <c r="B42" s="340" t="s">
        <v>43</v>
      </c>
      <c r="C42" s="340" t="s">
        <v>43</v>
      </c>
      <c r="D42" s="340" t="s">
        <v>43</v>
      </c>
      <c r="E42" s="769">
        <v>33</v>
      </c>
      <c r="F42" s="852" t="s">
        <v>131</v>
      </c>
      <c r="G42" s="977">
        <v>932</v>
      </c>
      <c r="H42" s="977">
        <v>1597</v>
      </c>
      <c r="I42" s="980">
        <f t="shared" si="0"/>
        <v>2529</v>
      </c>
      <c r="J42" s="658" t="s">
        <v>49</v>
      </c>
      <c r="K42" s="878">
        <v>33</v>
      </c>
      <c r="L42" s="757"/>
      <c r="M42" s="757"/>
      <c r="N42" s="757"/>
      <c r="O42" s="757"/>
    </row>
    <row r="43" spans="1:26" ht="18" customHeight="1">
      <c r="A43" s="340" t="s">
        <v>43</v>
      </c>
      <c r="B43" s="340" t="s">
        <v>43</v>
      </c>
      <c r="C43" s="340" t="s">
        <v>43</v>
      </c>
      <c r="D43" s="340" t="s">
        <v>43</v>
      </c>
      <c r="E43" s="582">
        <v>34</v>
      </c>
      <c r="F43" s="854" t="s">
        <v>132</v>
      </c>
      <c r="G43" s="981">
        <v>840</v>
      </c>
      <c r="H43" s="981">
        <v>746</v>
      </c>
      <c r="I43" s="982">
        <f t="shared" si="0"/>
        <v>1586</v>
      </c>
      <c r="J43" s="427" t="s">
        <v>50</v>
      </c>
      <c r="K43" s="879">
        <v>34</v>
      </c>
    </row>
    <row r="44" spans="1:26" ht="21" customHeight="1">
      <c r="A44" s="337" t="s">
        <v>43</v>
      </c>
      <c r="B44" s="338" t="s">
        <v>43</v>
      </c>
      <c r="C44" s="338" t="s">
        <v>43</v>
      </c>
      <c r="D44" s="338" t="s">
        <v>43</v>
      </c>
      <c r="E44" s="1268" t="s">
        <v>136</v>
      </c>
      <c r="F44" s="1268"/>
      <c r="G44" s="1268"/>
      <c r="H44" s="210"/>
      <c r="I44" s="1258" t="s">
        <v>1515</v>
      </c>
      <c r="J44" s="1258"/>
      <c r="K44" s="1258"/>
    </row>
    <row r="45" spans="1:26" ht="26.25" customHeight="1">
      <c r="A45" s="339" t="s">
        <v>43</v>
      </c>
      <c r="B45" s="340" t="s">
        <v>43</v>
      </c>
      <c r="C45" s="340" t="s">
        <v>43</v>
      </c>
      <c r="D45" s="340" t="s">
        <v>43</v>
      </c>
      <c r="E45" s="338"/>
      <c r="F45" s="1290"/>
      <c r="G45" s="1290"/>
      <c r="H45" s="1290"/>
      <c r="I45" s="1290"/>
      <c r="J45" s="1290"/>
      <c r="K45" s="1290"/>
    </row>
    <row r="46" spans="1:26" ht="18.75" customHeight="1">
      <c r="A46" s="341" t="s">
        <v>43</v>
      </c>
      <c r="B46" s="342" t="s">
        <v>43</v>
      </c>
      <c r="C46" s="342" t="s">
        <v>43</v>
      </c>
      <c r="D46" s="343" t="s">
        <v>43</v>
      </c>
      <c r="E46" s="338"/>
      <c r="F46" s="1304"/>
      <c r="G46" s="1305"/>
      <c r="H46" s="1305"/>
      <c r="I46" s="1305"/>
      <c r="M46" s="1306"/>
      <c r="N46" s="1306"/>
      <c r="O46" s="1306"/>
      <c r="P46" s="1306"/>
      <c r="Q46" s="1306"/>
      <c r="R46" s="1306"/>
      <c r="S46" s="1306"/>
      <c r="T46" s="1306"/>
      <c r="U46" s="1306"/>
      <c r="V46" s="1306"/>
      <c r="W46" s="1306"/>
      <c r="X46" s="1306"/>
      <c r="Y46" s="1306"/>
      <c r="Z46" s="1306"/>
    </row>
    <row r="47" spans="1:26">
      <c r="A47" s="125"/>
      <c r="B47" s="125"/>
      <c r="C47" s="125"/>
      <c r="D47" s="125"/>
      <c r="E47" s="447"/>
      <c r="G47" s="1303"/>
      <c r="H47" s="1303"/>
      <c r="I47" s="1303"/>
      <c r="J47" s="1303"/>
      <c r="K47" s="1303"/>
      <c r="R47" s="1"/>
      <c r="S47" s="1"/>
      <c r="T47" s="1"/>
    </row>
    <row r="48" spans="1:26">
      <c r="J48" s="125"/>
      <c r="K48" s="125"/>
      <c r="T48" s="4"/>
    </row>
    <row r="49" spans="18:18" ht="16.5" customHeight="1">
      <c r="R49" s="21"/>
    </row>
    <row r="50" spans="18:18" ht="20.25" customHeight="1">
      <c r="R50" s="21"/>
    </row>
    <row r="51" spans="18:18" ht="23.25" customHeight="1">
      <c r="R51" s="21"/>
    </row>
    <row r="52" spans="18:18" ht="21.75" customHeight="1"/>
    <row r="53" spans="18:18" ht="22.5" customHeight="1"/>
    <row r="54" spans="18:18" ht="22.5" customHeight="1"/>
    <row r="55" spans="18:18" ht="24" customHeight="1"/>
    <row r="56" spans="18:18" ht="9.75" customHeight="1"/>
    <row r="57" spans="18:18" ht="13.5" customHeight="1"/>
    <row r="58" spans="18:18" ht="2.25" hidden="1" customHeight="1"/>
    <row r="59" spans="18:18" ht="5.25" hidden="1" customHeight="1"/>
    <row r="60" spans="18:18" ht="2.25" hidden="1" customHeight="1"/>
    <row r="61" spans="18:18" ht="18" customHeight="1"/>
    <row r="62" spans="18:18" ht="11.25" customHeight="1"/>
  </sheetData>
  <mergeCells count="22">
    <mergeCell ref="G47:K47"/>
    <mergeCell ref="L4:AD4"/>
    <mergeCell ref="G5:I5"/>
    <mergeCell ref="E44:G44"/>
    <mergeCell ref="I44:K44"/>
    <mergeCell ref="F45:K45"/>
    <mergeCell ref="F46:I46"/>
    <mergeCell ref="M46:Z46"/>
    <mergeCell ref="E1:K1"/>
    <mergeCell ref="E2:K2"/>
    <mergeCell ref="P2:AD2"/>
    <mergeCell ref="E3:K3"/>
    <mergeCell ref="P3:AD3"/>
    <mergeCell ref="A7:D7"/>
    <mergeCell ref="R7:AF7"/>
    <mergeCell ref="R8:AF8"/>
    <mergeCell ref="N9:AF9"/>
    <mergeCell ref="E4:E8"/>
    <mergeCell ref="F4:F8"/>
    <mergeCell ref="G4:I4"/>
    <mergeCell ref="J4:J8"/>
    <mergeCell ref="K4:K8"/>
  </mergeCells>
  <hyperlinks>
    <hyperlink ref="F34" r:id="rId1" location="FNote1" display="FNote1" xr:uid="{00000000-0004-0000-0200-000000000000}"/>
  </hyperlinks>
  <printOptions horizontalCentered="1"/>
  <pageMargins left="0" right="0" top="0.06" bottom="0.6" header="0.03" footer="0.39370078740157499"/>
  <pageSetup paperSize="9" orientation="portrait" r:id="rId2"/>
  <headerFooter>
    <oddFooter>&amp;L&amp;"Times New Roman,Regular"&amp;10    Afghanistan Statistical Yearbook 2023-24&amp;R&amp;"Times New Roman,Regular"&amp;10          د ۱۴۰۲ احصایيوي کالنۍ  /سالنامه احصائیوی ۱۴۰۲</oddFooter>
  </headerFooter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0"/>
  </sheetPr>
  <dimension ref="A1:W51"/>
  <sheetViews>
    <sheetView view="pageBreakPreview" topLeftCell="D3" zoomScale="130" zoomScaleSheetLayoutView="130" workbookViewId="0">
      <selection activeCell="D3" sqref="D3:J3"/>
    </sheetView>
  </sheetViews>
  <sheetFormatPr baseColWidth="10" defaultColWidth="8.83203125" defaultRowHeight="15"/>
  <cols>
    <col min="1" max="2" width="12.6640625" hidden="1" customWidth="1"/>
    <col min="3" max="3" width="5.1640625" hidden="1" customWidth="1"/>
    <col min="4" max="4" width="6.33203125" style="100" customWidth="1"/>
    <col min="5" max="5" width="21.83203125" style="125" customWidth="1"/>
    <col min="6" max="6" width="15.6640625" style="125" customWidth="1"/>
    <col min="7" max="7" width="12.6640625" style="125" customWidth="1"/>
    <col min="8" max="8" width="14.1640625" style="125" customWidth="1"/>
    <col min="9" max="9" width="22" style="125" customWidth="1"/>
    <col min="10" max="10" width="7" style="125" customWidth="1"/>
    <col min="11" max="11" width="11" bestFit="1" customWidth="1"/>
  </cols>
  <sheetData>
    <row r="1" spans="1:23" ht="21.75" hidden="1" customHeight="1">
      <c r="E1" s="1300" t="s">
        <v>2263</v>
      </c>
      <c r="F1" s="1300"/>
      <c r="G1" s="1300"/>
      <c r="H1" s="1300"/>
      <c r="I1" s="1300"/>
      <c r="J1" s="1300"/>
      <c r="L1" s="1314"/>
      <c r="M1" s="1314"/>
      <c r="N1" s="1314"/>
      <c r="O1" s="1314"/>
      <c r="P1" s="1314"/>
      <c r="Q1" s="1314"/>
      <c r="R1" s="1314"/>
      <c r="S1" s="1314"/>
      <c r="T1" s="1314"/>
      <c r="U1" s="1314"/>
      <c r="V1" s="1314"/>
      <c r="W1" s="1314"/>
    </row>
    <row r="2" spans="1:23" ht="17.25" hidden="1" customHeight="1">
      <c r="E2" s="1300" t="s">
        <v>2264</v>
      </c>
      <c r="F2" s="1300"/>
      <c r="G2" s="1300"/>
      <c r="H2" s="1300"/>
      <c r="I2" s="1300"/>
      <c r="J2" s="1300"/>
      <c r="K2" s="1297"/>
      <c r="L2" s="1297"/>
      <c r="M2" s="1297"/>
      <c r="N2" s="1297"/>
      <c r="O2" s="1297"/>
      <c r="P2" s="1297"/>
      <c r="Q2" s="1297"/>
      <c r="R2" s="1297"/>
      <c r="S2" s="1297"/>
      <c r="T2" s="1297"/>
      <c r="U2" s="1297"/>
      <c r="V2" s="1297"/>
      <c r="W2" s="1297"/>
    </row>
    <row r="3" spans="1:23" ht="16.5" customHeight="1">
      <c r="D3" s="1314" t="s">
        <v>2265</v>
      </c>
      <c r="E3" s="1314"/>
      <c r="F3" s="1314"/>
      <c r="G3" s="1314"/>
      <c r="H3" s="1314"/>
      <c r="I3" s="1314"/>
      <c r="J3" s="1314"/>
      <c r="L3" s="1314"/>
      <c r="M3" s="1314"/>
      <c r="N3" s="1314"/>
      <c r="O3" s="1314"/>
      <c r="P3" s="1314"/>
      <c r="Q3" s="1314"/>
      <c r="R3" s="1314"/>
      <c r="S3" s="1314"/>
      <c r="T3" s="1314"/>
      <c r="U3" s="1314"/>
      <c r="V3" s="1314"/>
      <c r="W3" s="1314"/>
    </row>
    <row r="4" spans="1:23" ht="17" customHeight="1">
      <c r="D4" s="1321" t="s">
        <v>621</v>
      </c>
      <c r="E4" s="1320" t="s">
        <v>97</v>
      </c>
      <c r="F4" s="1317">
        <v>1402</v>
      </c>
      <c r="G4" s="1318"/>
      <c r="H4" s="1319"/>
      <c r="I4" s="1308" t="s">
        <v>17</v>
      </c>
      <c r="J4" s="1311" t="s">
        <v>727</v>
      </c>
    </row>
    <row r="5" spans="1:23" ht="18" customHeight="1">
      <c r="A5" s="1315">
        <v>1400</v>
      </c>
      <c r="B5" s="1315"/>
      <c r="C5" s="1316"/>
      <c r="D5" s="1322"/>
      <c r="E5" s="1280"/>
      <c r="F5" s="1273" t="s">
        <v>772</v>
      </c>
      <c r="G5" s="1274"/>
      <c r="H5" s="1275"/>
      <c r="I5" s="1309"/>
      <c r="J5" s="1298"/>
    </row>
    <row r="6" spans="1:23" ht="15" customHeight="1">
      <c r="A6" s="116"/>
      <c r="B6" s="116"/>
      <c r="C6" s="120"/>
      <c r="D6" s="1322"/>
      <c r="E6" s="1280"/>
      <c r="F6" s="1312" t="s">
        <v>64</v>
      </c>
      <c r="G6" s="1222" t="s">
        <v>677</v>
      </c>
      <c r="H6" s="1239" t="s">
        <v>676</v>
      </c>
      <c r="I6" s="1309"/>
      <c r="J6" s="1298"/>
    </row>
    <row r="7" spans="1:23" ht="15" customHeight="1">
      <c r="A7" s="116"/>
      <c r="B7" s="116"/>
      <c r="C7" s="120"/>
      <c r="D7" s="1322"/>
      <c r="E7" s="1280"/>
      <c r="F7" s="1313"/>
      <c r="G7" s="1240" t="s">
        <v>678</v>
      </c>
      <c r="H7" s="1241" t="s">
        <v>679</v>
      </c>
      <c r="I7" s="1309"/>
      <c r="J7" s="1298"/>
    </row>
    <row r="8" spans="1:23" ht="16.5" customHeight="1">
      <c r="A8" s="65" t="s">
        <v>64</v>
      </c>
      <c r="B8" s="65" t="s">
        <v>73</v>
      </c>
      <c r="C8" s="121" t="s">
        <v>74</v>
      </c>
      <c r="D8" s="1323"/>
      <c r="E8" s="1281"/>
      <c r="F8" s="1208" t="s">
        <v>731</v>
      </c>
      <c r="G8" s="1208" t="s">
        <v>138</v>
      </c>
      <c r="H8" s="882" t="s">
        <v>137</v>
      </c>
      <c r="I8" s="1310"/>
      <c r="J8" s="1299"/>
    </row>
    <row r="9" spans="1:23" ht="28.5" customHeight="1">
      <c r="A9" s="97" t="s">
        <v>43</v>
      </c>
      <c r="B9" s="98" t="s">
        <v>43</v>
      </c>
      <c r="C9" s="98" t="s">
        <v>43</v>
      </c>
      <c r="D9" s="856"/>
      <c r="E9" s="421" t="s">
        <v>70</v>
      </c>
      <c r="F9" s="514">
        <f>H9/G9</f>
        <v>47.85876433987945</v>
      </c>
      <c r="G9" s="414">
        <f>SUM(G10:G43)</f>
        <v>205720</v>
      </c>
      <c r="H9" s="492">
        <v>9845505</v>
      </c>
      <c r="I9" s="508" t="s">
        <v>671</v>
      </c>
      <c r="J9" s="507"/>
      <c r="K9" s="509"/>
      <c r="L9" s="100"/>
      <c r="N9" s="2"/>
    </row>
    <row r="10" spans="1:23" s="639" customFormat="1" ht="18" customHeight="1">
      <c r="A10" s="90" t="s">
        <v>43</v>
      </c>
      <c r="B10" s="86" t="s">
        <v>43</v>
      </c>
      <c r="C10" s="86" t="s">
        <v>43</v>
      </c>
      <c r="D10" s="148">
        <v>1</v>
      </c>
      <c r="E10" s="239" t="s">
        <v>101</v>
      </c>
      <c r="F10" s="770">
        <f>H10/G10</f>
        <v>49.990374769608849</v>
      </c>
      <c r="G10" s="212">
        <v>29298</v>
      </c>
      <c r="H10" s="136">
        <v>1464618</v>
      </c>
      <c r="I10" s="771" t="s">
        <v>18</v>
      </c>
      <c r="J10" s="883">
        <v>1</v>
      </c>
      <c r="K10" s="674"/>
      <c r="N10" s="673"/>
    </row>
    <row r="11" spans="1:23" ht="22.5" customHeight="1">
      <c r="A11" s="90" t="s">
        <v>43</v>
      </c>
      <c r="B11" s="86" t="s">
        <v>43</v>
      </c>
      <c r="C11" s="86" t="s">
        <v>43</v>
      </c>
      <c r="D11" s="857">
        <v>2</v>
      </c>
      <c r="E11" s="240" t="s">
        <v>102</v>
      </c>
      <c r="F11" s="510">
        <f>H11/G11</f>
        <v>43.3320987654321</v>
      </c>
      <c r="G11" s="214">
        <v>3240</v>
      </c>
      <c r="H11" s="143">
        <v>140396</v>
      </c>
      <c r="I11" s="245" t="s">
        <v>26</v>
      </c>
      <c r="J11" s="884">
        <v>2</v>
      </c>
      <c r="K11" s="511"/>
      <c r="L11" s="100"/>
      <c r="N11" s="2"/>
    </row>
    <row r="12" spans="1:23" s="639" customFormat="1" ht="21.75" customHeight="1">
      <c r="A12" s="90" t="s">
        <v>43</v>
      </c>
      <c r="B12" s="86" t="s">
        <v>43</v>
      </c>
      <c r="C12" s="86" t="s">
        <v>43</v>
      </c>
      <c r="D12" s="148">
        <v>3</v>
      </c>
      <c r="E12" s="239" t="s">
        <v>103</v>
      </c>
      <c r="F12" s="770">
        <f t="shared" ref="F12:F42" si="0">H12/G12</f>
        <v>34.679463224052995</v>
      </c>
      <c r="G12" s="212">
        <v>5887</v>
      </c>
      <c r="H12" s="136">
        <v>204158</v>
      </c>
      <c r="I12" s="771" t="s">
        <v>27</v>
      </c>
      <c r="J12" s="883">
        <v>3</v>
      </c>
      <c r="K12" s="674"/>
      <c r="N12" s="676"/>
    </row>
    <row r="13" spans="1:23" ht="18.75" customHeight="1">
      <c r="A13" s="90" t="s">
        <v>43</v>
      </c>
      <c r="B13" s="86" t="s">
        <v>43</v>
      </c>
      <c r="C13" s="86" t="s">
        <v>43</v>
      </c>
      <c r="D13" s="857">
        <v>4</v>
      </c>
      <c r="E13" s="240" t="s">
        <v>652</v>
      </c>
      <c r="F13" s="510">
        <f t="shared" si="0"/>
        <v>35.619744397110573</v>
      </c>
      <c r="G13" s="214">
        <v>5399</v>
      </c>
      <c r="H13" s="143">
        <v>192311</v>
      </c>
      <c r="I13" s="245" t="s">
        <v>1255</v>
      </c>
      <c r="J13" s="884">
        <v>4</v>
      </c>
      <c r="K13" s="511"/>
      <c r="L13" s="100"/>
      <c r="N13" s="2"/>
    </row>
    <row r="14" spans="1:23" s="639" customFormat="1" ht="18" customHeight="1">
      <c r="A14" s="90" t="s">
        <v>43</v>
      </c>
      <c r="B14" s="86" t="s">
        <v>43</v>
      </c>
      <c r="C14" s="86" t="s">
        <v>43</v>
      </c>
      <c r="D14" s="148">
        <v>5</v>
      </c>
      <c r="E14" s="239" t="s">
        <v>104</v>
      </c>
      <c r="F14" s="770">
        <f t="shared" si="0"/>
        <v>38.869756662804171</v>
      </c>
      <c r="G14" s="212">
        <v>4315</v>
      </c>
      <c r="H14" s="136">
        <v>167723</v>
      </c>
      <c r="I14" s="771" t="s">
        <v>19</v>
      </c>
      <c r="J14" s="883">
        <v>5</v>
      </c>
      <c r="K14" s="674"/>
      <c r="N14" s="673"/>
    </row>
    <row r="15" spans="1:23" ht="18" customHeight="1">
      <c r="A15" s="90" t="s">
        <v>43</v>
      </c>
      <c r="B15" s="86" t="s">
        <v>43</v>
      </c>
      <c r="C15" s="86" t="s">
        <v>43</v>
      </c>
      <c r="D15" s="857">
        <v>6</v>
      </c>
      <c r="E15" s="240" t="s">
        <v>105</v>
      </c>
      <c r="F15" s="510">
        <f t="shared" si="0"/>
        <v>52.029476651550432</v>
      </c>
      <c r="G15" s="214">
        <v>16318</v>
      </c>
      <c r="H15" s="143">
        <v>849017</v>
      </c>
      <c r="I15" s="245" t="s">
        <v>28</v>
      </c>
      <c r="J15" s="884">
        <v>6</v>
      </c>
      <c r="K15" s="511"/>
      <c r="L15" s="100"/>
      <c r="N15" s="2"/>
    </row>
    <row r="16" spans="1:23" s="639" customFormat="1" ht="18" customHeight="1">
      <c r="A16" s="90" t="s">
        <v>43</v>
      </c>
      <c r="B16" s="86" t="s">
        <v>43</v>
      </c>
      <c r="C16" s="86" t="s">
        <v>43</v>
      </c>
      <c r="D16" s="148">
        <v>7</v>
      </c>
      <c r="E16" s="239" t="s">
        <v>106</v>
      </c>
      <c r="F16" s="770">
        <f t="shared" si="0"/>
        <v>50.250803858520904</v>
      </c>
      <c r="G16" s="212">
        <v>4354</v>
      </c>
      <c r="H16" s="136">
        <v>218792</v>
      </c>
      <c r="I16" s="771" t="s">
        <v>29</v>
      </c>
      <c r="J16" s="883">
        <v>7</v>
      </c>
      <c r="K16" s="674"/>
      <c r="N16" s="673"/>
    </row>
    <row r="17" spans="1:15" ht="18" customHeight="1">
      <c r="A17" s="90" t="s">
        <v>43</v>
      </c>
      <c r="B17" s="86" t="s">
        <v>43</v>
      </c>
      <c r="C17" s="86" t="s">
        <v>43</v>
      </c>
      <c r="D17" s="857">
        <v>8</v>
      </c>
      <c r="E17" s="240" t="s">
        <v>107</v>
      </c>
      <c r="F17" s="510">
        <f t="shared" si="0"/>
        <v>30.626715462031108</v>
      </c>
      <c r="G17" s="214">
        <v>1093</v>
      </c>
      <c r="H17" s="143">
        <v>33475</v>
      </c>
      <c r="I17" s="245" t="s">
        <v>30</v>
      </c>
      <c r="J17" s="884">
        <v>8</v>
      </c>
      <c r="K17" s="511"/>
      <c r="L17" s="100"/>
      <c r="N17" s="2"/>
    </row>
    <row r="18" spans="1:15" s="639" customFormat="1" ht="18" customHeight="1">
      <c r="A18" s="90" t="s">
        <v>43</v>
      </c>
      <c r="B18" s="86" t="s">
        <v>43</v>
      </c>
      <c r="C18" s="86" t="s">
        <v>43</v>
      </c>
      <c r="D18" s="148">
        <v>9</v>
      </c>
      <c r="E18" s="239" t="s">
        <v>108</v>
      </c>
      <c r="F18" s="770">
        <f t="shared" si="0"/>
        <v>42.220523772057994</v>
      </c>
      <c r="G18" s="212">
        <v>8897</v>
      </c>
      <c r="H18" s="136">
        <v>375636</v>
      </c>
      <c r="I18" s="635" t="s">
        <v>20</v>
      </c>
      <c r="J18" s="883">
        <v>9</v>
      </c>
      <c r="K18" s="674"/>
      <c r="N18" s="673"/>
    </row>
    <row r="19" spans="1:15" ht="18" customHeight="1">
      <c r="A19" s="90" t="s">
        <v>43</v>
      </c>
      <c r="B19" s="86" t="s">
        <v>43</v>
      </c>
      <c r="C19" s="86" t="s">
        <v>43</v>
      </c>
      <c r="D19" s="857">
        <v>10</v>
      </c>
      <c r="E19" s="240" t="s">
        <v>109</v>
      </c>
      <c r="F19" s="510">
        <f t="shared" si="0"/>
        <v>34.562339780936846</v>
      </c>
      <c r="G19" s="214">
        <v>4291</v>
      </c>
      <c r="H19" s="143">
        <v>148307</v>
      </c>
      <c r="I19" s="245" t="s">
        <v>21</v>
      </c>
      <c r="J19" s="884">
        <v>10</v>
      </c>
      <c r="K19" s="511"/>
      <c r="L19" s="100"/>
      <c r="N19" s="2"/>
    </row>
    <row r="20" spans="1:15" s="639" customFormat="1" ht="18" customHeight="1">
      <c r="A20" s="90" t="s">
        <v>43</v>
      </c>
      <c r="B20" s="86" t="s">
        <v>43</v>
      </c>
      <c r="C20" s="86" t="s">
        <v>43</v>
      </c>
      <c r="D20" s="148">
        <v>11</v>
      </c>
      <c r="E20" s="239" t="s">
        <v>110</v>
      </c>
      <c r="F20" s="770">
        <f t="shared" si="0"/>
        <v>51.843416844349683</v>
      </c>
      <c r="G20" s="212">
        <v>7504</v>
      </c>
      <c r="H20" s="136">
        <v>389033</v>
      </c>
      <c r="I20" s="771" t="s">
        <v>31</v>
      </c>
      <c r="J20" s="883">
        <v>11</v>
      </c>
      <c r="K20" s="674"/>
      <c r="N20" s="673"/>
    </row>
    <row r="21" spans="1:15" ht="18" customHeight="1">
      <c r="A21" s="90" t="s">
        <v>43</v>
      </c>
      <c r="B21" s="86" t="s">
        <v>43</v>
      </c>
      <c r="C21" s="86" t="s">
        <v>43</v>
      </c>
      <c r="D21" s="857">
        <v>12</v>
      </c>
      <c r="E21" s="240" t="s">
        <v>111</v>
      </c>
      <c r="F21" s="510">
        <f t="shared" si="0"/>
        <v>47.695535952953755</v>
      </c>
      <c r="G21" s="214">
        <v>3741</v>
      </c>
      <c r="H21" s="143">
        <v>178429</v>
      </c>
      <c r="I21" s="245" t="s">
        <v>32</v>
      </c>
      <c r="J21" s="884">
        <v>12</v>
      </c>
      <c r="K21" s="511"/>
      <c r="L21" s="100"/>
      <c r="N21" s="2"/>
    </row>
    <row r="22" spans="1:15" s="639" customFormat="1" ht="18" customHeight="1">
      <c r="A22" s="90" t="s">
        <v>43</v>
      </c>
      <c r="B22" s="86" t="s">
        <v>43</v>
      </c>
      <c r="C22" s="86" t="s">
        <v>43</v>
      </c>
      <c r="D22" s="148">
        <v>13</v>
      </c>
      <c r="E22" s="239" t="s">
        <v>112</v>
      </c>
      <c r="F22" s="770">
        <f t="shared" si="0"/>
        <v>67.363664693050794</v>
      </c>
      <c r="G22" s="212">
        <v>3209</v>
      </c>
      <c r="H22" s="136">
        <v>216170</v>
      </c>
      <c r="I22" s="771" t="s">
        <v>33</v>
      </c>
      <c r="J22" s="883">
        <v>13</v>
      </c>
      <c r="K22" s="674"/>
      <c r="N22" s="673"/>
    </row>
    <row r="23" spans="1:15" ht="18" customHeight="1">
      <c r="A23" s="90" t="s">
        <v>43</v>
      </c>
      <c r="B23" s="86" t="s">
        <v>43</v>
      </c>
      <c r="C23" s="86" t="s">
        <v>43</v>
      </c>
      <c r="D23" s="857">
        <v>14</v>
      </c>
      <c r="E23" s="240" t="s">
        <v>113</v>
      </c>
      <c r="F23" s="510">
        <f t="shared" si="0"/>
        <v>54.218003674219226</v>
      </c>
      <c r="G23" s="214">
        <v>4899</v>
      </c>
      <c r="H23" s="143">
        <v>265614</v>
      </c>
      <c r="I23" s="245" t="s">
        <v>34</v>
      </c>
      <c r="J23" s="884">
        <v>14</v>
      </c>
      <c r="K23" s="511"/>
      <c r="L23" s="100"/>
      <c r="N23" s="2"/>
    </row>
    <row r="24" spans="1:15" s="639" customFormat="1" ht="18" customHeight="1">
      <c r="A24" s="90" t="s">
        <v>43</v>
      </c>
      <c r="B24" s="86" t="s">
        <v>43</v>
      </c>
      <c r="C24" s="86" t="s">
        <v>43</v>
      </c>
      <c r="D24" s="148">
        <v>15</v>
      </c>
      <c r="E24" s="239" t="s">
        <v>763</v>
      </c>
      <c r="F24" s="770">
        <f t="shared" si="0"/>
        <v>41.292101042502004</v>
      </c>
      <c r="G24" s="212">
        <v>4988</v>
      </c>
      <c r="H24" s="136">
        <v>205965</v>
      </c>
      <c r="I24" s="771" t="s">
        <v>729</v>
      </c>
      <c r="J24" s="883">
        <v>15</v>
      </c>
      <c r="K24" s="674"/>
      <c r="N24" s="673"/>
    </row>
    <row r="25" spans="1:15" ht="18" customHeight="1">
      <c r="A25" s="90" t="s">
        <v>43</v>
      </c>
      <c r="B25" s="86" t="s">
        <v>43</v>
      </c>
      <c r="C25" s="86" t="s">
        <v>43</v>
      </c>
      <c r="D25" s="857">
        <v>16</v>
      </c>
      <c r="E25" s="240" t="s">
        <v>114</v>
      </c>
      <c r="F25" s="510">
        <f t="shared" si="0"/>
        <v>36.733064516129033</v>
      </c>
      <c r="G25" s="214">
        <v>1240</v>
      </c>
      <c r="H25" s="143">
        <v>45549</v>
      </c>
      <c r="I25" s="245" t="s">
        <v>35</v>
      </c>
      <c r="J25" s="884">
        <v>16</v>
      </c>
      <c r="K25" s="511"/>
      <c r="L25" s="100"/>
      <c r="N25" s="2"/>
    </row>
    <row r="26" spans="1:15" s="639" customFormat="1" ht="18" customHeight="1">
      <c r="A26" s="90" t="s">
        <v>43</v>
      </c>
      <c r="B26" s="86" t="s">
        <v>43</v>
      </c>
      <c r="C26" s="86" t="s">
        <v>43</v>
      </c>
      <c r="D26" s="148">
        <v>17</v>
      </c>
      <c r="E26" s="239" t="s">
        <v>115</v>
      </c>
      <c r="F26" s="770">
        <f t="shared" si="0"/>
        <v>36.559150565074738</v>
      </c>
      <c r="G26" s="212">
        <v>10972</v>
      </c>
      <c r="H26" s="136">
        <v>401127</v>
      </c>
      <c r="I26" s="771" t="s">
        <v>36</v>
      </c>
      <c r="J26" s="883">
        <v>17</v>
      </c>
      <c r="K26" s="674"/>
      <c r="N26" s="673"/>
    </row>
    <row r="27" spans="1:15" ht="18" customHeight="1">
      <c r="A27" s="90" t="s">
        <v>43</v>
      </c>
      <c r="B27" s="86" t="s">
        <v>43</v>
      </c>
      <c r="C27" s="86" t="s">
        <v>43</v>
      </c>
      <c r="D27" s="857">
        <v>18</v>
      </c>
      <c r="E27" s="240" t="s">
        <v>116</v>
      </c>
      <c r="F27" s="510">
        <f t="shared" si="0"/>
        <v>49.818884528481391</v>
      </c>
      <c r="G27" s="214">
        <v>8409</v>
      </c>
      <c r="H27" s="143">
        <v>418927</v>
      </c>
      <c r="I27" s="245" t="s">
        <v>37</v>
      </c>
      <c r="J27" s="884">
        <v>18</v>
      </c>
      <c r="K27" s="511"/>
      <c r="L27" s="100"/>
      <c r="N27" s="2"/>
      <c r="O27" s="4"/>
    </row>
    <row r="28" spans="1:15" s="639" customFormat="1" ht="18" customHeight="1">
      <c r="A28" s="90" t="s">
        <v>43</v>
      </c>
      <c r="B28" s="86" t="s">
        <v>43</v>
      </c>
      <c r="C28" s="86" t="s">
        <v>43</v>
      </c>
      <c r="D28" s="148">
        <v>19</v>
      </c>
      <c r="E28" s="239" t="s">
        <v>117</v>
      </c>
      <c r="F28" s="770">
        <f t="shared" si="0"/>
        <v>51.360888175494914</v>
      </c>
      <c r="G28" s="212">
        <v>7476</v>
      </c>
      <c r="H28" s="136">
        <v>383974</v>
      </c>
      <c r="I28" s="635" t="s">
        <v>38</v>
      </c>
      <c r="J28" s="883">
        <v>19</v>
      </c>
      <c r="N28" s="673"/>
    </row>
    <row r="29" spans="1:15" ht="18" customHeight="1">
      <c r="A29" s="90" t="s">
        <v>43</v>
      </c>
      <c r="B29" s="86" t="s">
        <v>43</v>
      </c>
      <c r="C29" s="86" t="s">
        <v>43</v>
      </c>
      <c r="D29" s="857">
        <v>20</v>
      </c>
      <c r="E29" s="240" t="s">
        <v>118</v>
      </c>
      <c r="F29" s="510">
        <f t="shared" si="0"/>
        <v>49.381117667476573</v>
      </c>
      <c r="G29" s="214">
        <v>2881</v>
      </c>
      <c r="H29" s="143">
        <v>142267</v>
      </c>
      <c r="I29" s="246" t="s">
        <v>39</v>
      </c>
      <c r="J29" s="884">
        <v>20</v>
      </c>
      <c r="K29" s="100"/>
      <c r="L29" s="100"/>
      <c r="N29" s="2"/>
    </row>
    <row r="30" spans="1:15" s="639" customFormat="1" ht="18" customHeight="1">
      <c r="A30" s="90" t="s">
        <v>43</v>
      </c>
      <c r="B30" s="86" t="s">
        <v>43</v>
      </c>
      <c r="C30" s="86" t="s">
        <v>43</v>
      </c>
      <c r="D30" s="148">
        <v>21</v>
      </c>
      <c r="E30" s="239" t="s">
        <v>119</v>
      </c>
      <c r="F30" s="770">
        <f t="shared" si="0"/>
        <v>47.413331027924265</v>
      </c>
      <c r="G30" s="212">
        <v>11567</v>
      </c>
      <c r="H30" s="136">
        <v>548430</v>
      </c>
      <c r="I30" s="635" t="s">
        <v>40</v>
      </c>
      <c r="J30" s="883">
        <v>21</v>
      </c>
      <c r="N30" s="673"/>
    </row>
    <row r="31" spans="1:15" ht="18" customHeight="1">
      <c r="A31" s="90" t="s">
        <v>43</v>
      </c>
      <c r="B31" s="86" t="s">
        <v>43</v>
      </c>
      <c r="C31" s="86" t="s">
        <v>43</v>
      </c>
      <c r="D31" s="857">
        <v>22</v>
      </c>
      <c r="E31" s="240" t="s">
        <v>120</v>
      </c>
      <c r="F31" s="510">
        <f t="shared" si="0"/>
        <v>52.343513853904284</v>
      </c>
      <c r="G31" s="214">
        <v>3176</v>
      </c>
      <c r="H31" s="143">
        <v>166243</v>
      </c>
      <c r="I31" s="246" t="s">
        <v>41</v>
      </c>
      <c r="J31" s="884">
        <v>22</v>
      </c>
      <c r="K31" s="100"/>
      <c r="L31" s="100"/>
      <c r="N31" s="2"/>
    </row>
    <row r="32" spans="1:15" s="639" customFormat="1" ht="18" customHeight="1">
      <c r="A32" s="90" t="s">
        <v>43</v>
      </c>
      <c r="B32" s="86" t="s">
        <v>43</v>
      </c>
      <c r="C32" s="86" t="s">
        <v>43</v>
      </c>
      <c r="D32" s="148">
        <v>23</v>
      </c>
      <c r="E32" s="239" t="s">
        <v>121</v>
      </c>
      <c r="F32" s="770">
        <f t="shared" si="0"/>
        <v>44.323334712453452</v>
      </c>
      <c r="G32" s="212">
        <v>4834</v>
      </c>
      <c r="H32" s="136">
        <v>214259</v>
      </c>
      <c r="I32" s="771" t="s">
        <v>22</v>
      </c>
      <c r="J32" s="883">
        <v>23</v>
      </c>
      <c r="N32" s="673"/>
    </row>
    <row r="33" spans="1:18" ht="18" customHeight="1">
      <c r="A33" s="90" t="s">
        <v>43</v>
      </c>
      <c r="B33" s="86" t="s">
        <v>43</v>
      </c>
      <c r="C33" s="86" t="s">
        <v>43</v>
      </c>
      <c r="D33" s="857">
        <v>24</v>
      </c>
      <c r="E33" s="298" t="s">
        <v>122</v>
      </c>
      <c r="F33" s="510">
        <f t="shared" si="0"/>
        <v>37.897275204359673</v>
      </c>
      <c r="G33" s="214">
        <v>3670</v>
      </c>
      <c r="H33" s="143">
        <v>139083</v>
      </c>
      <c r="I33" s="245" t="s">
        <v>23</v>
      </c>
      <c r="J33" s="884">
        <v>24</v>
      </c>
      <c r="K33" s="100"/>
      <c r="L33" s="100"/>
      <c r="N33" s="2"/>
    </row>
    <row r="34" spans="1:18" s="639" customFormat="1" ht="18" customHeight="1">
      <c r="A34" s="90" t="s">
        <v>43</v>
      </c>
      <c r="B34" s="86" t="s">
        <v>43</v>
      </c>
      <c r="C34" s="86" t="s">
        <v>43</v>
      </c>
      <c r="D34" s="148">
        <v>25</v>
      </c>
      <c r="E34" s="239" t="s">
        <v>123</v>
      </c>
      <c r="F34" s="770">
        <f t="shared" si="0"/>
        <v>55.683823529411768</v>
      </c>
      <c r="G34" s="212">
        <v>1224</v>
      </c>
      <c r="H34" s="136">
        <v>68157</v>
      </c>
      <c r="I34" s="771" t="s">
        <v>42</v>
      </c>
      <c r="J34" s="883">
        <v>25</v>
      </c>
      <c r="N34" s="673"/>
    </row>
    <row r="35" spans="1:18" ht="18" customHeight="1">
      <c r="A35" s="90" t="s">
        <v>43</v>
      </c>
      <c r="B35" s="86" t="s">
        <v>43</v>
      </c>
      <c r="C35" s="86" t="s">
        <v>43</v>
      </c>
      <c r="D35" s="857">
        <v>26</v>
      </c>
      <c r="E35" s="240" t="s">
        <v>124</v>
      </c>
      <c r="F35" s="510">
        <f t="shared" si="0"/>
        <v>46.45708037178786</v>
      </c>
      <c r="G35" s="214">
        <v>1829</v>
      </c>
      <c r="H35" s="143">
        <v>84970</v>
      </c>
      <c r="I35" s="245" t="s">
        <v>44</v>
      </c>
      <c r="J35" s="884">
        <v>26</v>
      </c>
      <c r="K35" s="100"/>
      <c r="L35" s="100"/>
      <c r="N35" s="2"/>
    </row>
    <row r="36" spans="1:18" s="639" customFormat="1" ht="18" customHeight="1">
      <c r="A36" s="90" t="s">
        <v>43</v>
      </c>
      <c r="B36" s="86" t="s">
        <v>43</v>
      </c>
      <c r="C36" s="86" t="s">
        <v>43</v>
      </c>
      <c r="D36" s="148">
        <v>27</v>
      </c>
      <c r="E36" s="239" t="s">
        <v>125</v>
      </c>
      <c r="F36" s="770">
        <f t="shared" si="0"/>
        <v>46.050358454275226</v>
      </c>
      <c r="G36" s="212">
        <v>5719</v>
      </c>
      <c r="H36" s="136">
        <v>263362</v>
      </c>
      <c r="I36" s="771" t="s">
        <v>45</v>
      </c>
      <c r="J36" s="883">
        <v>27</v>
      </c>
      <c r="N36" s="673"/>
    </row>
    <row r="37" spans="1:18" ht="18" customHeight="1">
      <c r="A37" s="90" t="s">
        <v>43</v>
      </c>
      <c r="B37" s="86" t="s">
        <v>43</v>
      </c>
      <c r="C37" s="86" t="s">
        <v>43</v>
      </c>
      <c r="D37" s="857">
        <v>28</v>
      </c>
      <c r="E37" s="240" t="s">
        <v>126</v>
      </c>
      <c r="F37" s="510">
        <f t="shared" si="0"/>
        <v>51.691327670987931</v>
      </c>
      <c r="G37" s="214">
        <v>4474</v>
      </c>
      <c r="H37" s="143">
        <v>231267</v>
      </c>
      <c r="I37" s="246" t="s">
        <v>46</v>
      </c>
      <c r="J37" s="884">
        <v>28</v>
      </c>
      <c r="K37" s="100"/>
      <c r="L37" s="100"/>
      <c r="N37" s="2"/>
    </row>
    <row r="38" spans="1:18" s="639" customFormat="1" ht="18" customHeight="1">
      <c r="A38" s="90" t="s">
        <v>43</v>
      </c>
      <c r="B38" s="86" t="s">
        <v>43</v>
      </c>
      <c r="C38" s="86" t="s">
        <v>43</v>
      </c>
      <c r="D38" s="148">
        <v>29</v>
      </c>
      <c r="E38" s="239" t="s">
        <v>127</v>
      </c>
      <c r="F38" s="770">
        <f t="shared" si="0"/>
        <v>51.50993185442946</v>
      </c>
      <c r="G38" s="212">
        <v>6897</v>
      </c>
      <c r="H38" s="136">
        <v>355264</v>
      </c>
      <c r="I38" s="635" t="s">
        <v>47</v>
      </c>
      <c r="J38" s="883">
        <v>29</v>
      </c>
      <c r="N38" s="673"/>
    </row>
    <row r="39" spans="1:18" ht="18" customHeight="1">
      <c r="A39" s="90" t="s">
        <v>43</v>
      </c>
      <c r="B39" s="86" t="s">
        <v>43</v>
      </c>
      <c r="C39" s="86" t="s">
        <v>43</v>
      </c>
      <c r="D39" s="857">
        <v>30</v>
      </c>
      <c r="E39" s="240" t="s">
        <v>128</v>
      </c>
      <c r="F39" s="510">
        <f t="shared" si="0"/>
        <v>80.117603822124224</v>
      </c>
      <c r="G39" s="214">
        <v>2721</v>
      </c>
      <c r="H39" s="143">
        <v>218000</v>
      </c>
      <c r="I39" s="245" t="s">
        <v>48</v>
      </c>
      <c r="J39" s="884">
        <v>30</v>
      </c>
      <c r="K39" s="100"/>
      <c r="L39" s="100"/>
      <c r="N39" s="2"/>
    </row>
    <row r="40" spans="1:18" s="639" customFormat="1" ht="18" customHeight="1">
      <c r="A40" s="90" t="s">
        <v>43</v>
      </c>
      <c r="B40" s="86" t="s">
        <v>43</v>
      </c>
      <c r="C40" s="86" t="s">
        <v>43</v>
      </c>
      <c r="D40" s="148">
        <v>31</v>
      </c>
      <c r="E40" s="239" t="s">
        <v>129</v>
      </c>
      <c r="F40" s="770">
        <f t="shared" si="0"/>
        <v>50.958333333333336</v>
      </c>
      <c r="G40" s="212">
        <v>2760</v>
      </c>
      <c r="H40" s="136">
        <v>140645</v>
      </c>
      <c r="I40" s="771" t="s">
        <v>24</v>
      </c>
      <c r="J40" s="883">
        <v>31</v>
      </c>
      <c r="N40" s="673"/>
    </row>
    <row r="41" spans="1:18" ht="18" customHeight="1">
      <c r="A41" s="90" t="s">
        <v>43</v>
      </c>
      <c r="B41" s="86" t="s">
        <v>43</v>
      </c>
      <c r="C41" s="86" t="s">
        <v>43</v>
      </c>
      <c r="D41" s="857">
        <v>32</v>
      </c>
      <c r="E41" s="240" t="s">
        <v>130</v>
      </c>
      <c r="F41" s="510">
        <f t="shared" si="0"/>
        <v>53.985268449347203</v>
      </c>
      <c r="G41" s="214">
        <v>14323</v>
      </c>
      <c r="H41" s="143">
        <v>773231</v>
      </c>
      <c r="I41" s="246" t="s">
        <v>25</v>
      </c>
      <c r="J41" s="884">
        <v>32</v>
      </c>
      <c r="K41" s="100"/>
      <c r="L41" s="100"/>
      <c r="N41" s="2"/>
    </row>
    <row r="42" spans="1:18" s="639" customFormat="1" ht="18" customHeight="1">
      <c r="A42" s="90" t="s">
        <v>43</v>
      </c>
      <c r="B42" s="86" t="s">
        <v>43</v>
      </c>
      <c r="C42" s="86" t="s">
        <v>43</v>
      </c>
      <c r="D42" s="148">
        <v>33</v>
      </c>
      <c r="E42" s="239" t="s">
        <v>131</v>
      </c>
      <c r="F42" s="770">
        <f t="shared" si="0"/>
        <v>47.370897587979435</v>
      </c>
      <c r="G42" s="212">
        <v>2529</v>
      </c>
      <c r="H42" s="136">
        <v>119801</v>
      </c>
      <c r="I42" s="635" t="s">
        <v>49</v>
      </c>
      <c r="J42" s="883">
        <v>33</v>
      </c>
      <c r="N42" s="673"/>
    </row>
    <row r="43" spans="1:18" ht="18.75" customHeight="1">
      <c r="A43" s="94" t="s">
        <v>43</v>
      </c>
      <c r="B43" s="92" t="s">
        <v>43</v>
      </c>
      <c r="C43" s="92" t="s">
        <v>43</v>
      </c>
      <c r="D43" s="858">
        <v>34</v>
      </c>
      <c r="E43" s="363" t="s">
        <v>132</v>
      </c>
      <c r="F43" s="512">
        <f>H43/G43</f>
        <v>51.264186633039095</v>
      </c>
      <c r="G43" s="423">
        <v>1586</v>
      </c>
      <c r="H43" s="468">
        <v>81305</v>
      </c>
      <c r="I43" s="513" t="s">
        <v>50</v>
      </c>
      <c r="J43" s="885">
        <v>34</v>
      </c>
      <c r="K43" s="100"/>
      <c r="L43" s="100"/>
      <c r="N43" s="2"/>
    </row>
    <row r="44" spans="1:18" ht="15.75" customHeight="1">
      <c r="D44" s="1257" t="s">
        <v>285</v>
      </c>
      <c r="E44" s="1257"/>
      <c r="F44" s="208"/>
      <c r="G44" s="1258" t="s">
        <v>1516</v>
      </c>
      <c r="H44" s="1258"/>
      <c r="I44" s="1258"/>
      <c r="J44" s="1258"/>
      <c r="P44" s="1"/>
      <c r="Q44" s="1"/>
      <c r="R44" s="1"/>
    </row>
    <row r="45" spans="1:18" ht="26.25" customHeight="1">
      <c r="K45" s="209"/>
      <c r="L45" s="209"/>
      <c r="M45" s="209"/>
    </row>
    <row r="46" spans="1:18" ht="16.5" customHeight="1">
      <c r="L46" s="125"/>
    </row>
    <row r="47" spans="1:18" ht="9" customHeight="1"/>
    <row r="48" spans="1:18" ht="19.5" customHeight="1">
      <c r="E48" s="1290"/>
      <c r="F48" s="1290"/>
      <c r="G48" s="1290"/>
      <c r="H48" s="1290"/>
      <c r="I48" s="1290"/>
      <c r="J48" s="1290"/>
    </row>
    <row r="49" spans="5:18">
      <c r="E49" s="126"/>
      <c r="F49" s="126"/>
      <c r="G49" s="242"/>
      <c r="H49" s="243"/>
      <c r="I49" s="243"/>
      <c r="J49" s="243"/>
    </row>
    <row r="51" spans="5:18" ht="16">
      <c r="N51" s="1307"/>
      <c r="O51" s="1307"/>
      <c r="P51" s="1307"/>
      <c r="Q51" s="1307"/>
      <c r="R51" s="1307"/>
    </row>
  </sheetData>
  <mergeCells count="18">
    <mergeCell ref="L3:W3"/>
    <mergeCell ref="L1:W1"/>
    <mergeCell ref="A5:C5"/>
    <mergeCell ref="F4:H4"/>
    <mergeCell ref="F5:H5"/>
    <mergeCell ref="E4:E8"/>
    <mergeCell ref="K2:W2"/>
    <mergeCell ref="E1:J1"/>
    <mergeCell ref="E2:J2"/>
    <mergeCell ref="D3:J3"/>
    <mergeCell ref="D4:D8"/>
    <mergeCell ref="N51:R51"/>
    <mergeCell ref="I4:I8"/>
    <mergeCell ref="J4:J8"/>
    <mergeCell ref="E48:J48"/>
    <mergeCell ref="G44:J44"/>
    <mergeCell ref="F6:F7"/>
    <mergeCell ref="D44:E44"/>
  </mergeCells>
  <hyperlinks>
    <hyperlink ref="E34" r:id="rId1" location="FNote1" display="FNote1" xr:uid="{00000000-0004-0000-0300-000000000000}"/>
  </hyperlinks>
  <printOptions horizontalCentered="1"/>
  <pageMargins left="0" right="0" top="0.06" bottom="0.6" header="0.03" footer="0.39370078740157499"/>
  <pageSetup paperSize="9" orientation="portrait" r:id="rId2"/>
  <headerFooter>
    <oddFooter>&amp;L&amp;"Times New Roman,Regular"&amp;10    Afghanistan Statistical Yearbook 2022-23&amp;R&amp;"Times New Roman,Regular"&amp;10          د ۱۴۰۱ احصایيوي کالنۍ  /سالنامه احصائیوی ۱۴۰۱</oddFooter>
  </headerFooter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0"/>
  </sheetPr>
  <dimension ref="A1:N128"/>
  <sheetViews>
    <sheetView view="pageBreakPreview" topLeftCell="A3" zoomScale="136" zoomScaleNormal="100" zoomScaleSheetLayoutView="136" workbookViewId="0">
      <selection activeCell="A3" sqref="A3:H3"/>
    </sheetView>
  </sheetViews>
  <sheetFormatPr baseColWidth="10" defaultColWidth="8.83203125" defaultRowHeight="15"/>
  <cols>
    <col min="1" max="1" width="6.83203125" customWidth="1"/>
    <col min="2" max="2" width="17.5" style="125" customWidth="1"/>
    <col min="3" max="3" width="11.5" style="125" customWidth="1"/>
    <col min="4" max="4" width="10.6640625" style="125" customWidth="1"/>
    <col min="5" max="5" width="12.1640625" style="125" customWidth="1"/>
    <col min="6" max="6" width="12.5" style="125" customWidth="1"/>
    <col min="7" max="7" width="19.1640625" style="125" customWidth="1"/>
    <col min="8" max="8" width="8" style="125" customWidth="1"/>
    <col min="9" max="9" width="11.83203125" customWidth="1"/>
    <col min="10" max="10" width="15.33203125" customWidth="1"/>
  </cols>
  <sheetData>
    <row r="1" spans="1:14" ht="16" hidden="1">
      <c r="A1" s="1300" t="s">
        <v>2261</v>
      </c>
      <c r="B1" s="1300"/>
      <c r="C1" s="1300"/>
      <c r="D1" s="1300"/>
      <c r="E1" s="1300"/>
      <c r="F1" s="1300"/>
      <c r="G1" s="1300"/>
      <c r="H1" s="1300"/>
    </row>
    <row r="2" spans="1:14" ht="16" hidden="1">
      <c r="A2" s="1326" t="s">
        <v>2260</v>
      </c>
      <c r="B2" s="1326"/>
      <c r="C2" s="1326"/>
      <c r="D2" s="1326"/>
      <c r="E2" s="1326"/>
      <c r="F2" s="1326"/>
      <c r="G2" s="1326"/>
      <c r="H2" s="1326"/>
    </row>
    <row r="3" spans="1:14" ht="14.25" customHeight="1">
      <c r="A3" s="1314" t="s">
        <v>2262</v>
      </c>
      <c r="B3" s="1314"/>
      <c r="C3" s="1314"/>
      <c r="D3" s="1314"/>
      <c r="E3" s="1314"/>
      <c r="F3" s="1314"/>
      <c r="G3" s="1314"/>
      <c r="H3" s="1314"/>
    </row>
    <row r="4" spans="1:14" ht="15" customHeight="1">
      <c r="A4" s="1327" t="s">
        <v>621</v>
      </c>
      <c r="B4" s="1330" t="s">
        <v>139</v>
      </c>
      <c r="C4" s="1333">
        <v>1402</v>
      </c>
      <c r="D4" s="1334"/>
      <c r="E4" s="1334"/>
      <c r="F4" s="1335"/>
      <c r="G4" s="1336" t="s">
        <v>17</v>
      </c>
      <c r="H4" s="1311" t="s">
        <v>727</v>
      </c>
    </row>
    <row r="5" spans="1:14" ht="15" customHeight="1">
      <c r="A5" s="1328"/>
      <c r="B5" s="1331"/>
      <c r="C5" s="1273" t="s">
        <v>772</v>
      </c>
      <c r="D5" s="1274"/>
      <c r="E5" s="1274"/>
      <c r="F5" s="1275"/>
      <c r="G5" s="1337"/>
      <c r="H5" s="1298"/>
    </row>
    <row r="6" spans="1:14" ht="15" customHeight="1">
      <c r="A6" s="1328"/>
      <c r="B6" s="1331"/>
      <c r="C6" s="1223" t="s">
        <v>685</v>
      </c>
      <c r="D6" s="1242" t="s">
        <v>684</v>
      </c>
      <c r="E6" s="1223" t="s">
        <v>683</v>
      </c>
      <c r="F6" s="1232" t="s">
        <v>682</v>
      </c>
      <c r="G6" s="1337"/>
      <c r="H6" s="1298"/>
    </row>
    <row r="7" spans="1:14" ht="15" customHeight="1">
      <c r="A7" s="1328"/>
      <c r="B7" s="1331"/>
      <c r="C7" s="1243" t="s">
        <v>65</v>
      </c>
      <c r="D7" s="1244" t="s">
        <v>2</v>
      </c>
      <c r="E7" s="1243" t="s">
        <v>681</v>
      </c>
      <c r="F7" s="1233" t="s">
        <v>9</v>
      </c>
      <c r="G7" s="1337"/>
      <c r="H7" s="1298"/>
    </row>
    <row r="8" spans="1:14" ht="15" customHeight="1">
      <c r="A8" s="1329"/>
      <c r="B8" s="1332"/>
      <c r="C8" s="1225" t="s">
        <v>140</v>
      </c>
      <c r="D8" s="891" t="s">
        <v>141</v>
      </c>
      <c r="E8" s="1225" t="s">
        <v>142</v>
      </c>
      <c r="F8" s="350" t="s">
        <v>70</v>
      </c>
      <c r="G8" s="1338"/>
      <c r="H8" s="1299"/>
    </row>
    <row r="9" spans="1:14" ht="18.75" customHeight="1">
      <c r="A9" s="496"/>
      <c r="B9" s="501" t="s">
        <v>70</v>
      </c>
      <c r="C9" s="514">
        <f>SUM(C10:C43)</f>
        <v>3406</v>
      </c>
      <c r="D9" s="889">
        <f>SUM(D10:D43)</f>
        <v>811</v>
      </c>
      <c r="E9" s="889">
        <f>SUM(E10:E43)</f>
        <v>2164</v>
      </c>
      <c r="F9" s="890">
        <f>SUM(F10:F43)</f>
        <v>6381</v>
      </c>
      <c r="G9" s="493" t="s">
        <v>680</v>
      </c>
      <c r="H9" s="496"/>
      <c r="I9" s="100"/>
      <c r="J9" s="100"/>
      <c r="K9" s="100"/>
      <c r="L9" s="100"/>
    </row>
    <row r="10" spans="1:14" s="639" customFormat="1" ht="18.75" customHeight="1">
      <c r="A10" s="772">
        <v>1</v>
      </c>
      <c r="B10" s="773" t="s">
        <v>101</v>
      </c>
      <c r="C10" s="774">
        <f>55+142</f>
        <v>197</v>
      </c>
      <c r="D10" s="775">
        <f>1+24</f>
        <v>25</v>
      </c>
      <c r="E10" s="775">
        <f>5+25</f>
        <v>30</v>
      </c>
      <c r="F10" s="776">
        <f>E10+D10+C10</f>
        <v>252</v>
      </c>
      <c r="G10" s="777" t="s">
        <v>18</v>
      </c>
      <c r="H10" s="886">
        <v>1</v>
      </c>
      <c r="I10" s="753"/>
      <c r="J10" s="753"/>
      <c r="K10" s="778"/>
      <c r="L10" s="778"/>
      <c r="M10" s="778"/>
      <c r="N10" s="778"/>
    </row>
    <row r="11" spans="1:14" ht="18.75" customHeight="1">
      <c r="A11" s="398">
        <v>2</v>
      </c>
      <c r="B11" s="249" t="s">
        <v>102</v>
      </c>
      <c r="C11" s="181">
        <v>3</v>
      </c>
      <c r="D11" s="182">
        <v>31</v>
      </c>
      <c r="E11" s="182">
        <v>34</v>
      </c>
      <c r="F11" s="505">
        <f t="shared" ref="F11:F41" si="0">E11+D11+C11</f>
        <v>68</v>
      </c>
      <c r="G11" s="250" t="s">
        <v>26</v>
      </c>
      <c r="H11" s="887">
        <v>2</v>
      </c>
      <c r="I11" s="100"/>
      <c r="J11" s="100"/>
      <c r="K11" s="100"/>
      <c r="L11" s="100"/>
    </row>
    <row r="12" spans="1:14" s="639" customFormat="1" ht="18.75" customHeight="1">
      <c r="A12" s="772">
        <v>3</v>
      </c>
      <c r="B12" s="773" t="s">
        <v>103</v>
      </c>
      <c r="C12" s="774">
        <v>42</v>
      </c>
      <c r="D12" s="775">
        <v>55</v>
      </c>
      <c r="E12" s="775">
        <v>31</v>
      </c>
      <c r="F12" s="776">
        <f t="shared" si="0"/>
        <v>128</v>
      </c>
      <c r="G12" s="777" t="s">
        <v>27</v>
      </c>
      <c r="H12" s="886">
        <v>3</v>
      </c>
      <c r="I12" s="779"/>
      <c r="J12" s="779"/>
      <c r="K12" s="780"/>
      <c r="L12" s="780"/>
      <c r="M12" s="780"/>
      <c r="N12" s="780"/>
    </row>
    <row r="13" spans="1:14" ht="18.75" customHeight="1">
      <c r="A13" s="398">
        <v>4</v>
      </c>
      <c r="B13" s="249" t="s">
        <v>652</v>
      </c>
      <c r="C13" s="181">
        <v>111</v>
      </c>
      <c r="D13" s="182">
        <v>33</v>
      </c>
      <c r="E13" s="182">
        <v>41</v>
      </c>
      <c r="F13" s="505">
        <f t="shared" si="0"/>
        <v>185</v>
      </c>
      <c r="G13" s="250" t="s">
        <v>1255</v>
      </c>
      <c r="H13" s="887">
        <v>4</v>
      </c>
      <c r="I13" s="100"/>
      <c r="J13" s="100"/>
      <c r="K13" s="100"/>
      <c r="L13" s="100"/>
    </row>
    <row r="14" spans="1:14" s="639" customFormat="1" ht="18.75" customHeight="1">
      <c r="A14" s="772">
        <v>5</v>
      </c>
      <c r="B14" s="773" t="s">
        <v>104</v>
      </c>
      <c r="C14" s="774">
        <v>38</v>
      </c>
      <c r="D14" s="775">
        <v>31</v>
      </c>
      <c r="E14" s="775">
        <v>55</v>
      </c>
      <c r="F14" s="776">
        <f t="shared" si="0"/>
        <v>124</v>
      </c>
      <c r="G14" s="777" t="s">
        <v>19</v>
      </c>
      <c r="H14" s="886">
        <v>5</v>
      </c>
    </row>
    <row r="15" spans="1:14" ht="18.75" customHeight="1">
      <c r="A15" s="398">
        <v>6</v>
      </c>
      <c r="B15" s="249" t="s">
        <v>143</v>
      </c>
      <c r="C15" s="181">
        <v>305</v>
      </c>
      <c r="D15" s="182">
        <v>31</v>
      </c>
      <c r="E15" s="182">
        <v>48</v>
      </c>
      <c r="F15" s="505">
        <f t="shared" si="0"/>
        <v>384</v>
      </c>
      <c r="G15" s="250" t="s">
        <v>28</v>
      </c>
      <c r="H15" s="887">
        <v>6</v>
      </c>
      <c r="I15" s="100"/>
      <c r="J15" s="100"/>
      <c r="K15" s="100"/>
      <c r="L15" s="100"/>
    </row>
    <row r="16" spans="1:14" s="639" customFormat="1" ht="18.75" customHeight="1">
      <c r="A16" s="772">
        <v>7</v>
      </c>
      <c r="B16" s="773" t="s">
        <v>144</v>
      </c>
      <c r="C16" s="774">
        <v>51</v>
      </c>
      <c r="D16" s="775">
        <v>27</v>
      </c>
      <c r="E16" s="775">
        <v>16</v>
      </c>
      <c r="F16" s="776">
        <f t="shared" si="0"/>
        <v>94</v>
      </c>
      <c r="G16" s="777" t="s">
        <v>29</v>
      </c>
      <c r="H16" s="886">
        <v>7</v>
      </c>
    </row>
    <row r="17" spans="1:12" ht="18.75" customHeight="1">
      <c r="A17" s="398">
        <v>8</v>
      </c>
      <c r="B17" s="249" t="s">
        <v>107</v>
      </c>
      <c r="C17" s="181">
        <v>30</v>
      </c>
      <c r="D17" s="182">
        <v>5</v>
      </c>
      <c r="E17" s="182">
        <v>2</v>
      </c>
      <c r="F17" s="505">
        <f t="shared" si="0"/>
        <v>37</v>
      </c>
      <c r="G17" s="250" t="s">
        <v>30</v>
      </c>
      <c r="H17" s="887">
        <v>8</v>
      </c>
      <c r="I17" s="100"/>
      <c r="J17" s="100"/>
      <c r="K17" s="100"/>
      <c r="L17" s="100"/>
    </row>
    <row r="18" spans="1:12" s="639" customFormat="1" ht="18.75" customHeight="1">
      <c r="A18" s="772">
        <v>9</v>
      </c>
      <c r="B18" s="773" t="s">
        <v>145</v>
      </c>
      <c r="C18" s="774">
        <v>177</v>
      </c>
      <c r="D18" s="775">
        <v>5</v>
      </c>
      <c r="E18" s="775">
        <v>10</v>
      </c>
      <c r="F18" s="776">
        <f t="shared" si="0"/>
        <v>192</v>
      </c>
      <c r="G18" s="777" t="s">
        <v>20</v>
      </c>
      <c r="H18" s="886">
        <v>9</v>
      </c>
    </row>
    <row r="19" spans="1:12" ht="18.75" customHeight="1">
      <c r="A19" s="398">
        <v>10</v>
      </c>
      <c r="B19" s="249" t="s">
        <v>146</v>
      </c>
      <c r="C19" s="181">
        <v>53</v>
      </c>
      <c r="D19" s="182">
        <v>4</v>
      </c>
      <c r="E19" s="182">
        <v>5</v>
      </c>
      <c r="F19" s="505">
        <f t="shared" si="0"/>
        <v>62</v>
      </c>
      <c r="G19" s="250" t="s">
        <v>21</v>
      </c>
      <c r="H19" s="887">
        <v>10</v>
      </c>
      <c r="I19" s="100"/>
      <c r="J19" s="100"/>
      <c r="K19" s="100"/>
      <c r="L19" s="100"/>
    </row>
    <row r="20" spans="1:12" s="639" customFormat="1" ht="18.75" customHeight="1">
      <c r="A20" s="772">
        <v>11</v>
      </c>
      <c r="B20" s="773" t="s">
        <v>110</v>
      </c>
      <c r="C20" s="774">
        <v>102</v>
      </c>
      <c r="D20" s="775">
        <v>13</v>
      </c>
      <c r="E20" s="775">
        <v>101</v>
      </c>
      <c r="F20" s="776">
        <f t="shared" si="0"/>
        <v>216</v>
      </c>
      <c r="G20" s="777" t="s">
        <v>31</v>
      </c>
      <c r="H20" s="886">
        <v>11</v>
      </c>
    </row>
    <row r="21" spans="1:12" ht="18.75" customHeight="1">
      <c r="A21" s="398">
        <v>12</v>
      </c>
      <c r="B21" s="249" t="s">
        <v>111</v>
      </c>
      <c r="C21" s="181">
        <v>94</v>
      </c>
      <c r="D21" s="182">
        <v>27</v>
      </c>
      <c r="E21" s="182">
        <v>159</v>
      </c>
      <c r="F21" s="505">
        <f t="shared" si="0"/>
        <v>280</v>
      </c>
      <c r="G21" s="250" t="s">
        <v>32</v>
      </c>
      <c r="H21" s="887">
        <v>12</v>
      </c>
      <c r="I21" s="100"/>
      <c r="J21" s="100"/>
      <c r="K21" s="100"/>
      <c r="L21" s="100"/>
    </row>
    <row r="22" spans="1:12" s="639" customFormat="1" ht="18.75" customHeight="1">
      <c r="A22" s="772">
        <v>13</v>
      </c>
      <c r="B22" s="773" t="s">
        <v>112</v>
      </c>
      <c r="C22" s="774">
        <v>43</v>
      </c>
      <c r="D22" s="775">
        <v>53</v>
      </c>
      <c r="E22" s="775">
        <v>75</v>
      </c>
      <c r="F22" s="776">
        <f t="shared" si="0"/>
        <v>171</v>
      </c>
      <c r="G22" s="777" t="s">
        <v>33</v>
      </c>
      <c r="H22" s="886">
        <v>13</v>
      </c>
    </row>
    <row r="23" spans="1:12" ht="18.75" customHeight="1">
      <c r="A23" s="398">
        <v>14</v>
      </c>
      <c r="B23" s="249" t="s">
        <v>113</v>
      </c>
      <c r="C23" s="181">
        <v>24</v>
      </c>
      <c r="D23" s="182">
        <v>34</v>
      </c>
      <c r="E23" s="182">
        <v>105</v>
      </c>
      <c r="F23" s="505">
        <f t="shared" si="0"/>
        <v>163</v>
      </c>
      <c r="G23" s="250" t="s">
        <v>34</v>
      </c>
      <c r="H23" s="887">
        <v>14</v>
      </c>
      <c r="I23" s="100"/>
      <c r="J23" s="100"/>
      <c r="K23" s="100"/>
      <c r="L23" s="100"/>
    </row>
    <row r="24" spans="1:12" s="639" customFormat="1" ht="18.75" customHeight="1">
      <c r="A24" s="772">
        <v>15</v>
      </c>
      <c r="B24" s="773" t="s">
        <v>763</v>
      </c>
      <c r="C24" s="774">
        <v>184</v>
      </c>
      <c r="D24" s="775">
        <v>32</v>
      </c>
      <c r="E24" s="775">
        <v>28</v>
      </c>
      <c r="F24" s="776">
        <f t="shared" si="0"/>
        <v>244</v>
      </c>
      <c r="G24" s="771" t="s">
        <v>729</v>
      </c>
      <c r="H24" s="886">
        <v>15</v>
      </c>
    </row>
    <row r="25" spans="1:12" ht="18.75" customHeight="1">
      <c r="A25" s="398">
        <v>16</v>
      </c>
      <c r="B25" s="249" t="s">
        <v>69</v>
      </c>
      <c r="C25" s="181">
        <v>72</v>
      </c>
      <c r="D25" s="182">
        <v>14</v>
      </c>
      <c r="E25" s="182">
        <v>12</v>
      </c>
      <c r="F25" s="505">
        <f t="shared" si="0"/>
        <v>98</v>
      </c>
      <c r="G25" s="250" t="s">
        <v>35</v>
      </c>
      <c r="H25" s="887">
        <v>16</v>
      </c>
      <c r="I25" s="100"/>
      <c r="J25" s="100"/>
      <c r="K25" s="100"/>
      <c r="L25" s="100"/>
    </row>
    <row r="26" spans="1:12" s="639" customFormat="1" ht="18.75" customHeight="1">
      <c r="A26" s="772">
        <v>17</v>
      </c>
      <c r="B26" s="773" t="s">
        <v>147</v>
      </c>
      <c r="C26" s="774">
        <v>140</v>
      </c>
      <c r="D26" s="775">
        <v>12</v>
      </c>
      <c r="E26" s="775">
        <v>13</v>
      </c>
      <c r="F26" s="776">
        <f t="shared" si="0"/>
        <v>165</v>
      </c>
      <c r="G26" s="777" t="s">
        <v>36</v>
      </c>
      <c r="H26" s="886">
        <v>17</v>
      </c>
    </row>
    <row r="27" spans="1:12" ht="18.75" customHeight="1">
      <c r="A27" s="398">
        <v>18</v>
      </c>
      <c r="B27" s="249" t="s">
        <v>148</v>
      </c>
      <c r="C27" s="181">
        <v>221</v>
      </c>
      <c r="D27" s="182">
        <v>13</v>
      </c>
      <c r="E27" s="182">
        <v>21</v>
      </c>
      <c r="F27" s="505">
        <f t="shared" si="0"/>
        <v>255</v>
      </c>
      <c r="G27" s="250" t="s">
        <v>37</v>
      </c>
      <c r="H27" s="887">
        <v>18</v>
      </c>
      <c r="I27" s="100"/>
      <c r="J27" s="100"/>
      <c r="K27" s="100"/>
      <c r="L27" s="100"/>
    </row>
    <row r="28" spans="1:12" s="639" customFormat="1" ht="18.75" customHeight="1">
      <c r="A28" s="772">
        <v>19</v>
      </c>
      <c r="B28" s="773" t="s">
        <v>149</v>
      </c>
      <c r="C28" s="774">
        <v>104</v>
      </c>
      <c r="D28" s="775">
        <v>35</v>
      </c>
      <c r="E28" s="775">
        <v>57</v>
      </c>
      <c r="F28" s="776">
        <f t="shared" si="0"/>
        <v>196</v>
      </c>
      <c r="G28" s="777" t="s">
        <v>38</v>
      </c>
      <c r="H28" s="886">
        <v>19</v>
      </c>
    </row>
    <row r="29" spans="1:12" ht="18.75" customHeight="1">
      <c r="A29" s="398">
        <v>20</v>
      </c>
      <c r="B29" s="249" t="s">
        <v>150</v>
      </c>
      <c r="C29" s="181">
        <v>72</v>
      </c>
      <c r="D29" s="182">
        <v>5</v>
      </c>
      <c r="E29" s="182">
        <v>21</v>
      </c>
      <c r="F29" s="505">
        <f t="shared" si="0"/>
        <v>98</v>
      </c>
      <c r="G29" s="250" t="s">
        <v>39</v>
      </c>
      <c r="H29" s="887">
        <v>20</v>
      </c>
      <c r="I29" s="100"/>
      <c r="J29" s="100"/>
      <c r="K29" s="100"/>
      <c r="L29" s="100"/>
    </row>
    <row r="30" spans="1:12" s="639" customFormat="1" ht="18.75" customHeight="1">
      <c r="A30" s="772">
        <v>21</v>
      </c>
      <c r="B30" s="773" t="s">
        <v>151</v>
      </c>
      <c r="C30" s="774">
        <v>136</v>
      </c>
      <c r="D30" s="775">
        <v>3</v>
      </c>
      <c r="E30" s="775">
        <v>11</v>
      </c>
      <c r="F30" s="776">
        <f t="shared" si="0"/>
        <v>150</v>
      </c>
      <c r="G30" s="777" t="s">
        <v>40</v>
      </c>
      <c r="H30" s="886">
        <v>21</v>
      </c>
    </row>
    <row r="31" spans="1:12" ht="18.75" customHeight="1">
      <c r="A31" s="398">
        <v>22</v>
      </c>
      <c r="B31" s="249" t="s">
        <v>152</v>
      </c>
      <c r="C31" s="181">
        <v>101</v>
      </c>
      <c r="D31" s="182">
        <v>38</v>
      </c>
      <c r="E31" s="182">
        <v>26</v>
      </c>
      <c r="F31" s="505">
        <f t="shared" si="0"/>
        <v>165</v>
      </c>
      <c r="G31" s="250" t="s">
        <v>41</v>
      </c>
      <c r="H31" s="887">
        <v>22</v>
      </c>
      <c r="I31" s="100"/>
      <c r="J31" s="100"/>
      <c r="K31" s="100"/>
      <c r="L31" s="100"/>
    </row>
    <row r="32" spans="1:12" s="639" customFormat="1" ht="18.75" customHeight="1">
      <c r="A32" s="772">
        <v>23</v>
      </c>
      <c r="B32" s="773" t="s">
        <v>121</v>
      </c>
      <c r="C32" s="774">
        <v>240</v>
      </c>
      <c r="D32" s="775">
        <v>82</v>
      </c>
      <c r="E32" s="775">
        <v>110</v>
      </c>
      <c r="F32" s="776">
        <f t="shared" si="0"/>
        <v>432</v>
      </c>
      <c r="G32" s="777" t="s">
        <v>22</v>
      </c>
      <c r="H32" s="886">
        <v>23</v>
      </c>
    </row>
    <row r="33" spans="1:12" ht="18.75" customHeight="1">
      <c r="A33" s="398">
        <v>24</v>
      </c>
      <c r="B33" s="249" t="s">
        <v>122</v>
      </c>
      <c r="C33" s="181">
        <v>82</v>
      </c>
      <c r="D33" s="182">
        <v>17</v>
      </c>
      <c r="E33" s="182">
        <v>17</v>
      </c>
      <c r="F33" s="505">
        <f t="shared" si="0"/>
        <v>116</v>
      </c>
      <c r="G33" s="250" t="s">
        <v>23</v>
      </c>
      <c r="H33" s="887">
        <v>24</v>
      </c>
      <c r="I33" s="100"/>
      <c r="J33" s="100"/>
      <c r="K33" s="100"/>
      <c r="L33" s="100"/>
    </row>
    <row r="34" spans="1:12" s="639" customFormat="1" ht="18.75" customHeight="1">
      <c r="A34" s="772">
        <v>25</v>
      </c>
      <c r="B34" s="773" t="s">
        <v>123</v>
      </c>
      <c r="C34" s="774">
        <v>8</v>
      </c>
      <c r="D34" s="775">
        <v>17</v>
      </c>
      <c r="E34" s="775">
        <v>122</v>
      </c>
      <c r="F34" s="776">
        <f t="shared" si="0"/>
        <v>147</v>
      </c>
      <c r="G34" s="777" t="s">
        <v>42</v>
      </c>
      <c r="H34" s="886">
        <v>25</v>
      </c>
    </row>
    <row r="35" spans="1:12" ht="18.75" customHeight="1">
      <c r="A35" s="398">
        <v>26</v>
      </c>
      <c r="B35" s="249" t="s">
        <v>153</v>
      </c>
      <c r="C35" s="181">
        <v>11</v>
      </c>
      <c r="D35" s="182">
        <v>2</v>
      </c>
      <c r="E35" s="182">
        <v>126</v>
      </c>
      <c r="F35" s="505">
        <f t="shared" si="0"/>
        <v>139</v>
      </c>
      <c r="G35" s="250" t="s">
        <v>44</v>
      </c>
      <c r="H35" s="887">
        <v>26</v>
      </c>
      <c r="I35" s="100"/>
      <c r="J35" s="100"/>
      <c r="K35" s="100"/>
      <c r="L35" s="100"/>
    </row>
    <row r="36" spans="1:12" s="639" customFormat="1" ht="18.75" customHeight="1">
      <c r="A36" s="772">
        <v>27</v>
      </c>
      <c r="B36" s="773" t="s">
        <v>154</v>
      </c>
      <c r="C36" s="774">
        <v>89</v>
      </c>
      <c r="D36" s="775">
        <v>2</v>
      </c>
      <c r="E36" s="775">
        <v>213</v>
      </c>
      <c r="F36" s="776">
        <f t="shared" si="0"/>
        <v>304</v>
      </c>
      <c r="G36" s="777" t="s">
        <v>45</v>
      </c>
      <c r="H36" s="886">
        <v>27</v>
      </c>
    </row>
    <row r="37" spans="1:12" ht="18.75" customHeight="1">
      <c r="A37" s="398">
        <v>28</v>
      </c>
      <c r="B37" s="249" t="s">
        <v>155</v>
      </c>
      <c r="C37" s="181">
        <v>77</v>
      </c>
      <c r="D37" s="182">
        <v>21</v>
      </c>
      <c r="E37" s="182">
        <v>23</v>
      </c>
      <c r="F37" s="505">
        <f t="shared" si="0"/>
        <v>121</v>
      </c>
      <c r="G37" s="250" t="s">
        <v>46</v>
      </c>
      <c r="H37" s="887">
        <v>28</v>
      </c>
      <c r="I37" s="100"/>
      <c r="J37" s="100"/>
      <c r="K37" s="100"/>
      <c r="L37" s="100"/>
    </row>
    <row r="38" spans="1:12" s="639" customFormat="1" ht="18.75" customHeight="1">
      <c r="A38" s="772">
        <v>29</v>
      </c>
      <c r="B38" s="773" t="s">
        <v>156</v>
      </c>
      <c r="C38" s="774">
        <v>42</v>
      </c>
      <c r="D38" s="775">
        <v>36</v>
      </c>
      <c r="E38" s="775">
        <v>132</v>
      </c>
      <c r="F38" s="776">
        <f t="shared" si="0"/>
        <v>210</v>
      </c>
      <c r="G38" s="777" t="s">
        <v>47</v>
      </c>
      <c r="H38" s="886">
        <v>29</v>
      </c>
    </row>
    <row r="39" spans="1:12" ht="18.75" customHeight="1">
      <c r="A39" s="398">
        <v>30</v>
      </c>
      <c r="B39" s="249" t="s">
        <v>157</v>
      </c>
      <c r="C39" s="181">
        <v>46</v>
      </c>
      <c r="D39" s="182">
        <v>6</v>
      </c>
      <c r="E39" s="182">
        <v>145</v>
      </c>
      <c r="F39" s="505">
        <f t="shared" si="0"/>
        <v>197</v>
      </c>
      <c r="G39" s="250" t="s">
        <v>48</v>
      </c>
      <c r="H39" s="887">
        <v>30</v>
      </c>
      <c r="I39" s="100"/>
      <c r="J39" s="100"/>
      <c r="K39" s="100"/>
      <c r="L39" s="100"/>
    </row>
    <row r="40" spans="1:12" s="639" customFormat="1" ht="18.75" customHeight="1">
      <c r="A40" s="772">
        <v>31</v>
      </c>
      <c r="B40" s="773" t="s">
        <v>129</v>
      </c>
      <c r="C40" s="774">
        <v>14</v>
      </c>
      <c r="D40" s="775">
        <v>52</v>
      </c>
      <c r="E40" s="775">
        <v>205</v>
      </c>
      <c r="F40" s="776">
        <f t="shared" si="0"/>
        <v>271</v>
      </c>
      <c r="G40" s="777" t="s">
        <v>24</v>
      </c>
      <c r="H40" s="886">
        <v>31</v>
      </c>
    </row>
    <row r="41" spans="1:12" ht="18.75" customHeight="1">
      <c r="A41" s="398">
        <v>32</v>
      </c>
      <c r="B41" s="249" t="s">
        <v>130</v>
      </c>
      <c r="C41" s="181">
        <v>426</v>
      </c>
      <c r="D41" s="182">
        <v>12</v>
      </c>
      <c r="E41" s="182">
        <v>30</v>
      </c>
      <c r="F41" s="505">
        <f t="shared" si="0"/>
        <v>468</v>
      </c>
      <c r="G41" s="250" t="s">
        <v>25</v>
      </c>
      <c r="H41" s="887">
        <v>32</v>
      </c>
      <c r="I41" s="100"/>
      <c r="J41" s="100"/>
      <c r="K41" s="100"/>
      <c r="L41" s="100"/>
    </row>
    <row r="42" spans="1:12" s="639" customFormat="1" ht="18.75" customHeight="1">
      <c r="A42" s="772">
        <v>33</v>
      </c>
      <c r="B42" s="773" t="s">
        <v>131</v>
      </c>
      <c r="C42" s="774">
        <v>21</v>
      </c>
      <c r="D42" s="775">
        <v>38</v>
      </c>
      <c r="E42" s="775">
        <v>119</v>
      </c>
      <c r="F42" s="776">
        <f>E42+D42+C42</f>
        <v>178</v>
      </c>
      <c r="G42" s="777" t="s">
        <v>49</v>
      </c>
      <c r="H42" s="886">
        <v>33</v>
      </c>
    </row>
    <row r="43" spans="1:12" ht="18.75" customHeight="1">
      <c r="A43" s="499">
        <v>34</v>
      </c>
      <c r="B43" s="502" t="s">
        <v>158</v>
      </c>
      <c r="C43" s="515">
        <v>50</v>
      </c>
      <c r="D43" s="516">
        <v>0</v>
      </c>
      <c r="E43" s="516">
        <v>21</v>
      </c>
      <c r="F43" s="506">
        <f>E43+C43</f>
        <v>71</v>
      </c>
      <c r="G43" s="376" t="s">
        <v>50</v>
      </c>
      <c r="H43" s="888">
        <v>34</v>
      </c>
      <c r="I43" s="100"/>
      <c r="J43" s="100"/>
      <c r="K43" s="100"/>
      <c r="L43" s="100"/>
    </row>
    <row r="44" spans="1:12" ht="20.25" customHeight="1">
      <c r="A44" s="1324" t="s">
        <v>159</v>
      </c>
      <c r="B44" s="1324"/>
      <c r="C44" s="1324"/>
      <c r="D44" s="1324"/>
      <c r="E44" s="1324"/>
      <c r="F44" s="1258" t="s">
        <v>1513</v>
      </c>
      <c r="G44" s="1258"/>
      <c r="H44" s="1258"/>
    </row>
    <row r="45" spans="1:12" ht="28.5" customHeight="1"/>
    <row r="46" spans="1:12" ht="17.25" customHeight="1"/>
    <row r="47" spans="1:12" ht="23" customHeight="1">
      <c r="G47" s="1325"/>
      <c r="H47" s="1325"/>
    </row>
    <row r="48" spans="1:12" ht="23" customHeight="1"/>
    <row r="49" spans="2:8" ht="19" customHeight="1"/>
    <row r="50" spans="2:8" ht="19" customHeight="1">
      <c r="B50" s="1290"/>
      <c r="C50" s="1290"/>
      <c r="D50" s="1290"/>
      <c r="E50" s="1290"/>
      <c r="F50" s="1290"/>
      <c r="G50" s="1290"/>
      <c r="H50" s="1290"/>
    </row>
    <row r="51" spans="2:8" ht="19" customHeight="1">
      <c r="B51" s="1305"/>
      <c r="C51" s="1305"/>
      <c r="D51" s="1305"/>
      <c r="E51" s="1305"/>
      <c r="F51" s="1305"/>
      <c r="G51" s="126"/>
      <c r="H51" s="126"/>
    </row>
    <row r="52" spans="2:8" ht="19" customHeight="1"/>
    <row r="53" spans="2:8" ht="19" customHeight="1"/>
    <row r="54" spans="2:8" ht="19" customHeight="1"/>
    <row r="55" spans="2:8" ht="19" customHeight="1"/>
    <row r="56" spans="2:8" ht="19" customHeight="1"/>
    <row r="57" spans="2:8" ht="19" customHeight="1"/>
    <row r="58" spans="2:8" ht="19" customHeight="1"/>
    <row r="59" spans="2:8" ht="19" customHeight="1"/>
    <row r="60" spans="2:8" ht="19" customHeight="1"/>
    <row r="61" spans="2:8" ht="19" customHeight="1"/>
    <row r="62" spans="2:8" ht="19" customHeight="1"/>
    <row r="63" spans="2:8" ht="19" customHeight="1"/>
    <row r="64" spans="2:8" ht="19" customHeight="1"/>
    <row r="65" ht="19" customHeight="1"/>
    <row r="66" ht="19" customHeight="1"/>
    <row r="67" ht="19" customHeight="1"/>
    <row r="68" ht="19" customHeight="1"/>
    <row r="69" ht="19" customHeight="1"/>
    <row r="70" ht="19" customHeight="1"/>
    <row r="71" ht="19" customHeight="1"/>
    <row r="72" ht="19" customHeight="1"/>
    <row r="73" ht="19" customHeight="1"/>
    <row r="74" ht="19" customHeight="1"/>
    <row r="75" ht="19" customHeight="1"/>
    <row r="76" ht="19" customHeight="1"/>
    <row r="77" ht="19" customHeight="1"/>
    <row r="78" ht="19" customHeight="1"/>
    <row r="79" ht="19" customHeight="1"/>
    <row r="80" ht="19" customHeight="1"/>
    <row r="81" ht="19" customHeight="1"/>
    <row r="82" ht="19" customHeight="1"/>
    <row r="83" ht="19" customHeight="1"/>
    <row r="84" ht="19" customHeight="1"/>
    <row r="85" ht="19" customHeight="1"/>
    <row r="86" ht="19" customHeight="1"/>
    <row r="87" ht="19" customHeight="1"/>
    <row r="88" ht="23" customHeight="1"/>
    <row r="89" ht="23" customHeight="1"/>
    <row r="90" ht="23" customHeight="1"/>
    <row r="91" ht="19" customHeight="1"/>
    <row r="92" ht="19" customHeight="1"/>
    <row r="93" ht="19" customHeight="1"/>
    <row r="94" ht="19" customHeight="1"/>
    <row r="95" ht="19" customHeight="1"/>
    <row r="96" ht="19" customHeight="1"/>
    <row r="97" ht="19" customHeight="1"/>
    <row r="98" ht="19" customHeight="1"/>
    <row r="99" ht="19" customHeight="1"/>
    <row r="100" ht="19" customHeight="1"/>
    <row r="101" ht="19" customHeight="1"/>
    <row r="102" ht="19" customHeight="1"/>
    <row r="103" ht="19" customHeight="1"/>
    <row r="104" ht="19" customHeight="1"/>
    <row r="105" ht="19" customHeight="1"/>
    <row r="106" ht="19" customHeight="1"/>
    <row r="107" ht="19" customHeight="1"/>
    <row r="108" ht="19" customHeight="1"/>
    <row r="109" ht="19" customHeight="1"/>
    <row r="110" ht="19" customHeight="1"/>
    <row r="111" ht="19" customHeight="1"/>
    <row r="112" ht="19" customHeight="1"/>
    <row r="113" ht="19" customHeight="1"/>
    <row r="114" ht="19" customHeight="1"/>
    <row r="115" ht="19" customHeight="1"/>
    <row r="116" ht="19" customHeight="1"/>
    <row r="117" ht="19" customHeight="1"/>
    <row r="118" ht="19" customHeight="1"/>
    <row r="119" ht="19" customHeight="1"/>
    <row r="120" ht="19" customHeight="1"/>
    <row r="121" ht="19" customHeight="1"/>
    <row r="122" ht="19" customHeight="1"/>
    <row r="123" ht="19" customHeight="1"/>
    <row r="124" ht="19" customHeight="1"/>
    <row r="125" ht="19" customHeight="1"/>
    <row r="126" ht="19" customHeight="1"/>
    <row r="127" ht="19" customHeight="1"/>
    <row r="128" ht="19" customHeight="1"/>
  </sheetData>
  <mergeCells count="14">
    <mergeCell ref="A1:H1"/>
    <mergeCell ref="A2:H2"/>
    <mergeCell ref="A3:H3"/>
    <mergeCell ref="A4:A8"/>
    <mergeCell ref="B4:B8"/>
    <mergeCell ref="C4:F4"/>
    <mergeCell ref="G4:G8"/>
    <mergeCell ref="H4:H8"/>
    <mergeCell ref="C5:F5"/>
    <mergeCell ref="A44:E44"/>
    <mergeCell ref="F44:H44"/>
    <mergeCell ref="G47:H47"/>
    <mergeCell ref="B50:H50"/>
    <mergeCell ref="B51:F51"/>
  </mergeCells>
  <printOptions horizontalCentered="1"/>
  <pageMargins left="0" right="0" top="0.06" bottom="0.6" header="0.03" footer="0.39370078740157499"/>
  <pageSetup paperSize="9" orientation="portrait" r:id="rId1"/>
  <headerFooter>
    <oddFooter>&amp;L&amp;"Times New Roman,Regular"&amp;10    Afghanistan Statistical Yearbook 2023-24&amp;R&amp;"Times New Roman,Regular"&amp;10          د ۱۴۰۲ احصایيوي کالنۍ  /سالنامه احصائیوی ۱۴۰۲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0"/>
  </sheetPr>
  <dimension ref="A1:M51"/>
  <sheetViews>
    <sheetView view="pageBreakPreview" topLeftCell="D3" zoomScale="112" zoomScaleNormal="100" zoomScaleSheetLayoutView="112" workbookViewId="0">
      <selection activeCell="D1" sqref="A1:XFD2"/>
    </sheetView>
  </sheetViews>
  <sheetFormatPr baseColWidth="10" defaultColWidth="8.83203125" defaultRowHeight="15"/>
  <cols>
    <col min="1" max="2" width="13.33203125" hidden="1" customWidth="1"/>
    <col min="3" max="3" width="11.1640625" hidden="1" customWidth="1"/>
    <col min="4" max="4" width="6.83203125" style="100" customWidth="1"/>
    <col min="5" max="5" width="20.33203125" style="125" customWidth="1"/>
    <col min="6" max="6" width="14.5" style="125" customWidth="1"/>
    <col min="7" max="7" width="13.6640625" style="125" customWidth="1"/>
    <col min="8" max="8" width="15.1640625" style="125" customWidth="1"/>
    <col min="9" max="9" width="21.6640625" style="125" customWidth="1"/>
    <col min="10" max="10" width="6.6640625" style="125" customWidth="1"/>
    <col min="11" max="11" width="11.5" customWidth="1"/>
    <col min="12" max="12" width="4.6640625" customWidth="1"/>
  </cols>
  <sheetData>
    <row r="1" spans="1:13" ht="16" hidden="1">
      <c r="D1" s="1259" t="s">
        <v>2257</v>
      </c>
      <c r="E1" s="1259"/>
      <c r="F1" s="1259"/>
      <c r="G1" s="1259"/>
      <c r="H1" s="1259"/>
      <c r="I1" s="1259"/>
      <c r="J1" s="1259"/>
    </row>
    <row r="2" spans="1:13" ht="15" hidden="1" customHeight="1">
      <c r="D2" s="1326" t="s">
        <v>2258</v>
      </c>
      <c r="E2" s="1326"/>
      <c r="F2" s="1326"/>
      <c r="G2" s="1326"/>
      <c r="H2" s="1326"/>
      <c r="I2" s="1326"/>
      <c r="J2" s="1326"/>
    </row>
    <row r="3" spans="1:13" ht="15" customHeight="1">
      <c r="D3" s="1261" t="s">
        <v>2259</v>
      </c>
      <c r="E3" s="1261"/>
      <c r="F3" s="1261"/>
      <c r="G3" s="1261"/>
      <c r="H3" s="1261"/>
      <c r="I3" s="1261"/>
      <c r="J3" s="1261"/>
    </row>
    <row r="4" spans="1:13" ht="19.5" customHeight="1">
      <c r="D4" s="1343" t="s">
        <v>621</v>
      </c>
      <c r="E4" s="1330" t="s">
        <v>139</v>
      </c>
      <c r="F4" s="1344">
        <v>1402</v>
      </c>
      <c r="G4" s="1345"/>
      <c r="H4" s="1346"/>
      <c r="I4" s="1336" t="s">
        <v>17</v>
      </c>
      <c r="J4" s="1311" t="s">
        <v>727</v>
      </c>
    </row>
    <row r="5" spans="1:13" ht="24" customHeight="1">
      <c r="D5" s="1266"/>
      <c r="E5" s="1331"/>
      <c r="F5" s="1273" t="s">
        <v>772</v>
      </c>
      <c r="G5" s="1274"/>
      <c r="H5" s="1275"/>
      <c r="I5" s="1337"/>
      <c r="J5" s="1298"/>
    </row>
    <row r="6" spans="1:13" ht="18.75" customHeight="1">
      <c r="A6" s="1339">
        <v>1400</v>
      </c>
      <c r="B6" s="1339"/>
      <c r="C6" s="1340"/>
      <c r="D6" s="1266"/>
      <c r="E6" s="1331"/>
      <c r="F6" s="1226" t="s">
        <v>688</v>
      </c>
      <c r="G6" s="1226" t="s">
        <v>687</v>
      </c>
      <c r="H6" s="1236" t="s">
        <v>686</v>
      </c>
      <c r="I6" s="1337"/>
      <c r="J6" s="1298"/>
    </row>
    <row r="7" spans="1:13" ht="15" customHeight="1">
      <c r="A7" s="595"/>
      <c r="B7" s="595"/>
      <c r="C7" s="596"/>
      <c r="D7" s="1266"/>
      <c r="E7" s="1331"/>
      <c r="F7" s="1245" t="s">
        <v>4</v>
      </c>
      <c r="G7" s="1245" t="s">
        <v>6</v>
      </c>
      <c r="H7" s="1235" t="s">
        <v>14</v>
      </c>
      <c r="I7" s="1337"/>
      <c r="J7" s="1298"/>
    </row>
    <row r="8" spans="1:13" ht="15" customHeight="1">
      <c r="A8" s="66" t="s">
        <v>4</v>
      </c>
      <c r="B8" s="66" t="s">
        <v>6</v>
      </c>
      <c r="C8" s="122" t="s">
        <v>14</v>
      </c>
      <c r="D8" s="1267"/>
      <c r="E8" s="1332"/>
      <c r="F8" s="1225" t="s">
        <v>98</v>
      </c>
      <c r="G8" s="1225" t="s">
        <v>99</v>
      </c>
      <c r="H8" s="350" t="s">
        <v>100</v>
      </c>
      <c r="I8" s="1338"/>
      <c r="J8" s="1299"/>
      <c r="K8" s="3"/>
    </row>
    <row r="9" spans="1:13" ht="27.75" customHeight="1">
      <c r="A9" s="859" t="s">
        <v>43</v>
      </c>
      <c r="B9" s="74" t="s">
        <v>43</v>
      </c>
      <c r="C9" s="78" t="s">
        <v>43</v>
      </c>
      <c r="D9" s="862"/>
      <c r="E9" s="501" t="s">
        <v>70</v>
      </c>
      <c r="F9" s="503">
        <f>SUM(F10:F43)</f>
        <v>2937070</v>
      </c>
      <c r="G9" s="503">
        <f>SUM(G10:G43)</f>
        <v>3791447</v>
      </c>
      <c r="H9" s="503">
        <f>SUM(H10:H43)</f>
        <v>6728517</v>
      </c>
      <c r="I9" s="495" t="s">
        <v>1517</v>
      </c>
      <c r="J9" s="496"/>
      <c r="K9" s="450"/>
      <c r="L9" s="100"/>
      <c r="M9" s="3"/>
    </row>
    <row r="10" spans="1:13" s="639" customFormat="1" ht="22.5" customHeight="1">
      <c r="A10" s="860" t="s">
        <v>43</v>
      </c>
      <c r="B10" s="101" t="s">
        <v>43</v>
      </c>
      <c r="C10" s="102" t="s">
        <v>43</v>
      </c>
      <c r="D10" s="772">
        <v>1</v>
      </c>
      <c r="E10" s="773" t="s">
        <v>101</v>
      </c>
      <c r="F10" s="781">
        <v>405695</v>
      </c>
      <c r="G10" s="781">
        <v>415416</v>
      </c>
      <c r="H10" s="781">
        <f t="shared" ref="H10:H26" si="0">G10+F10</f>
        <v>821111</v>
      </c>
      <c r="I10" s="782" t="s">
        <v>18</v>
      </c>
      <c r="J10" s="886">
        <v>1</v>
      </c>
    </row>
    <row r="11" spans="1:13" ht="24" customHeight="1">
      <c r="A11" s="860" t="s">
        <v>43</v>
      </c>
      <c r="B11" s="101" t="s">
        <v>43</v>
      </c>
      <c r="C11" s="102" t="s">
        <v>43</v>
      </c>
      <c r="D11" s="398">
        <v>2</v>
      </c>
      <c r="E11" s="249" t="s">
        <v>102</v>
      </c>
      <c r="F11" s="346">
        <v>31941</v>
      </c>
      <c r="G11" s="346">
        <v>56101</v>
      </c>
      <c r="H11" s="346">
        <f t="shared" si="0"/>
        <v>88042</v>
      </c>
      <c r="I11" s="251" t="s">
        <v>26</v>
      </c>
      <c r="J11" s="887">
        <v>2</v>
      </c>
      <c r="K11" s="100"/>
      <c r="L11" s="100"/>
    </row>
    <row r="12" spans="1:13" s="639" customFormat="1" ht="17.25" customHeight="1">
      <c r="A12" s="860" t="s">
        <v>43</v>
      </c>
      <c r="B12" s="101" t="s">
        <v>43</v>
      </c>
      <c r="C12" s="102" t="s">
        <v>43</v>
      </c>
      <c r="D12" s="772">
        <v>3</v>
      </c>
      <c r="E12" s="773" t="s">
        <v>103</v>
      </c>
      <c r="F12" s="781">
        <v>56630</v>
      </c>
      <c r="G12" s="781">
        <v>67719</v>
      </c>
      <c r="H12" s="781">
        <f t="shared" si="0"/>
        <v>124349</v>
      </c>
      <c r="I12" s="782" t="s">
        <v>27</v>
      </c>
      <c r="J12" s="886">
        <v>3</v>
      </c>
    </row>
    <row r="13" spans="1:13" ht="21.75" customHeight="1">
      <c r="A13" s="860" t="s">
        <v>43</v>
      </c>
      <c r="B13" s="101" t="s">
        <v>43</v>
      </c>
      <c r="C13" s="102" t="s">
        <v>43</v>
      </c>
      <c r="D13" s="398">
        <v>4</v>
      </c>
      <c r="E13" s="249" t="s">
        <v>652</v>
      </c>
      <c r="F13" s="347">
        <v>60561</v>
      </c>
      <c r="G13" s="347">
        <v>76182</v>
      </c>
      <c r="H13" s="347">
        <f t="shared" si="0"/>
        <v>136743</v>
      </c>
      <c r="I13" s="251" t="s">
        <v>1255</v>
      </c>
      <c r="J13" s="887">
        <v>4</v>
      </c>
      <c r="K13" s="100"/>
      <c r="L13" s="100"/>
    </row>
    <row r="14" spans="1:13" s="639" customFormat="1" ht="21" customHeight="1">
      <c r="A14" s="860" t="s">
        <v>43</v>
      </c>
      <c r="B14" s="101" t="s">
        <v>43</v>
      </c>
      <c r="C14" s="102" t="s">
        <v>43</v>
      </c>
      <c r="D14" s="772">
        <v>5</v>
      </c>
      <c r="E14" s="773" t="s">
        <v>104</v>
      </c>
      <c r="F14" s="781">
        <v>54756</v>
      </c>
      <c r="G14" s="781">
        <v>71094</v>
      </c>
      <c r="H14" s="781">
        <f t="shared" si="0"/>
        <v>125850</v>
      </c>
      <c r="I14" s="782" t="s">
        <v>19</v>
      </c>
      <c r="J14" s="886">
        <v>5</v>
      </c>
    </row>
    <row r="15" spans="1:13" ht="21" customHeight="1">
      <c r="A15" s="860" t="s">
        <v>43</v>
      </c>
      <c r="B15" s="101" t="s">
        <v>43</v>
      </c>
      <c r="C15" s="102" t="s">
        <v>43</v>
      </c>
      <c r="D15" s="398">
        <v>6</v>
      </c>
      <c r="E15" s="249" t="s">
        <v>143</v>
      </c>
      <c r="F15" s="346">
        <v>327996</v>
      </c>
      <c r="G15" s="346">
        <v>341209</v>
      </c>
      <c r="H15" s="346">
        <f t="shared" si="0"/>
        <v>669205</v>
      </c>
      <c r="I15" s="251" t="s">
        <v>28</v>
      </c>
      <c r="J15" s="887">
        <v>6</v>
      </c>
      <c r="K15" s="100"/>
      <c r="L15" s="100"/>
    </row>
    <row r="16" spans="1:13" s="639" customFormat="1" ht="19.5" customHeight="1">
      <c r="A16" s="860" t="s">
        <v>43</v>
      </c>
      <c r="B16" s="101" t="s">
        <v>43</v>
      </c>
      <c r="C16" s="102" t="s">
        <v>43</v>
      </c>
      <c r="D16" s="772">
        <v>7</v>
      </c>
      <c r="E16" s="773" t="s">
        <v>144</v>
      </c>
      <c r="F16" s="781">
        <v>74296</v>
      </c>
      <c r="G16" s="781">
        <v>84914</v>
      </c>
      <c r="H16" s="781">
        <f t="shared" si="0"/>
        <v>159210</v>
      </c>
      <c r="I16" s="782" t="s">
        <v>29</v>
      </c>
      <c r="J16" s="886">
        <v>7</v>
      </c>
    </row>
    <row r="17" spans="1:12" ht="13.5" customHeight="1">
      <c r="A17" s="860" t="s">
        <v>43</v>
      </c>
      <c r="B17" s="101" t="s">
        <v>43</v>
      </c>
      <c r="C17" s="102" t="s">
        <v>43</v>
      </c>
      <c r="D17" s="398">
        <v>8</v>
      </c>
      <c r="E17" s="249" t="s">
        <v>107</v>
      </c>
      <c r="F17" s="346">
        <v>9061</v>
      </c>
      <c r="G17" s="346">
        <v>9312</v>
      </c>
      <c r="H17" s="346">
        <f t="shared" si="0"/>
        <v>18373</v>
      </c>
      <c r="I17" s="251" t="s">
        <v>30</v>
      </c>
      <c r="J17" s="887">
        <v>8</v>
      </c>
      <c r="K17" s="100"/>
      <c r="L17" s="100"/>
    </row>
    <row r="18" spans="1:12" s="639" customFormat="1" ht="21.75" customHeight="1">
      <c r="A18" s="860" t="s">
        <v>43</v>
      </c>
      <c r="B18" s="101" t="s">
        <v>43</v>
      </c>
      <c r="C18" s="102" t="s">
        <v>43</v>
      </c>
      <c r="D18" s="772">
        <v>9</v>
      </c>
      <c r="E18" s="773" t="s">
        <v>145</v>
      </c>
      <c r="F18" s="781">
        <v>109463</v>
      </c>
      <c r="G18" s="781">
        <v>139702</v>
      </c>
      <c r="H18" s="781">
        <f t="shared" si="0"/>
        <v>249165</v>
      </c>
      <c r="I18" s="782" t="s">
        <v>20</v>
      </c>
      <c r="J18" s="886">
        <v>9</v>
      </c>
    </row>
    <row r="19" spans="1:12" ht="16.5" customHeight="1">
      <c r="A19" s="860" t="s">
        <v>43</v>
      </c>
      <c r="B19" s="101" t="s">
        <v>43</v>
      </c>
      <c r="C19" s="102" t="s">
        <v>43</v>
      </c>
      <c r="D19" s="398">
        <v>10</v>
      </c>
      <c r="E19" s="249" t="s">
        <v>146</v>
      </c>
      <c r="F19" s="347">
        <v>46458</v>
      </c>
      <c r="G19" s="347">
        <v>46925</v>
      </c>
      <c r="H19" s="347">
        <f t="shared" si="0"/>
        <v>93383</v>
      </c>
      <c r="I19" s="251" t="s">
        <v>21</v>
      </c>
      <c r="J19" s="887">
        <v>10</v>
      </c>
      <c r="K19" s="100"/>
      <c r="L19" s="100"/>
    </row>
    <row r="20" spans="1:12" s="639" customFormat="1" ht="16.5" customHeight="1">
      <c r="A20" s="860" t="s">
        <v>43</v>
      </c>
      <c r="B20" s="101" t="s">
        <v>43</v>
      </c>
      <c r="C20" s="102" t="s">
        <v>43</v>
      </c>
      <c r="D20" s="772">
        <v>11</v>
      </c>
      <c r="E20" s="773" t="s">
        <v>110</v>
      </c>
      <c r="F20" s="781">
        <v>100390</v>
      </c>
      <c r="G20" s="781">
        <v>161647</v>
      </c>
      <c r="H20" s="781">
        <f t="shared" si="0"/>
        <v>262037</v>
      </c>
      <c r="I20" s="782" t="s">
        <v>31</v>
      </c>
      <c r="J20" s="886">
        <v>11</v>
      </c>
    </row>
    <row r="21" spans="1:12" ht="16.5" customHeight="1">
      <c r="A21" s="860" t="s">
        <v>43</v>
      </c>
      <c r="B21" s="101" t="s">
        <v>43</v>
      </c>
      <c r="C21" s="102" t="s">
        <v>43</v>
      </c>
      <c r="D21" s="398">
        <v>12</v>
      </c>
      <c r="E21" s="249" t="s">
        <v>111</v>
      </c>
      <c r="F21" s="346">
        <v>46722</v>
      </c>
      <c r="G21" s="346">
        <v>99513</v>
      </c>
      <c r="H21" s="346">
        <f t="shared" si="0"/>
        <v>146235</v>
      </c>
      <c r="I21" s="251" t="s">
        <v>32</v>
      </c>
      <c r="J21" s="887">
        <v>12</v>
      </c>
      <c r="K21" s="100"/>
      <c r="L21" s="100"/>
    </row>
    <row r="22" spans="1:12" s="639" customFormat="1" ht="15.75" customHeight="1">
      <c r="A22" s="860" t="s">
        <v>43</v>
      </c>
      <c r="B22" s="101" t="s">
        <v>43</v>
      </c>
      <c r="C22" s="102" t="s">
        <v>43</v>
      </c>
      <c r="D22" s="772">
        <v>13</v>
      </c>
      <c r="E22" s="773" t="s">
        <v>112</v>
      </c>
      <c r="F22" s="781">
        <v>47512</v>
      </c>
      <c r="G22" s="781">
        <v>106440</v>
      </c>
      <c r="H22" s="781">
        <f t="shared" si="0"/>
        <v>153952</v>
      </c>
      <c r="I22" s="782" t="s">
        <v>33</v>
      </c>
      <c r="J22" s="886">
        <v>13</v>
      </c>
    </row>
    <row r="23" spans="1:12">
      <c r="A23" s="860" t="s">
        <v>43</v>
      </c>
      <c r="B23" s="101" t="s">
        <v>43</v>
      </c>
      <c r="C23" s="102" t="s">
        <v>43</v>
      </c>
      <c r="D23" s="398">
        <v>14</v>
      </c>
      <c r="E23" s="249" t="s">
        <v>113</v>
      </c>
      <c r="F23" s="346">
        <v>61427</v>
      </c>
      <c r="G23" s="346">
        <v>123285</v>
      </c>
      <c r="H23" s="346">
        <f t="shared" si="0"/>
        <v>184712</v>
      </c>
      <c r="I23" s="251" t="s">
        <v>34</v>
      </c>
      <c r="J23" s="887">
        <v>14</v>
      </c>
      <c r="K23" s="100"/>
      <c r="L23" s="100"/>
    </row>
    <row r="24" spans="1:12" s="639" customFormat="1" ht="16.5" customHeight="1">
      <c r="A24" s="860" t="s">
        <v>43</v>
      </c>
      <c r="B24" s="101" t="s">
        <v>43</v>
      </c>
      <c r="C24" s="102" t="s">
        <v>43</v>
      </c>
      <c r="D24" s="772">
        <v>15</v>
      </c>
      <c r="E24" s="773" t="s">
        <v>763</v>
      </c>
      <c r="F24" s="781">
        <v>70280</v>
      </c>
      <c r="G24" s="781">
        <v>80096</v>
      </c>
      <c r="H24" s="781">
        <f t="shared" si="0"/>
        <v>150376</v>
      </c>
      <c r="I24" s="751" t="s">
        <v>729</v>
      </c>
      <c r="J24" s="886">
        <v>15</v>
      </c>
    </row>
    <row r="25" spans="1:12" ht="15" customHeight="1">
      <c r="A25" s="860" t="s">
        <v>43</v>
      </c>
      <c r="B25" s="101" t="s">
        <v>43</v>
      </c>
      <c r="C25" s="102" t="s">
        <v>43</v>
      </c>
      <c r="D25" s="398">
        <v>16</v>
      </c>
      <c r="E25" s="249" t="s">
        <v>69</v>
      </c>
      <c r="F25" s="347">
        <v>15693</v>
      </c>
      <c r="G25" s="347">
        <v>17946</v>
      </c>
      <c r="H25" s="347">
        <f t="shared" si="0"/>
        <v>33639</v>
      </c>
      <c r="I25" s="251" t="s">
        <v>35</v>
      </c>
      <c r="J25" s="887">
        <v>16</v>
      </c>
      <c r="K25" s="100"/>
      <c r="L25" s="100"/>
    </row>
    <row r="26" spans="1:12" s="639" customFormat="1" ht="19.5" customHeight="1">
      <c r="A26" s="860" t="s">
        <v>43</v>
      </c>
      <c r="B26" s="101" t="s">
        <v>43</v>
      </c>
      <c r="C26" s="102" t="s">
        <v>43</v>
      </c>
      <c r="D26" s="772">
        <v>17</v>
      </c>
      <c r="E26" s="773" t="s">
        <v>147</v>
      </c>
      <c r="F26" s="781">
        <v>125293</v>
      </c>
      <c r="G26" s="781">
        <v>140275</v>
      </c>
      <c r="H26" s="781">
        <f t="shared" si="0"/>
        <v>265568</v>
      </c>
      <c r="I26" s="782" t="s">
        <v>36</v>
      </c>
      <c r="J26" s="886">
        <v>17</v>
      </c>
    </row>
    <row r="27" spans="1:12">
      <c r="A27" s="860" t="s">
        <v>43</v>
      </c>
      <c r="B27" s="101" t="s">
        <v>43</v>
      </c>
      <c r="C27" s="102" t="s">
        <v>43</v>
      </c>
      <c r="D27" s="398">
        <v>18</v>
      </c>
      <c r="E27" s="249" t="s">
        <v>148</v>
      </c>
      <c r="F27" s="346">
        <v>127719</v>
      </c>
      <c r="G27" s="346">
        <v>152120</v>
      </c>
      <c r="H27" s="346">
        <f>F27+G27</f>
        <v>279839</v>
      </c>
      <c r="I27" s="251" t="s">
        <v>37</v>
      </c>
      <c r="J27" s="887">
        <v>18</v>
      </c>
      <c r="K27" s="100"/>
      <c r="L27" s="100"/>
    </row>
    <row r="28" spans="1:12" s="639" customFormat="1" ht="18.75" customHeight="1">
      <c r="A28" s="860" t="s">
        <v>43</v>
      </c>
      <c r="B28" s="101" t="s">
        <v>43</v>
      </c>
      <c r="C28" s="102" t="s">
        <v>43</v>
      </c>
      <c r="D28" s="772">
        <v>19</v>
      </c>
      <c r="E28" s="773" t="s">
        <v>149</v>
      </c>
      <c r="F28" s="781">
        <v>116529</v>
      </c>
      <c r="G28" s="781">
        <v>153655</v>
      </c>
      <c r="H28" s="781">
        <f t="shared" ref="H28:H43" si="1">G28+F28</f>
        <v>270184</v>
      </c>
      <c r="I28" s="782" t="s">
        <v>38</v>
      </c>
      <c r="J28" s="886">
        <v>19</v>
      </c>
    </row>
    <row r="29" spans="1:12">
      <c r="A29" s="860" t="s">
        <v>43</v>
      </c>
      <c r="B29" s="101" t="s">
        <v>43</v>
      </c>
      <c r="C29" s="102" t="s">
        <v>43</v>
      </c>
      <c r="D29" s="398">
        <v>20</v>
      </c>
      <c r="E29" s="249" t="s">
        <v>150</v>
      </c>
      <c r="F29" s="346">
        <v>41031</v>
      </c>
      <c r="G29" s="346">
        <v>52063</v>
      </c>
      <c r="H29" s="346">
        <f t="shared" si="1"/>
        <v>93094</v>
      </c>
      <c r="I29" s="251" t="s">
        <v>39</v>
      </c>
      <c r="J29" s="887">
        <v>20</v>
      </c>
      <c r="K29" s="100"/>
      <c r="L29" s="100"/>
    </row>
    <row r="30" spans="1:12" s="639" customFormat="1" ht="21.75" customHeight="1">
      <c r="A30" s="860" t="s">
        <v>43</v>
      </c>
      <c r="B30" s="101" t="s">
        <v>43</v>
      </c>
      <c r="C30" s="102" t="s">
        <v>43</v>
      </c>
      <c r="D30" s="772">
        <v>21</v>
      </c>
      <c r="E30" s="773" t="s">
        <v>151</v>
      </c>
      <c r="F30" s="781">
        <v>167322</v>
      </c>
      <c r="G30" s="781">
        <v>186980</v>
      </c>
      <c r="H30" s="781">
        <f t="shared" si="1"/>
        <v>354302</v>
      </c>
      <c r="I30" s="782" t="s">
        <v>40</v>
      </c>
      <c r="J30" s="886">
        <v>21</v>
      </c>
    </row>
    <row r="31" spans="1:12">
      <c r="A31" s="860" t="s">
        <v>43</v>
      </c>
      <c r="B31" s="101" t="s">
        <v>43</v>
      </c>
      <c r="C31" s="102" t="s">
        <v>43</v>
      </c>
      <c r="D31" s="398">
        <v>22</v>
      </c>
      <c r="E31" s="249" t="s">
        <v>152</v>
      </c>
      <c r="F31" s="346">
        <v>52658</v>
      </c>
      <c r="G31" s="346">
        <v>66313</v>
      </c>
      <c r="H31" s="346">
        <f t="shared" si="1"/>
        <v>118971</v>
      </c>
      <c r="I31" s="251" t="s">
        <v>41</v>
      </c>
      <c r="J31" s="887">
        <v>22</v>
      </c>
      <c r="K31" s="100"/>
      <c r="L31" s="100"/>
    </row>
    <row r="32" spans="1:12" s="639" customFormat="1">
      <c r="A32" s="860" t="s">
        <v>43</v>
      </c>
      <c r="B32" s="101" t="s">
        <v>43</v>
      </c>
      <c r="C32" s="102" t="s">
        <v>43</v>
      </c>
      <c r="D32" s="772">
        <v>23</v>
      </c>
      <c r="E32" s="773" t="s">
        <v>121</v>
      </c>
      <c r="F32" s="781">
        <v>57975</v>
      </c>
      <c r="G32" s="781">
        <v>86952</v>
      </c>
      <c r="H32" s="781">
        <f t="shared" si="1"/>
        <v>144927</v>
      </c>
      <c r="I32" s="782" t="s">
        <v>22</v>
      </c>
      <c r="J32" s="886">
        <v>23</v>
      </c>
    </row>
    <row r="33" spans="1:13" ht="18" customHeight="1">
      <c r="A33" s="860" t="s">
        <v>43</v>
      </c>
      <c r="B33" s="101" t="s">
        <v>43</v>
      </c>
      <c r="C33" s="102" t="s">
        <v>43</v>
      </c>
      <c r="D33" s="398">
        <v>24</v>
      </c>
      <c r="E33" s="249" t="s">
        <v>122</v>
      </c>
      <c r="F33" s="346">
        <v>38682</v>
      </c>
      <c r="G33" s="346">
        <v>44119</v>
      </c>
      <c r="H33" s="346">
        <f t="shared" si="1"/>
        <v>82801</v>
      </c>
      <c r="I33" s="251" t="s">
        <v>23</v>
      </c>
      <c r="J33" s="887">
        <v>24</v>
      </c>
      <c r="K33" s="100"/>
      <c r="L33" s="100"/>
    </row>
    <row r="34" spans="1:13" s="639" customFormat="1" ht="17.25" customHeight="1">
      <c r="A34" s="860" t="s">
        <v>43</v>
      </c>
      <c r="B34" s="101" t="s">
        <v>43</v>
      </c>
      <c r="C34" s="102" t="s">
        <v>43</v>
      </c>
      <c r="D34" s="772">
        <v>25</v>
      </c>
      <c r="E34" s="773" t="s">
        <v>123</v>
      </c>
      <c r="F34" s="783">
        <v>10356</v>
      </c>
      <c r="G34" s="783">
        <v>38620</v>
      </c>
      <c r="H34" s="783">
        <f t="shared" si="1"/>
        <v>48976</v>
      </c>
      <c r="I34" s="782" t="s">
        <v>42</v>
      </c>
      <c r="J34" s="886">
        <v>25</v>
      </c>
    </row>
    <row r="35" spans="1:13" ht="17.25" customHeight="1">
      <c r="A35" s="860" t="s">
        <v>43</v>
      </c>
      <c r="B35" s="101" t="s">
        <v>43</v>
      </c>
      <c r="C35" s="102" t="s">
        <v>43</v>
      </c>
      <c r="D35" s="398">
        <v>26</v>
      </c>
      <c r="E35" s="249" t="s">
        <v>153</v>
      </c>
      <c r="F35" s="346">
        <v>21082</v>
      </c>
      <c r="G35" s="346">
        <v>52573</v>
      </c>
      <c r="H35" s="346">
        <f t="shared" si="1"/>
        <v>73655</v>
      </c>
      <c r="I35" s="251" t="s">
        <v>44</v>
      </c>
      <c r="J35" s="887">
        <v>26</v>
      </c>
      <c r="K35" s="100"/>
      <c r="L35" s="100"/>
    </row>
    <row r="36" spans="1:13" s="639" customFormat="1" ht="17.25" customHeight="1">
      <c r="A36" s="860" t="s">
        <v>43</v>
      </c>
      <c r="B36" s="101" t="s">
        <v>43</v>
      </c>
      <c r="C36" s="102" t="s">
        <v>43</v>
      </c>
      <c r="D36" s="772">
        <v>27</v>
      </c>
      <c r="E36" s="773" t="s">
        <v>154</v>
      </c>
      <c r="F36" s="781">
        <v>78328</v>
      </c>
      <c r="G36" s="781">
        <v>121867</v>
      </c>
      <c r="H36" s="781">
        <f t="shared" si="1"/>
        <v>200195</v>
      </c>
      <c r="I36" s="782" t="s">
        <v>45</v>
      </c>
      <c r="J36" s="886">
        <v>27</v>
      </c>
    </row>
    <row r="37" spans="1:13" ht="21" customHeight="1">
      <c r="A37" s="860" t="s">
        <v>43</v>
      </c>
      <c r="B37" s="101" t="s">
        <v>43</v>
      </c>
      <c r="C37" s="102" t="s">
        <v>43</v>
      </c>
      <c r="D37" s="398">
        <v>28</v>
      </c>
      <c r="E37" s="249" t="s">
        <v>155</v>
      </c>
      <c r="F37" s="346">
        <v>75129</v>
      </c>
      <c r="G37" s="346">
        <v>88519</v>
      </c>
      <c r="H37" s="346">
        <f t="shared" si="1"/>
        <v>163648</v>
      </c>
      <c r="I37" s="251" t="s">
        <v>46</v>
      </c>
      <c r="J37" s="887">
        <v>28</v>
      </c>
      <c r="K37" s="100"/>
      <c r="L37" s="100"/>
    </row>
    <row r="38" spans="1:13" s="639" customFormat="1" ht="22.5" customHeight="1">
      <c r="A38" s="860" t="s">
        <v>43</v>
      </c>
      <c r="B38" s="101" t="s">
        <v>43</v>
      </c>
      <c r="C38" s="102" t="s">
        <v>43</v>
      </c>
      <c r="D38" s="772">
        <v>29</v>
      </c>
      <c r="E38" s="773" t="s">
        <v>156</v>
      </c>
      <c r="F38" s="781">
        <v>111967</v>
      </c>
      <c r="G38" s="781">
        <v>134919</v>
      </c>
      <c r="H38" s="781">
        <f t="shared" si="1"/>
        <v>246886</v>
      </c>
      <c r="I38" s="782" t="s">
        <v>47</v>
      </c>
      <c r="J38" s="886">
        <v>29</v>
      </c>
    </row>
    <row r="39" spans="1:13" ht="15.75" customHeight="1">
      <c r="A39" s="860" t="s">
        <v>43</v>
      </c>
      <c r="B39" s="101" t="s">
        <v>43</v>
      </c>
      <c r="C39" s="102" t="s">
        <v>43</v>
      </c>
      <c r="D39" s="398">
        <v>30</v>
      </c>
      <c r="E39" s="249" t="s">
        <v>157</v>
      </c>
      <c r="F39" s="346">
        <v>47119</v>
      </c>
      <c r="G39" s="346">
        <v>113662</v>
      </c>
      <c r="H39" s="346">
        <f t="shared" si="1"/>
        <v>160781</v>
      </c>
      <c r="I39" s="251" t="s">
        <v>48</v>
      </c>
      <c r="J39" s="887">
        <v>30</v>
      </c>
      <c r="K39" s="100"/>
      <c r="L39" s="100"/>
    </row>
    <row r="40" spans="1:13" s="639" customFormat="1" ht="20.25" customHeight="1">
      <c r="A40" s="860" t="s">
        <v>43</v>
      </c>
      <c r="B40" s="101" t="s">
        <v>43</v>
      </c>
      <c r="C40" s="102" t="s">
        <v>43</v>
      </c>
      <c r="D40" s="772">
        <v>31</v>
      </c>
      <c r="E40" s="773" t="s">
        <v>129</v>
      </c>
      <c r="F40" s="783">
        <v>29805</v>
      </c>
      <c r="G40" s="783">
        <v>70058</v>
      </c>
      <c r="H40" s="783">
        <f t="shared" si="1"/>
        <v>99863</v>
      </c>
      <c r="I40" s="782" t="s">
        <v>24</v>
      </c>
      <c r="J40" s="886">
        <v>31</v>
      </c>
    </row>
    <row r="41" spans="1:13" ht="18.75" customHeight="1">
      <c r="A41" s="860" t="s">
        <v>43</v>
      </c>
      <c r="B41" s="101" t="s">
        <v>43</v>
      </c>
      <c r="C41" s="102" t="s">
        <v>43</v>
      </c>
      <c r="D41" s="398">
        <v>32</v>
      </c>
      <c r="E41" s="249" t="s">
        <v>130</v>
      </c>
      <c r="F41" s="346">
        <v>254131</v>
      </c>
      <c r="G41" s="346">
        <v>296164</v>
      </c>
      <c r="H41" s="346">
        <f t="shared" si="1"/>
        <v>550295</v>
      </c>
      <c r="I41" s="251" t="s">
        <v>25</v>
      </c>
      <c r="J41" s="887">
        <v>32</v>
      </c>
      <c r="K41" s="100"/>
      <c r="L41" s="100"/>
    </row>
    <row r="42" spans="1:13" s="639" customFormat="1" ht="24.75" customHeight="1">
      <c r="A42" s="860" t="s">
        <v>43</v>
      </c>
      <c r="B42" s="101" t="s">
        <v>43</v>
      </c>
      <c r="C42" s="102" t="s">
        <v>43</v>
      </c>
      <c r="D42" s="772">
        <v>33</v>
      </c>
      <c r="E42" s="773" t="s">
        <v>131</v>
      </c>
      <c r="F42" s="781">
        <v>31581</v>
      </c>
      <c r="G42" s="781">
        <v>58384</v>
      </c>
      <c r="H42" s="781">
        <f t="shared" si="1"/>
        <v>89965</v>
      </c>
      <c r="I42" s="782" t="s">
        <v>49</v>
      </c>
      <c r="J42" s="886">
        <v>33</v>
      </c>
    </row>
    <row r="43" spans="1:13" ht="18" customHeight="1">
      <c r="A43" s="861" t="s">
        <v>43</v>
      </c>
      <c r="B43" s="108" t="s">
        <v>43</v>
      </c>
      <c r="C43" s="109" t="s">
        <v>43</v>
      </c>
      <c r="D43" s="499">
        <v>34</v>
      </c>
      <c r="E43" s="502" t="s">
        <v>158</v>
      </c>
      <c r="F43" s="504">
        <v>31482</v>
      </c>
      <c r="G43" s="504">
        <v>36703</v>
      </c>
      <c r="H43" s="504">
        <f t="shared" si="1"/>
        <v>68185</v>
      </c>
      <c r="I43" s="498" t="s">
        <v>50</v>
      </c>
      <c r="J43" s="887">
        <v>34</v>
      </c>
      <c r="K43" s="100"/>
      <c r="L43" s="100"/>
    </row>
    <row r="44" spans="1:13" ht="12" customHeight="1">
      <c r="A44" s="101"/>
      <c r="B44" s="101"/>
      <c r="C44" s="101"/>
      <c r="D44" s="1341" t="s">
        <v>160</v>
      </c>
      <c r="E44" s="1341"/>
      <c r="F44" s="1341"/>
      <c r="G44" s="1341"/>
      <c r="H44" s="1342" t="s">
        <v>1518</v>
      </c>
      <c r="I44" s="1342"/>
      <c r="J44" s="1342"/>
    </row>
    <row r="45" spans="1:13" ht="25.5" customHeight="1">
      <c r="K45" s="209"/>
      <c r="L45" s="209"/>
      <c r="M45" s="209"/>
    </row>
    <row r="46" spans="1:13" ht="17.25" customHeight="1">
      <c r="K46" s="125"/>
      <c r="L46" s="125"/>
      <c r="M46" s="125"/>
    </row>
    <row r="47" spans="1:13">
      <c r="I47" s="183"/>
    </row>
    <row r="48" spans="1:13">
      <c r="E48"/>
      <c r="F48"/>
      <c r="G48"/>
      <c r="H48"/>
      <c r="I48"/>
      <c r="J48"/>
    </row>
    <row r="49" spans="5:10">
      <c r="E49"/>
      <c r="F49"/>
      <c r="G49"/>
      <c r="H49"/>
      <c r="I49"/>
      <c r="J49"/>
    </row>
    <row r="50" spans="5:10">
      <c r="E50"/>
      <c r="F50"/>
      <c r="G50"/>
      <c r="H50"/>
      <c r="I50"/>
      <c r="J50"/>
    </row>
    <row r="51" spans="5:10">
      <c r="E51"/>
      <c r="F51"/>
      <c r="G51"/>
      <c r="H51"/>
      <c r="I51"/>
      <c r="J51"/>
    </row>
  </sheetData>
  <mergeCells count="12">
    <mergeCell ref="A6:C6"/>
    <mergeCell ref="D44:G44"/>
    <mergeCell ref="H44:J44"/>
    <mergeCell ref="D1:J1"/>
    <mergeCell ref="D2:J2"/>
    <mergeCell ref="D3:J3"/>
    <mergeCell ref="D4:D8"/>
    <mergeCell ref="E4:E8"/>
    <mergeCell ref="F4:H4"/>
    <mergeCell ref="I4:I8"/>
    <mergeCell ref="J4:J8"/>
    <mergeCell ref="F5:H5"/>
  </mergeCells>
  <printOptions horizontalCentered="1"/>
  <pageMargins left="0" right="0" top="0.06" bottom="0.6" header="0.03" footer="0.39370078740157499"/>
  <pageSetup paperSize="9" orientation="portrait" r:id="rId1"/>
  <headerFooter>
    <oddFooter>&amp;L&amp;"Times New Roman,Regular"&amp;10    Afghanistan Statistical Yearbook 2023-24&amp;R&amp;"Times New Roman,Regular"&amp;10          د ۱۴۰۲ احصایيوي کالنۍ  /سالنامه احصائیوی ۱۴۰۲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0"/>
  </sheetPr>
  <dimension ref="A1:L48"/>
  <sheetViews>
    <sheetView view="pageBreakPreview" topLeftCell="E3" zoomScale="166" zoomScaleNormal="100" zoomScaleSheetLayoutView="166" workbookViewId="0">
      <selection activeCell="E3" sqref="E3:L3"/>
    </sheetView>
  </sheetViews>
  <sheetFormatPr baseColWidth="10" defaultColWidth="8.83203125" defaultRowHeight="15"/>
  <cols>
    <col min="1" max="3" width="10.6640625" hidden="1" customWidth="1"/>
    <col min="4" max="4" width="9.33203125" hidden="1" customWidth="1"/>
    <col min="5" max="5" width="6.1640625" style="100" customWidth="1"/>
    <col min="6" max="6" width="17.6640625" style="125" customWidth="1"/>
    <col min="7" max="10" width="12.6640625" style="125" customWidth="1"/>
    <col min="11" max="11" width="18.6640625" style="125" customWidth="1"/>
    <col min="12" max="12" width="5.6640625" style="125" customWidth="1"/>
  </cols>
  <sheetData>
    <row r="1" spans="1:12" s="1253" customFormat="1" ht="16" hidden="1">
      <c r="A1" s="70"/>
      <c r="B1" s="70"/>
      <c r="C1" s="70"/>
      <c r="D1" s="70"/>
      <c r="E1" s="1314" t="s">
        <v>2254</v>
      </c>
      <c r="F1" s="1314"/>
      <c r="G1" s="1314"/>
      <c r="H1" s="1314"/>
      <c r="I1" s="1314"/>
      <c r="J1" s="1314"/>
      <c r="K1" s="1314"/>
      <c r="L1" s="1314"/>
    </row>
    <row r="2" spans="1:12" s="1253" customFormat="1" ht="16" hidden="1">
      <c r="A2" s="70"/>
      <c r="B2" s="70"/>
      <c r="C2" s="70"/>
      <c r="D2" s="70"/>
      <c r="E2" s="1352" t="s">
        <v>2255</v>
      </c>
      <c r="F2" s="1352"/>
      <c r="G2" s="1352"/>
      <c r="H2" s="1352"/>
      <c r="I2" s="1352"/>
      <c r="J2" s="1352"/>
      <c r="K2" s="1352"/>
      <c r="L2" s="1352"/>
    </row>
    <row r="3" spans="1:12" ht="13.5" customHeight="1">
      <c r="A3" s="345" t="s">
        <v>161</v>
      </c>
      <c r="B3" s="345"/>
      <c r="C3" s="345"/>
      <c r="D3" s="345"/>
      <c r="E3" s="1353" t="s">
        <v>2256</v>
      </c>
      <c r="F3" s="1353"/>
      <c r="G3" s="1314"/>
      <c r="H3" s="1314"/>
      <c r="I3" s="1314"/>
      <c r="J3" s="1314"/>
      <c r="K3" s="1353"/>
      <c r="L3" s="1353"/>
    </row>
    <row r="4" spans="1:12" s="603" customFormat="1" ht="18" customHeight="1">
      <c r="A4" s="601"/>
      <c r="B4" s="601"/>
      <c r="C4" s="602"/>
      <c r="D4" s="602"/>
      <c r="E4" s="1354" t="s">
        <v>621</v>
      </c>
      <c r="F4" s="1330" t="s">
        <v>139</v>
      </c>
      <c r="G4" s="1344">
        <v>1402</v>
      </c>
      <c r="H4" s="1345"/>
      <c r="I4" s="1345"/>
      <c r="J4" s="1346"/>
      <c r="K4" s="1336" t="s">
        <v>17</v>
      </c>
      <c r="L4" s="1311" t="s">
        <v>727</v>
      </c>
    </row>
    <row r="5" spans="1:12" s="603" customFormat="1" ht="18" customHeight="1">
      <c r="A5" s="1347">
        <v>1400</v>
      </c>
      <c r="B5" s="1347"/>
      <c r="C5" s="1347"/>
      <c r="D5" s="1348"/>
      <c r="E5" s="1355"/>
      <c r="F5" s="1331"/>
      <c r="G5" s="1349" t="s">
        <v>772</v>
      </c>
      <c r="H5" s="1350"/>
      <c r="I5" s="1350"/>
      <c r="J5" s="1351"/>
      <c r="K5" s="1337"/>
      <c r="L5" s="1298"/>
    </row>
    <row r="6" spans="1:12" s="603" customFormat="1" ht="18" customHeight="1">
      <c r="A6" s="323"/>
      <c r="B6" s="323"/>
      <c r="C6" s="323"/>
      <c r="D6" s="348"/>
      <c r="E6" s="1355"/>
      <c r="F6" s="1331"/>
      <c r="G6" s="1223" t="s">
        <v>692</v>
      </c>
      <c r="H6" s="1223" t="s">
        <v>691</v>
      </c>
      <c r="I6" s="1223" t="s">
        <v>690</v>
      </c>
      <c r="J6" s="1232" t="s">
        <v>689</v>
      </c>
      <c r="K6" s="1337"/>
      <c r="L6" s="1298"/>
    </row>
    <row r="7" spans="1:12" s="603" customFormat="1" ht="18" customHeight="1">
      <c r="A7" s="323"/>
      <c r="B7" s="323"/>
      <c r="C7" s="323"/>
      <c r="D7" s="348"/>
      <c r="E7" s="1355"/>
      <c r="F7" s="1331"/>
      <c r="G7" s="1243" t="s">
        <v>65</v>
      </c>
      <c r="H7" s="1243" t="s">
        <v>2</v>
      </c>
      <c r="I7" s="1243" t="s">
        <v>681</v>
      </c>
      <c r="J7" s="1233" t="s">
        <v>0</v>
      </c>
      <c r="K7" s="1337"/>
      <c r="L7" s="1298"/>
    </row>
    <row r="8" spans="1:12" s="603" customFormat="1" ht="18" customHeight="1">
      <c r="A8" s="216" t="s">
        <v>65</v>
      </c>
      <c r="B8" s="216" t="s">
        <v>2</v>
      </c>
      <c r="C8" s="216" t="s">
        <v>66</v>
      </c>
      <c r="D8" s="349" t="s">
        <v>0</v>
      </c>
      <c r="E8" s="1356"/>
      <c r="F8" s="1332"/>
      <c r="G8" s="1227" t="s">
        <v>140</v>
      </c>
      <c r="H8" s="1227" t="s">
        <v>141</v>
      </c>
      <c r="I8" s="1227" t="s">
        <v>142</v>
      </c>
      <c r="J8" s="892" t="s">
        <v>70</v>
      </c>
      <c r="K8" s="1338"/>
      <c r="L8" s="1299"/>
    </row>
    <row r="9" spans="1:12" ht="18.5" customHeight="1">
      <c r="A9" s="184" t="s">
        <v>43</v>
      </c>
      <c r="B9" s="334" t="s">
        <v>43</v>
      </c>
      <c r="C9" s="334" t="s">
        <v>43</v>
      </c>
      <c r="D9" s="253" t="s">
        <v>43</v>
      </c>
      <c r="E9" s="496"/>
      <c r="F9" s="501" t="s">
        <v>70</v>
      </c>
      <c r="G9" s="414">
        <f>SUM(G10:G43)</f>
        <v>1968</v>
      </c>
      <c r="H9" s="414">
        <f>SUM(H10:H43)</f>
        <v>581</v>
      </c>
      <c r="I9" s="414">
        <f>SUM(I10:I43)</f>
        <v>1270</v>
      </c>
      <c r="J9" s="414">
        <f>SUM(J10:J43)</f>
        <v>3819</v>
      </c>
      <c r="K9" s="495" t="s">
        <v>680</v>
      </c>
      <c r="L9" s="496"/>
    </row>
    <row r="10" spans="1:12" s="639" customFormat="1" ht="18.5" customHeight="1">
      <c r="A10" s="185" t="s">
        <v>43</v>
      </c>
      <c r="B10" s="212" t="s">
        <v>43</v>
      </c>
      <c r="C10" s="212" t="s">
        <v>43</v>
      </c>
      <c r="D10" s="136" t="s">
        <v>43</v>
      </c>
      <c r="E10" s="772">
        <v>1</v>
      </c>
      <c r="F10" s="773" t="s">
        <v>101</v>
      </c>
      <c r="G10" s="212">
        <f>55+44</f>
        <v>99</v>
      </c>
      <c r="H10" s="212">
        <f>4+15</f>
        <v>19</v>
      </c>
      <c r="I10" s="212">
        <f>6+35</f>
        <v>41</v>
      </c>
      <c r="J10" s="212">
        <f t="shared" ref="J10:J43" si="0">I10+H10+G10</f>
        <v>159</v>
      </c>
      <c r="K10" s="782" t="s">
        <v>18</v>
      </c>
      <c r="L10" s="886">
        <v>1</v>
      </c>
    </row>
    <row r="11" spans="1:12" ht="18.5" customHeight="1">
      <c r="A11" s="185" t="s">
        <v>43</v>
      </c>
      <c r="B11" s="212" t="s">
        <v>43</v>
      </c>
      <c r="C11" s="212" t="s">
        <v>43</v>
      </c>
      <c r="D11" s="136" t="s">
        <v>43</v>
      </c>
      <c r="E11" s="398">
        <v>2</v>
      </c>
      <c r="F11" s="249" t="s">
        <v>102</v>
      </c>
      <c r="G11" s="214">
        <v>1</v>
      </c>
      <c r="H11" s="214">
        <v>22</v>
      </c>
      <c r="I11" s="214">
        <v>58</v>
      </c>
      <c r="J11" s="214">
        <f t="shared" si="0"/>
        <v>81</v>
      </c>
      <c r="K11" s="251" t="s">
        <v>26</v>
      </c>
      <c r="L11" s="887">
        <v>2</v>
      </c>
    </row>
    <row r="12" spans="1:12" s="639" customFormat="1" ht="18.5" customHeight="1">
      <c r="A12" s="185" t="s">
        <v>43</v>
      </c>
      <c r="B12" s="212" t="s">
        <v>43</v>
      </c>
      <c r="C12" s="212" t="s">
        <v>43</v>
      </c>
      <c r="D12" s="136" t="s">
        <v>43</v>
      </c>
      <c r="E12" s="772">
        <v>3</v>
      </c>
      <c r="F12" s="773" t="s">
        <v>103</v>
      </c>
      <c r="G12" s="212">
        <v>47</v>
      </c>
      <c r="H12" s="212">
        <v>29</v>
      </c>
      <c r="I12" s="212">
        <v>45</v>
      </c>
      <c r="J12" s="212">
        <f t="shared" si="0"/>
        <v>121</v>
      </c>
      <c r="K12" s="782" t="s">
        <v>27</v>
      </c>
      <c r="L12" s="886">
        <v>3</v>
      </c>
    </row>
    <row r="13" spans="1:12" ht="18.5" customHeight="1">
      <c r="A13" s="185" t="s">
        <v>43</v>
      </c>
      <c r="B13" s="212" t="s">
        <v>43</v>
      </c>
      <c r="C13" s="212" t="s">
        <v>43</v>
      </c>
      <c r="D13" s="136" t="s">
        <v>43</v>
      </c>
      <c r="E13" s="398">
        <v>4</v>
      </c>
      <c r="F13" s="249" t="s">
        <v>652</v>
      </c>
      <c r="G13" s="214">
        <v>68</v>
      </c>
      <c r="H13" s="214">
        <v>13</v>
      </c>
      <c r="I13" s="214">
        <v>22</v>
      </c>
      <c r="J13" s="214">
        <f t="shared" si="0"/>
        <v>103</v>
      </c>
      <c r="K13" s="251" t="s">
        <v>1255</v>
      </c>
      <c r="L13" s="887">
        <v>4</v>
      </c>
    </row>
    <row r="14" spans="1:12" s="639" customFormat="1" ht="18.5" customHeight="1">
      <c r="A14" s="185" t="s">
        <v>43</v>
      </c>
      <c r="B14" s="212" t="s">
        <v>43</v>
      </c>
      <c r="C14" s="212" t="s">
        <v>43</v>
      </c>
      <c r="D14" s="136" t="s">
        <v>43</v>
      </c>
      <c r="E14" s="772">
        <v>5</v>
      </c>
      <c r="F14" s="773" t="s">
        <v>104</v>
      </c>
      <c r="G14" s="212">
        <v>12</v>
      </c>
      <c r="H14" s="212">
        <v>14</v>
      </c>
      <c r="I14" s="212">
        <v>50</v>
      </c>
      <c r="J14" s="212">
        <f t="shared" si="0"/>
        <v>76</v>
      </c>
      <c r="K14" s="782" t="s">
        <v>19</v>
      </c>
      <c r="L14" s="886">
        <v>5</v>
      </c>
    </row>
    <row r="15" spans="1:12" ht="18.5" customHeight="1">
      <c r="A15" s="185" t="s">
        <v>43</v>
      </c>
      <c r="B15" s="212" t="s">
        <v>43</v>
      </c>
      <c r="C15" s="212" t="s">
        <v>43</v>
      </c>
      <c r="D15" s="136" t="s">
        <v>43</v>
      </c>
      <c r="E15" s="398">
        <v>6</v>
      </c>
      <c r="F15" s="249" t="s">
        <v>143</v>
      </c>
      <c r="G15" s="214">
        <v>91</v>
      </c>
      <c r="H15" s="214">
        <v>19</v>
      </c>
      <c r="I15" s="214">
        <v>22</v>
      </c>
      <c r="J15" s="214">
        <f t="shared" si="0"/>
        <v>132</v>
      </c>
      <c r="K15" s="251" t="s">
        <v>28</v>
      </c>
      <c r="L15" s="887">
        <v>6</v>
      </c>
    </row>
    <row r="16" spans="1:12" s="639" customFormat="1" ht="18.5" customHeight="1">
      <c r="A16" s="185" t="s">
        <v>43</v>
      </c>
      <c r="B16" s="212" t="s">
        <v>43</v>
      </c>
      <c r="C16" s="212" t="s">
        <v>43</v>
      </c>
      <c r="D16" s="136" t="s">
        <v>43</v>
      </c>
      <c r="E16" s="772">
        <v>7</v>
      </c>
      <c r="F16" s="773" t="s">
        <v>144</v>
      </c>
      <c r="G16" s="212">
        <v>26</v>
      </c>
      <c r="H16" s="212">
        <v>17</v>
      </c>
      <c r="I16" s="212">
        <v>19</v>
      </c>
      <c r="J16" s="212">
        <f t="shared" si="0"/>
        <v>62</v>
      </c>
      <c r="K16" s="782" t="s">
        <v>29</v>
      </c>
      <c r="L16" s="886">
        <v>7</v>
      </c>
    </row>
    <row r="17" spans="1:12" ht="18.5" customHeight="1">
      <c r="A17" s="185" t="s">
        <v>43</v>
      </c>
      <c r="B17" s="212" t="s">
        <v>43</v>
      </c>
      <c r="C17" s="212" t="s">
        <v>43</v>
      </c>
      <c r="D17" s="136" t="s">
        <v>43</v>
      </c>
      <c r="E17" s="398">
        <v>8</v>
      </c>
      <c r="F17" s="249" t="s">
        <v>107</v>
      </c>
      <c r="G17" s="214">
        <v>15</v>
      </c>
      <c r="H17" s="214">
        <v>7</v>
      </c>
      <c r="I17" s="214">
        <v>6</v>
      </c>
      <c r="J17" s="214">
        <f t="shared" si="0"/>
        <v>28</v>
      </c>
      <c r="K17" s="251" t="s">
        <v>30</v>
      </c>
      <c r="L17" s="887">
        <v>8</v>
      </c>
    </row>
    <row r="18" spans="1:12" s="639" customFormat="1" ht="18.5" customHeight="1">
      <c r="A18" s="185" t="s">
        <v>43</v>
      </c>
      <c r="B18" s="212" t="s">
        <v>43</v>
      </c>
      <c r="C18" s="212" t="s">
        <v>43</v>
      </c>
      <c r="D18" s="136" t="s">
        <v>43</v>
      </c>
      <c r="E18" s="772">
        <v>9</v>
      </c>
      <c r="F18" s="773" t="s">
        <v>145</v>
      </c>
      <c r="G18" s="212">
        <v>121</v>
      </c>
      <c r="H18" s="212">
        <v>8</v>
      </c>
      <c r="I18" s="212">
        <v>27</v>
      </c>
      <c r="J18" s="212">
        <f t="shared" si="0"/>
        <v>156</v>
      </c>
      <c r="K18" s="782" t="s">
        <v>20</v>
      </c>
      <c r="L18" s="886">
        <v>9</v>
      </c>
    </row>
    <row r="19" spans="1:12" ht="18.5" customHeight="1">
      <c r="A19" s="185" t="s">
        <v>43</v>
      </c>
      <c r="B19" s="212" t="s">
        <v>43</v>
      </c>
      <c r="C19" s="212" t="s">
        <v>43</v>
      </c>
      <c r="D19" s="136" t="s">
        <v>43</v>
      </c>
      <c r="E19" s="398">
        <v>10</v>
      </c>
      <c r="F19" s="249" t="s">
        <v>146</v>
      </c>
      <c r="G19" s="214">
        <v>76</v>
      </c>
      <c r="H19" s="214">
        <v>23</v>
      </c>
      <c r="I19" s="214">
        <v>17</v>
      </c>
      <c r="J19" s="214">
        <f t="shared" si="0"/>
        <v>116</v>
      </c>
      <c r="K19" s="251" t="s">
        <v>21</v>
      </c>
      <c r="L19" s="887">
        <v>10</v>
      </c>
    </row>
    <row r="20" spans="1:12" s="639" customFormat="1" ht="18.5" customHeight="1">
      <c r="A20" s="185" t="s">
        <v>43</v>
      </c>
      <c r="B20" s="212" t="s">
        <v>43</v>
      </c>
      <c r="C20" s="212" t="s">
        <v>43</v>
      </c>
      <c r="D20" s="136" t="s">
        <v>43</v>
      </c>
      <c r="E20" s="772">
        <v>11</v>
      </c>
      <c r="F20" s="773" t="s">
        <v>110</v>
      </c>
      <c r="G20" s="212">
        <v>83</v>
      </c>
      <c r="H20" s="212">
        <v>13</v>
      </c>
      <c r="I20" s="212">
        <v>50</v>
      </c>
      <c r="J20" s="212">
        <f t="shared" si="0"/>
        <v>146</v>
      </c>
      <c r="K20" s="782" t="s">
        <v>31</v>
      </c>
      <c r="L20" s="886">
        <v>11</v>
      </c>
    </row>
    <row r="21" spans="1:12" ht="18.5" customHeight="1">
      <c r="A21" s="185" t="s">
        <v>43</v>
      </c>
      <c r="B21" s="212" t="s">
        <v>43</v>
      </c>
      <c r="C21" s="212" t="s">
        <v>43</v>
      </c>
      <c r="D21" s="136" t="s">
        <v>43</v>
      </c>
      <c r="E21" s="398">
        <v>12</v>
      </c>
      <c r="F21" s="249" t="s">
        <v>111</v>
      </c>
      <c r="G21" s="214">
        <v>17</v>
      </c>
      <c r="H21" s="214">
        <v>6</v>
      </c>
      <c r="I21" s="214">
        <v>35</v>
      </c>
      <c r="J21" s="214">
        <f t="shared" si="0"/>
        <v>58</v>
      </c>
      <c r="K21" s="251" t="s">
        <v>32</v>
      </c>
      <c r="L21" s="887">
        <v>12</v>
      </c>
    </row>
    <row r="22" spans="1:12" s="639" customFormat="1" ht="18.5" customHeight="1">
      <c r="A22" s="185" t="s">
        <v>43</v>
      </c>
      <c r="B22" s="212" t="s">
        <v>43</v>
      </c>
      <c r="C22" s="212" t="s">
        <v>43</v>
      </c>
      <c r="D22" s="136" t="s">
        <v>43</v>
      </c>
      <c r="E22" s="772">
        <v>13</v>
      </c>
      <c r="F22" s="773" t="s">
        <v>112</v>
      </c>
      <c r="G22" s="212">
        <v>15</v>
      </c>
      <c r="H22" s="212">
        <v>11</v>
      </c>
      <c r="I22" s="212">
        <v>60</v>
      </c>
      <c r="J22" s="212">
        <f t="shared" si="0"/>
        <v>86</v>
      </c>
      <c r="K22" s="782" t="s">
        <v>33</v>
      </c>
      <c r="L22" s="886">
        <v>13</v>
      </c>
    </row>
    <row r="23" spans="1:12" ht="18.5" customHeight="1">
      <c r="A23" s="185" t="s">
        <v>43</v>
      </c>
      <c r="B23" s="212" t="s">
        <v>43</v>
      </c>
      <c r="C23" s="212" t="s">
        <v>43</v>
      </c>
      <c r="D23" s="136" t="s">
        <v>43</v>
      </c>
      <c r="E23" s="398">
        <v>14</v>
      </c>
      <c r="F23" s="249" t="s">
        <v>113</v>
      </c>
      <c r="G23" s="214">
        <v>3</v>
      </c>
      <c r="H23" s="214">
        <v>17</v>
      </c>
      <c r="I23" s="214">
        <v>50</v>
      </c>
      <c r="J23" s="214">
        <f t="shared" si="0"/>
        <v>70</v>
      </c>
      <c r="K23" s="251" t="s">
        <v>34</v>
      </c>
      <c r="L23" s="887">
        <v>14</v>
      </c>
    </row>
    <row r="24" spans="1:12" s="639" customFormat="1" ht="18.5" customHeight="1">
      <c r="A24" s="185" t="s">
        <v>43</v>
      </c>
      <c r="B24" s="212" t="s">
        <v>43</v>
      </c>
      <c r="C24" s="212" t="s">
        <v>43</v>
      </c>
      <c r="D24" s="136" t="s">
        <v>43</v>
      </c>
      <c r="E24" s="772">
        <v>15</v>
      </c>
      <c r="F24" s="773" t="s">
        <v>763</v>
      </c>
      <c r="G24" s="212">
        <v>45</v>
      </c>
      <c r="H24" s="212">
        <v>22</v>
      </c>
      <c r="I24" s="212">
        <v>28</v>
      </c>
      <c r="J24" s="212">
        <f t="shared" si="0"/>
        <v>95</v>
      </c>
      <c r="K24" s="643" t="s">
        <v>729</v>
      </c>
      <c r="L24" s="886">
        <v>15</v>
      </c>
    </row>
    <row r="25" spans="1:12" ht="18.5" customHeight="1">
      <c r="A25" s="185" t="s">
        <v>43</v>
      </c>
      <c r="B25" s="212" t="s">
        <v>43</v>
      </c>
      <c r="C25" s="212" t="s">
        <v>43</v>
      </c>
      <c r="D25" s="136" t="s">
        <v>43</v>
      </c>
      <c r="E25" s="398">
        <v>16</v>
      </c>
      <c r="F25" s="249" t="s">
        <v>69</v>
      </c>
      <c r="G25" s="214">
        <v>31</v>
      </c>
      <c r="H25" s="214">
        <v>25</v>
      </c>
      <c r="I25" s="214">
        <v>33</v>
      </c>
      <c r="J25" s="214">
        <f t="shared" si="0"/>
        <v>89</v>
      </c>
      <c r="K25" s="251" t="s">
        <v>35</v>
      </c>
      <c r="L25" s="887">
        <v>16</v>
      </c>
    </row>
    <row r="26" spans="1:12" s="639" customFormat="1" ht="18.5" customHeight="1">
      <c r="A26" s="185" t="s">
        <v>43</v>
      </c>
      <c r="B26" s="212" t="s">
        <v>43</v>
      </c>
      <c r="C26" s="212" t="s">
        <v>43</v>
      </c>
      <c r="D26" s="136" t="s">
        <v>43</v>
      </c>
      <c r="E26" s="772">
        <v>17</v>
      </c>
      <c r="F26" s="773" t="s">
        <v>147</v>
      </c>
      <c r="G26" s="212">
        <v>157</v>
      </c>
      <c r="H26" s="212">
        <v>22</v>
      </c>
      <c r="I26" s="212">
        <v>6</v>
      </c>
      <c r="J26" s="212">
        <f t="shared" si="0"/>
        <v>185</v>
      </c>
      <c r="K26" s="782" t="s">
        <v>36</v>
      </c>
      <c r="L26" s="886">
        <v>17</v>
      </c>
    </row>
    <row r="27" spans="1:12" ht="18.5" customHeight="1">
      <c r="A27" s="185" t="s">
        <v>43</v>
      </c>
      <c r="B27" s="212" t="s">
        <v>43</v>
      </c>
      <c r="C27" s="212" t="s">
        <v>43</v>
      </c>
      <c r="D27" s="136" t="s">
        <v>43</v>
      </c>
      <c r="E27" s="398">
        <v>18</v>
      </c>
      <c r="F27" s="249" t="s">
        <v>148</v>
      </c>
      <c r="G27" s="214">
        <v>130</v>
      </c>
      <c r="H27" s="214">
        <v>10</v>
      </c>
      <c r="I27" s="214">
        <v>6</v>
      </c>
      <c r="J27" s="214">
        <f t="shared" si="0"/>
        <v>146</v>
      </c>
      <c r="K27" s="251" t="s">
        <v>37</v>
      </c>
      <c r="L27" s="887">
        <v>18</v>
      </c>
    </row>
    <row r="28" spans="1:12" s="639" customFormat="1" ht="18.5" customHeight="1">
      <c r="A28" s="185" t="s">
        <v>43</v>
      </c>
      <c r="B28" s="212" t="s">
        <v>43</v>
      </c>
      <c r="C28" s="212" t="s">
        <v>43</v>
      </c>
      <c r="D28" s="136" t="s">
        <v>43</v>
      </c>
      <c r="E28" s="772">
        <v>19</v>
      </c>
      <c r="F28" s="773" t="s">
        <v>149</v>
      </c>
      <c r="G28" s="212">
        <v>58</v>
      </c>
      <c r="H28" s="212">
        <v>31</v>
      </c>
      <c r="I28" s="212">
        <v>53</v>
      </c>
      <c r="J28" s="212">
        <f t="shared" si="0"/>
        <v>142</v>
      </c>
      <c r="K28" s="782" t="s">
        <v>38</v>
      </c>
      <c r="L28" s="886">
        <v>19</v>
      </c>
    </row>
    <row r="29" spans="1:12" ht="18.5" customHeight="1">
      <c r="A29" s="185" t="s">
        <v>43</v>
      </c>
      <c r="B29" s="212" t="s">
        <v>43</v>
      </c>
      <c r="C29" s="212" t="s">
        <v>43</v>
      </c>
      <c r="D29" s="136" t="s">
        <v>43</v>
      </c>
      <c r="E29" s="398">
        <v>20</v>
      </c>
      <c r="F29" s="249" t="s">
        <v>150</v>
      </c>
      <c r="G29" s="214">
        <v>64</v>
      </c>
      <c r="H29" s="214">
        <v>13</v>
      </c>
      <c r="I29" s="214">
        <v>23</v>
      </c>
      <c r="J29" s="214">
        <f t="shared" si="0"/>
        <v>100</v>
      </c>
      <c r="K29" s="251" t="s">
        <v>39</v>
      </c>
      <c r="L29" s="887">
        <v>20</v>
      </c>
    </row>
    <row r="30" spans="1:12" s="639" customFormat="1" ht="18.5" customHeight="1">
      <c r="A30" s="185" t="s">
        <v>43</v>
      </c>
      <c r="B30" s="212" t="s">
        <v>43</v>
      </c>
      <c r="C30" s="212" t="s">
        <v>43</v>
      </c>
      <c r="D30" s="136" t="s">
        <v>43</v>
      </c>
      <c r="E30" s="772">
        <v>21</v>
      </c>
      <c r="F30" s="773" t="s">
        <v>151</v>
      </c>
      <c r="G30" s="212">
        <v>179</v>
      </c>
      <c r="H30" s="212">
        <v>11</v>
      </c>
      <c r="I30" s="212">
        <v>20</v>
      </c>
      <c r="J30" s="212">
        <f t="shared" si="0"/>
        <v>210</v>
      </c>
      <c r="K30" s="782" t="s">
        <v>40</v>
      </c>
      <c r="L30" s="886">
        <v>21</v>
      </c>
    </row>
    <row r="31" spans="1:12" ht="18.5" customHeight="1">
      <c r="A31" s="185" t="s">
        <v>43</v>
      </c>
      <c r="B31" s="212" t="s">
        <v>43</v>
      </c>
      <c r="C31" s="212" t="s">
        <v>43</v>
      </c>
      <c r="D31" s="136" t="s">
        <v>43</v>
      </c>
      <c r="E31" s="398">
        <v>22</v>
      </c>
      <c r="F31" s="249" t="s">
        <v>152</v>
      </c>
      <c r="G31" s="214">
        <v>62</v>
      </c>
      <c r="H31" s="214">
        <v>29</v>
      </c>
      <c r="I31" s="214">
        <v>43</v>
      </c>
      <c r="J31" s="214">
        <f t="shared" si="0"/>
        <v>134</v>
      </c>
      <c r="K31" s="251" t="s">
        <v>41</v>
      </c>
      <c r="L31" s="887">
        <v>22</v>
      </c>
    </row>
    <row r="32" spans="1:12" s="639" customFormat="1" ht="18.5" customHeight="1">
      <c r="A32" s="185" t="s">
        <v>43</v>
      </c>
      <c r="B32" s="212" t="s">
        <v>43</v>
      </c>
      <c r="C32" s="212" t="s">
        <v>43</v>
      </c>
      <c r="D32" s="136" t="s">
        <v>43</v>
      </c>
      <c r="E32" s="772">
        <v>23</v>
      </c>
      <c r="F32" s="773" t="s">
        <v>121</v>
      </c>
      <c r="G32" s="212">
        <v>98</v>
      </c>
      <c r="H32" s="212">
        <v>34</v>
      </c>
      <c r="I32" s="212">
        <v>72</v>
      </c>
      <c r="J32" s="212">
        <f t="shared" si="0"/>
        <v>204</v>
      </c>
      <c r="K32" s="782" t="s">
        <v>22</v>
      </c>
      <c r="L32" s="886">
        <v>23</v>
      </c>
    </row>
    <row r="33" spans="1:12" ht="18.5" customHeight="1">
      <c r="A33" s="185" t="s">
        <v>43</v>
      </c>
      <c r="B33" s="212" t="s">
        <v>43</v>
      </c>
      <c r="C33" s="212" t="s">
        <v>43</v>
      </c>
      <c r="D33" s="136" t="s">
        <v>43</v>
      </c>
      <c r="E33" s="398">
        <v>24</v>
      </c>
      <c r="F33" s="249" t="s">
        <v>122</v>
      </c>
      <c r="G33" s="214">
        <v>62</v>
      </c>
      <c r="H33" s="214">
        <v>16</v>
      </c>
      <c r="I33" s="214">
        <v>15</v>
      </c>
      <c r="J33" s="214">
        <f t="shared" si="0"/>
        <v>93</v>
      </c>
      <c r="K33" s="251" t="s">
        <v>23</v>
      </c>
      <c r="L33" s="887">
        <v>24</v>
      </c>
    </row>
    <row r="34" spans="1:12" s="639" customFormat="1" ht="20.25" customHeight="1">
      <c r="A34" s="185" t="s">
        <v>43</v>
      </c>
      <c r="B34" s="212" t="s">
        <v>43</v>
      </c>
      <c r="C34" s="212" t="s">
        <v>43</v>
      </c>
      <c r="D34" s="136" t="s">
        <v>43</v>
      </c>
      <c r="E34" s="772">
        <v>25</v>
      </c>
      <c r="F34" s="773" t="s">
        <v>123</v>
      </c>
      <c r="G34" s="212">
        <v>0</v>
      </c>
      <c r="H34" s="212">
        <v>3</v>
      </c>
      <c r="I34" s="212">
        <v>41</v>
      </c>
      <c r="J34" s="212">
        <f t="shared" si="0"/>
        <v>44</v>
      </c>
      <c r="K34" s="782" t="s">
        <v>42</v>
      </c>
      <c r="L34" s="886">
        <v>25</v>
      </c>
    </row>
    <row r="35" spans="1:12" ht="19.5" customHeight="1">
      <c r="A35" s="185" t="s">
        <v>43</v>
      </c>
      <c r="B35" s="212" t="s">
        <v>43</v>
      </c>
      <c r="C35" s="212" t="s">
        <v>43</v>
      </c>
      <c r="D35" s="136" t="s">
        <v>43</v>
      </c>
      <c r="E35" s="398">
        <v>26</v>
      </c>
      <c r="F35" s="249" t="s">
        <v>153</v>
      </c>
      <c r="G35" s="214">
        <v>2</v>
      </c>
      <c r="H35" s="214">
        <v>4</v>
      </c>
      <c r="I35" s="214">
        <v>23</v>
      </c>
      <c r="J35" s="214">
        <f t="shared" si="0"/>
        <v>29</v>
      </c>
      <c r="K35" s="251" t="s">
        <v>44</v>
      </c>
      <c r="L35" s="887">
        <v>26</v>
      </c>
    </row>
    <row r="36" spans="1:12" s="639" customFormat="1" ht="18.5" customHeight="1">
      <c r="A36" s="185" t="s">
        <v>43</v>
      </c>
      <c r="B36" s="212" t="s">
        <v>43</v>
      </c>
      <c r="C36" s="212" t="s">
        <v>43</v>
      </c>
      <c r="D36" s="136" t="s">
        <v>43</v>
      </c>
      <c r="E36" s="772">
        <v>27</v>
      </c>
      <c r="F36" s="773" t="s">
        <v>154</v>
      </c>
      <c r="G36" s="212">
        <v>11</v>
      </c>
      <c r="H36" s="212">
        <v>1</v>
      </c>
      <c r="I36" s="212">
        <v>71</v>
      </c>
      <c r="J36" s="212">
        <f t="shared" si="0"/>
        <v>83</v>
      </c>
      <c r="K36" s="782" t="s">
        <v>45</v>
      </c>
      <c r="L36" s="886">
        <v>27</v>
      </c>
    </row>
    <row r="37" spans="1:12" ht="18.5" customHeight="1">
      <c r="A37" s="185" t="s">
        <v>43</v>
      </c>
      <c r="B37" s="212" t="s">
        <v>43</v>
      </c>
      <c r="C37" s="212" t="s">
        <v>43</v>
      </c>
      <c r="D37" s="136" t="s">
        <v>43</v>
      </c>
      <c r="E37" s="398">
        <v>28</v>
      </c>
      <c r="F37" s="249" t="s">
        <v>155</v>
      </c>
      <c r="G37" s="214">
        <v>67</v>
      </c>
      <c r="H37" s="214">
        <v>24</v>
      </c>
      <c r="I37" s="214">
        <v>31</v>
      </c>
      <c r="J37" s="214">
        <f t="shared" si="0"/>
        <v>122</v>
      </c>
      <c r="K37" s="251" t="s">
        <v>46</v>
      </c>
      <c r="L37" s="887">
        <v>28</v>
      </c>
    </row>
    <row r="38" spans="1:12" s="639" customFormat="1" ht="18.5" customHeight="1">
      <c r="A38" s="185" t="s">
        <v>43</v>
      </c>
      <c r="B38" s="212" t="s">
        <v>43</v>
      </c>
      <c r="C38" s="212" t="s">
        <v>43</v>
      </c>
      <c r="D38" s="136" t="s">
        <v>43</v>
      </c>
      <c r="E38" s="772">
        <v>29</v>
      </c>
      <c r="F38" s="773" t="s">
        <v>156</v>
      </c>
      <c r="G38" s="212">
        <v>34</v>
      </c>
      <c r="H38" s="212">
        <v>42</v>
      </c>
      <c r="I38" s="212">
        <v>64</v>
      </c>
      <c r="J38" s="212">
        <f t="shared" si="0"/>
        <v>140</v>
      </c>
      <c r="K38" s="782" t="s">
        <v>47</v>
      </c>
      <c r="L38" s="886">
        <v>29</v>
      </c>
    </row>
    <row r="39" spans="1:12" ht="18.5" customHeight="1">
      <c r="A39" s="185" t="s">
        <v>43</v>
      </c>
      <c r="B39" s="212" t="s">
        <v>43</v>
      </c>
      <c r="C39" s="212" t="s">
        <v>43</v>
      </c>
      <c r="D39" s="136" t="s">
        <v>43</v>
      </c>
      <c r="E39" s="398">
        <v>30</v>
      </c>
      <c r="F39" s="249" t="s">
        <v>157</v>
      </c>
      <c r="G39" s="214">
        <v>18</v>
      </c>
      <c r="H39" s="214">
        <v>0</v>
      </c>
      <c r="I39" s="214">
        <v>63</v>
      </c>
      <c r="J39" s="214">
        <f t="shared" si="0"/>
        <v>81</v>
      </c>
      <c r="K39" s="251" t="s">
        <v>48</v>
      </c>
      <c r="L39" s="887">
        <v>30</v>
      </c>
    </row>
    <row r="40" spans="1:12" s="639" customFormat="1" ht="21" customHeight="1">
      <c r="A40" s="185" t="s">
        <v>43</v>
      </c>
      <c r="B40" s="212" t="s">
        <v>43</v>
      </c>
      <c r="C40" s="212" t="s">
        <v>43</v>
      </c>
      <c r="D40" s="136" t="s">
        <v>43</v>
      </c>
      <c r="E40" s="772">
        <v>31</v>
      </c>
      <c r="F40" s="773" t="s">
        <v>129</v>
      </c>
      <c r="G40" s="212">
        <v>16</v>
      </c>
      <c r="H40" s="212">
        <v>38</v>
      </c>
      <c r="I40" s="212">
        <v>63</v>
      </c>
      <c r="J40" s="212">
        <f t="shared" si="0"/>
        <v>117</v>
      </c>
      <c r="K40" s="782" t="s">
        <v>24</v>
      </c>
      <c r="L40" s="886">
        <v>31</v>
      </c>
    </row>
    <row r="41" spans="1:12" ht="19.5" customHeight="1">
      <c r="A41" s="185" t="s">
        <v>43</v>
      </c>
      <c r="B41" s="212" t="s">
        <v>43</v>
      </c>
      <c r="C41" s="212" t="s">
        <v>43</v>
      </c>
      <c r="D41" s="136" t="s">
        <v>43</v>
      </c>
      <c r="E41" s="398">
        <v>32</v>
      </c>
      <c r="F41" s="249" t="s">
        <v>130</v>
      </c>
      <c r="G41" s="214">
        <v>220</v>
      </c>
      <c r="H41" s="214">
        <v>25</v>
      </c>
      <c r="I41" s="214">
        <v>35</v>
      </c>
      <c r="J41" s="214">
        <f t="shared" si="0"/>
        <v>280</v>
      </c>
      <c r="K41" s="251" t="s">
        <v>25</v>
      </c>
      <c r="L41" s="887">
        <v>32</v>
      </c>
    </row>
    <row r="42" spans="1:12" s="639" customFormat="1" ht="18.5" customHeight="1">
      <c r="A42" s="185" t="s">
        <v>43</v>
      </c>
      <c r="B42" s="212" t="s">
        <v>43</v>
      </c>
      <c r="C42" s="212" t="s">
        <v>43</v>
      </c>
      <c r="D42" s="136" t="s">
        <v>43</v>
      </c>
      <c r="E42" s="772">
        <v>33</v>
      </c>
      <c r="F42" s="773" t="s">
        <v>131</v>
      </c>
      <c r="G42" s="212">
        <v>16</v>
      </c>
      <c r="H42" s="212">
        <v>12</v>
      </c>
      <c r="I42" s="212">
        <v>70</v>
      </c>
      <c r="J42" s="212">
        <f t="shared" si="0"/>
        <v>98</v>
      </c>
      <c r="K42" s="782" t="s">
        <v>49</v>
      </c>
      <c r="L42" s="886">
        <v>33</v>
      </c>
    </row>
    <row r="43" spans="1:12" ht="21" customHeight="1">
      <c r="A43" s="187" t="s">
        <v>43</v>
      </c>
      <c r="B43" s="188" t="s">
        <v>43</v>
      </c>
      <c r="C43" s="188" t="s">
        <v>43</v>
      </c>
      <c r="D43" s="189" t="s">
        <v>43</v>
      </c>
      <c r="E43" s="499">
        <v>34</v>
      </c>
      <c r="F43" s="502" t="s">
        <v>158</v>
      </c>
      <c r="G43" s="423">
        <v>24</v>
      </c>
      <c r="H43" s="423">
        <v>1</v>
      </c>
      <c r="I43" s="423">
        <v>8</v>
      </c>
      <c r="J43" s="423">
        <f t="shared" si="0"/>
        <v>33</v>
      </c>
      <c r="K43" s="498" t="s">
        <v>50</v>
      </c>
      <c r="L43" s="888">
        <v>34</v>
      </c>
    </row>
    <row r="44" spans="1:12" ht="16.5" customHeight="1">
      <c r="A44" s="211" t="s">
        <v>76</v>
      </c>
      <c r="B44" s="211"/>
      <c r="C44" s="211"/>
      <c r="D44" s="211"/>
      <c r="E44" s="1341" t="s">
        <v>160</v>
      </c>
      <c r="F44" s="1341"/>
      <c r="G44" s="1341"/>
      <c r="H44" s="1341"/>
      <c r="I44" s="1341"/>
      <c r="J44" s="1258" t="s">
        <v>1518</v>
      </c>
      <c r="K44" s="1258"/>
      <c r="L44" s="1258"/>
    </row>
    <row r="45" spans="1:12" ht="27.75" customHeight="1">
      <c r="A45" s="125"/>
      <c r="B45" s="125"/>
      <c r="C45" s="125"/>
      <c r="D45" s="125"/>
      <c r="E45" s="447"/>
    </row>
    <row r="46" spans="1:12">
      <c r="A46" s="125"/>
      <c r="B46" s="125"/>
      <c r="C46" s="125"/>
      <c r="D46" s="125"/>
      <c r="E46" s="447"/>
    </row>
    <row r="47" spans="1:12">
      <c r="F47" s="1290"/>
      <c r="G47" s="1290"/>
      <c r="H47" s="1290"/>
      <c r="I47" s="1290"/>
      <c r="J47" s="1290"/>
      <c r="K47" s="1290"/>
      <c r="L47" s="1290"/>
    </row>
    <row r="48" spans="1:12">
      <c r="F48" s="1305"/>
      <c r="G48" s="1305"/>
      <c r="H48" s="1305"/>
      <c r="I48" s="1305"/>
      <c r="J48" s="1305"/>
      <c r="K48" s="126"/>
      <c r="L48" s="126"/>
    </row>
  </sheetData>
  <mergeCells count="14">
    <mergeCell ref="F48:J48"/>
    <mergeCell ref="E1:L1"/>
    <mergeCell ref="E2:L2"/>
    <mergeCell ref="E3:L3"/>
    <mergeCell ref="E4:E8"/>
    <mergeCell ref="F4:F8"/>
    <mergeCell ref="G4:J4"/>
    <mergeCell ref="K4:K8"/>
    <mergeCell ref="L4:L8"/>
    <mergeCell ref="A5:D5"/>
    <mergeCell ref="G5:J5"/>
    <mergeCell ref="E44:I44"/>
    <mergeCell ref="J44:L44"/>
    <mergeCell ref="F47:L47"/>
  </mergeCells>
  <printOptions horizontalCentered="1"/>
  <pageMargins left="0" right="0" top="0.06" bottom="0.6" header="0.03" footer="0.39370078740157499"/>
  <pageSetup paperSize="9" orientation="portrait" r:id="rId1"/>
  <headerFooter>
    <oddFooter>&amp;L&amp;"Times New Roman,Regular"&amp;10    Afghanistan Statistical Yearbook 2023-24&amp;R&amp;"Times New Roman,Regular"&amp;10          د ۱۴۰۲ احصایيوي کالنۍ  /سالنامه احصائیوی ۱۴۰۲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0"/>
  </sheetPr>
  <dimension ref="A1:L47"/>
  <sheetViews>
    <sheetView view="pageBreakPreview" topLeftCell="A3" zoomScale="160" zoomScaleNormal="100" zoomScaleSheetLayoutView="160" workbookViewId="0">
      <selection activeCell="A3" sqref="A3:G3"/>
    </sheetView>
  </sheetViews>
  <sheetFormatPr baseColWidth="10" defaultColWidth="8.83203125" defaultRowHeight="15"/>
  <cols>
    <col min="1" max="1" width="5.83203125" customWidth="1"/>
    <col min="2" max="2" width="18" style="125" customWidth="1"/>
    <col min="3" max="5" width="13.33203125" style="125" customWidth="1"/>
    <col min="6" max="6" width="24" style="125" customWidth="1"/>
    <col min="7" max="7" width="5.83203125" style="125" customWidth="1"/>
    <col min="9" max="9" width="5.83203125" customWidth="1"/>
    <col min="10" max="10" width="12" customWidth="1"/>
  </cols>
  <sheetData>
    <row r="1" spans="1:12" ht="18" hidden="1" customHeight="1">
      <c r="A1" s="1259" t="s">
        <v>2251</v>
      </c>
      <c r="B1" s="1259"/>
      <c r="C1" s="1259"/>
      <c r="D1" s="1259"/>
      <c r="E1" s="1259"/>
      <c r="F1" s="1259"/>
      <c r="G1" s="1259"/>
    </row>
    <row r="2" spans="1:12" ht="18" hidden="1" customHeight="1">
      <c r="A2" s="1326" t="s">
        <v>2252</v>
      </c>
      <c r="B2" s="1326"/>
      <c r="C2" s="1326"/>
      <c r="D2" s="1326"/>
      <c r="E2" s="1326"/>
      <c r="F2" s="1326"/>
      <c r="G2" s="1326"/>
    </row>
    <row r="3" spans="1:12" ht="24.75" customHeight="1">
      <c r="A3" s="1261" t="s">
        <v>2253</v>
      </c>
      <c r="B3" s="1261"/>
      <c r="C3" s="1261"/>
      <c r="D3" s="1261"/>
      <c r="E3" s="1261"/>
      <c r="F3" s="1261"/>
      <c r="G3" s="1261"/>
    </row>
    <row r="4" spans="1:12" ht="18" customHeight="1">
      <c r="A4" s="1327" t="s">
        <v>621</v>
      </c>
      <c r="B4" s="1330" t="s">
        <v>139</v>
      </c>
      <c r="C4" s="1357">
        <v>1402</v>
      </c>
      <c r="D4" s="1358"/>
      <c r="E4" s="1359"/>
      <c r="F4" s="1336" t="s">
        <v>17</v>
      </c>
      <c r="G4" s="1311" t="s">
        <v>727</v>
      </c>
    </row>
    <row r="5" spans="1:12" ht="18" customHeight="1">
      <c r="A5" s="1328"/>
      <c r="B5" s="1331"/>
      <c r="C5" s="1273" t="s">
        <v>772</v>
      </c>
      <c r="D5" s="1274"/>
      <c r="E5" s="1275"/>
      <c r="F5" s="1337"/>
      <c r="G5" s="1298"/>
    </row>
    <row r="6" spans="1:12" ht="18" customHeight="1">
      <c r="A6" s="1328"/>
      <c r="B6" s="1331"/>
      <c r="C6" s="1226" t="s">
        <v>694</v>
      </c>
      <c r="D6" s="1226" t="s">
        <v>695</v>
      </c>
      <c r="E6" s="1236" t="s">
        <v>696</v>
      </c>
      <c r="F6" s="1337"/>
      <c r="G6" s="1298"/>
    </row>
    <row r="7" spans="1:12" ht="16.5" customHeight="1">
      <c r="A7" s="1328"/>
      <c r="B7" s="1331"/>
      <c r="C7" s="1245" t="s">
        <v>4</v>
      </c>
      <c r="D7" s="1245" t="s">
        <v>693</v>
      </c>
      <c r="E7" s="1235" t="s">
        <v>14</v>
      </c>
      <c r="F7" s="1337"/>
      <c r="G7" s="1298"/>
    </row>
    <row r="8" spans="1:12" ht="14.25" customHeight="1">
      <c r="A8" s="1329"/>
      <c r="B8" s="1332"/>
      <c r="C8" s="1225" t="s">
        <v>98</v>
      </c>
      <c r="D8" s="1225" t="s">
        <v>99</v>
      </c>
      <c r="E8" s="893" t="s">
        <v>100</v>
      </c>
      <c r="F8" s="1338"/>
      <c r="G8" s="1299"/>
    </row>
    <row r="9" spans="1:12" ht="17.25" customHeight="1">
      <c r="A9" s="496"/>
      <c r="B9" s="517" t="s">
        <v>70</v>
      </c>
      <c r="C9" s="1079">
        <f>SUM(C10:C43)</f>
        <v>873112</v>
      </c>
      <c r="D9" s="1080">
        <f>SUM(D10:D43)</f>
        <v>1177363</v>
      </c>
      <c r="E9" s="1080">
        <f>D9+C9</f>
        <v>2050475</v>
      </c>
      <c r="F9" s="495" t="s">
        <v>680</v>
      </c>
      <c r="G9" s="496"/>
      <c r="H9" s="100"/>
      <c r="I9" s="100"/>
      <c r="J9" s="100"/>
      <c r="K9" s="100"/>
      <c r="L9" s="100"/>
    </row>
    <row r="10" spans="1:12" s="639" customFormat="1" ht="17.25" customHeight="1">
      <c r="A10" s="772">
        <v>1</v>
      </c>
      <c r="B10" s="784" t="s">
        <v>101</v>
      </c>
      <c r="C10" s="1081">
        <v>191636</v>
      </c>
      <c r="D10" s="1082">
        <v>194625</v>
      </c>
      <c r="E10" s="1082">
        <f>D10+C10</f>
        <v>386261</v>
      </c>
      <c r="F10" s="782" t="s">
        <v>18</v>
      </c>
      <c r="G10" s="886">
        <v>1</v>
      </c>
    </row>
    <row r="11" spans="1:12" ht="17.25" customHeight="1">
      <c r="A11" s="398">
        <v>2</v>
      </c>
      <c r="B11" s="254" t="s">
        <v>102</v>
      </c>
      <c r="C11" s="1083">
        <v>11806</v>
      </c>
      <c r="D11" s="1084">
        <v>20633</v>
      </c>
      <c r="E11" s="1084">
        <f t="shared" ref="E11:E43" si="0">D11+C11</f>
        <v>32439</v>
      </c>
      <c r="F11" s="251" t="s">
        <v>26</v>
      </c>
      <c r="G11" s="887">
        <v>2</v>
      </c>
      <c r="H11" s="100"/>
      <c r="I11" s="100"/>
      <c r="J11" s="100"/>
      <c r="K11" s="100"/>
      <c r="L11" s="100"/>
    </row>
    <row r="12" spans="1:12" s="639" customFormat="1" ht="17.25" customHeight="1">
      <c r="A12" s="772">
        <v>3</v>
      </c>
      <c r="B12" s="784" t="s">
        <v>103</v>
      </c>
      <c r="C12" s="1081">
        <v>20550</v>
      </c>
      <c r="D12" s="1082">
        <v>27904</v>
      </c>
      <c r="E12" s="1082">
        <f t="shared" si="0"/>
        <v>48454</v>
      </c>
      <c r="F12" s="782" t="s">
        <v>27</v>
      </c>
      <c r="G12" s="886">
        <v>3</v>
      </c>
    </row>
    <row r="13" spans="1:12" ht="17.25" customHeight="1">
      <c r="A13" s="398">
        <v>4</v>
      </c>
      <c r="B13" s="254" t="s">
        <v>652</v>
      </c>
      <c r="C13" s="1083">
        <v>9980</v>
      </c>
      <c r="D13" s="1084">
        <v>27337</v>
      </c>
      <c r="E13" s="1084">
        <f t="shared" si="0"/>
        <v>37317</v>
      </c>
      <c r="F13" s="251" t="s">
        <v>1255</v>
      </c>
      <c r="G13" s="887">
        <v>4</v>
      </c>
      <c r="H13" s="100"/>
      <c r="I13" s="100"/>
      <c r="J13" s="100"/>
      <c r="K13" s="100"/>
      <c r="L13" s="100"/>
    </row>
    <row r="14" spans="1:12" s="639" customFormat="1" ht="17.25" customHeight="1">
      <c r="A14" s="772">
        <v>5</v>
      </c>
      <c r="B14" s="784" t="s">
        <v>104</v>
      </c>
      <c r="C14" s="1081">
        <v>7316</v>
      </c>
      <c r="D14" s="1082">
        <v>20462</v>
      </c>
      <c r="E14" s="1082">
        <f t="shared" si="0"/>
        <v>27778</v>
      </c>
      <c r="F14" s="782" t="s">
        <v>19</v>
      </c>
      <c r="G14" s="886">
        <v>5</v>
      </c>
    </row>
    <row r="15" spans="1:12" ht="17.25" customHeight="1">
      <c r="A15" s="398">
        <v>6</v>
      </c>
      <c r="B15" s="254" t="s">
        <v>143</v>
      </c>
      <c r="C15" s="1083">
        <v>23030</v>
      </c>
      <c r="D15" s="1084">
        <v>96512</v>
      </c>
      <c r="E15" s="1084">
        <f t="shared" si="0"/>
        <v>119542</v>
      </c>
      <c r="F15" s="251" t="s">
        <v>28</v>
      </c>
      <c r="G15" s="887">
        <v>6</v>
      </c>
      <c r="H15" s="100"/>
      <c r="I15" s="100"/>
      <c r="J15" s="100"/>
      <c r="K15" s="100"/>
      <c r="L15" s="100"/>
    </row>
    <row r="16" spans="1:12" s="639" customFormat="1" ht="17.25" customHeight="1">
      <c r="A16" s="772">
        <v>7</v>
      </c>
      <c r="B16" s="784" t="s">
        <v>144</v>
      </c>
      <c r="C16" s="1081">
        <v>16310</v>
      </c>
      <c r="D16" s="1082">
        <v>23772</v>
      </c>
      <c r="E16" s="1082">
        <f t="shared" si="0"/>
        <v>40082</v>
      </c>
      <c r="F16" s="782" t="s">
        <v>29</v>
      </c>
      <c r="G16" s="886">
        <v>7</v>
      </c>
    </row>
    <row r="17" spans="1:12" ht="17.25" customHeight="1">
      <c r="A17" s="398">
        <v>8</v>
      </c>
      <c r="B17" s="254" t="s">
        <v>107</v>
      </c>
      <c r="C17" s="1083">
        <v>4656</v>
      </c>
      <c r="D17" s="1084">
        <v>4320</v>
      </c>
      <c r="E17" s="1084">
        <f t="shared" si="0"/>
        <v>8976</v>
      </c>
      <c r="F17" s="251" t="s">
        <v>30</v>
      </c>
      <c r="G17" s="887">
        <v>8</v>
      </c>
      <c r="H17" s="100"/>
      <c r="I17" s="100"/>
      <c r="J17" s="100"/>
      <c r="K17" s="100"/>
      <c r="L17" s="100"/>
    </row>
    <row r="18" spans="1:12" s="639" customFormat="1" ht="17.25" customHeight="1">
      <c r="A18" s="772">
        <v>9</v>
      </c>
      <c r="B18" s="784" t="s">
        <v>145</v>
      </c>
      <c r="C18" s="1081">
        <v>34821</v>
      </c>
      <c r="D18" s="1082">
        <v>49530</v>
      </c>
      <c r="E18" s="1082">
        <f t="shared" si="0"/>
        <v>84351</v>
      </c>
      <c r="F18" s="782" t="s">
        <v>20</v>
      </c>
      <c r="G18" s="886">
        <v>9</v>
      </c>
    </row>
    <row r="19" spans="1:12" ht="17.25" customHeight="1">
      <c r="A19" s="398">
        <v>10</v>
      </c>
      <c r="B19" s="254" t="s">
        <v>146</v>
      </c>
      <c r="C19" s="1083">
        <v>18672</v>
      </c>
      <c r="D19" s="1084">
        <v>17338</v>
      </c>
      <c r="E19" s="1084">
        <f t="shared" si="0"/>
        <v>36010</v>
      </c>
      <c r="F19" s="251" t="s">
        <v>21</v>
      </c>
      <c r="G19" s="887">
        <v>10</v>
      </c>
      <c r="H19" s="100"/>
      <c r="I19" s="100"/>
      <c r="J19" s="100"/>
      <c r="K19" s="100"/>
      <c r="L19" s="100"/>
    </row>
    <row r="20" spans="1:12" s="639" customFormat="1" ht="17.25" customHeight="1">
      <c r="A20" s="772">
        <v>11</v>
      </c>
      <c r="B20" s="784" t="s">
        <v>110</v>
      </c>
      <c r="C20" s="1081">
        <v>34158</v>
      </c>
      <c r="D20" s="1082">
        <v>51036</v>
      </c>
      <c r="E20" s="1082">
        <f t="shared" si="0"/>
        <v>85194</v>
      </c>
      <c r="F20" s="782" t="s">
        <v>31</v>
      </c>
      <c r="G20" s="886">
        <v>11</v>
      </c>
    </row>
    <row r="21" spans="1:12" ht="17.25" customHeight="1">
      <c r="A21" s="398">
        <v>12</v>
      </c>
      <c r="B21" s="254" t="s">
        <v>111</v>
      </c>
      <c r="C21" s="1083">
        <v>2630</v>
      </c>
      <c r="D21" s="1084">
        <v>19103</v>
      </c>
      <c r="E21" s="1084">
        <f t="shared" si="0"/>
        <v>21733</v>
      </c>
      <c r="F21" s="251" t="s">
        <v>32</v>
      </c>
      <c r="G21" s="887">
        <v>12</v>
      </c>
      <c r="H21" s="100"/>
      <c r="I21" s="100"/>
      <c r="J21" s="100"/>
      <c r="K21" s="100"/>
      <c r="L21" s="100"/>
    </row>
    <row r="22" spans="1:12" s="639" customFormat="1" ht="17.25" customHeight="1">
      <c r="A22" s="772">
        <v>13</v>
      </c>
      <c r="B22" s="784" t="s">
        <v>112</v>
      </c>
      <c r="C22" s="1081">
        <v>8574</v>
      </c>
      <c r="D22" s="1082">
        <v>32395</v>
      </c>
      <c r="E22" s="1082">
        <f t="shared" si="0"/>
        <v>40969</v>
      </c>
      <c r="F22" s="782" t="s">
        <v>33</v>
      </c>
      <c r="G22" s="886">
        <v>13</v>
      </c>
    </row>
    <row r="23" spans="1:12" ht="17.25" customHeight="1">
      <c r="A23" s="398">
        <v>14</v>
      </c>
      <c r="B23" s="254" t="s">
        <v>113</v>
      </c>
      <c r="C23" s="1083">
        <v>15681</v>
      </c>
      <c r="D23" s="1084">
        <v>35364</v>
      </c>
      <c r="E23" s="1084">
        <f t="shared" si="0"/>
        <v>51045</v>
      </c>
      <c r="F23" s="251" t="s">
        <v>34</v>
      </c>
      <c r="G23" s="887">
        <v>14</v>
      </c>
      <c r="H23" s="100"/>
      <c r="I23" s="100"/>
      <c r="J23" s="100"/>
      <c r="K23" s="100"/>
      <c r="L23" s="100"/>
    </row>
    <row r="24" spans="1:12" s="639" customFormat="1" ht="17.25" customHeight="1">
      <c r="A24" s="772">
        <v>15</v>
      </c>
      <c r="B24" s="784" t="s">
        <v>763</v>
      </c>
      <c r="C24" s="1081">
        <v>13452</v>
      </c>
      <c r="D24" s="1082">
        <v>21704</v>
      </c>
      <c r="E24" s="1082">
        <f t="shared" si="0"/>
        <v>35156</v>
      </c>
      <c r="F24" s="643" t="s">
        <v>729</v>
      </c>
      <c r="G24" s="886">
        <v>15</v>
      </c>
    </row>
    <row r="25" spans="1:12" ht="17.25" customHeight="1">
      <c r="A25" s="398">
        <v>16</v>
      </c>
      <c r="B25" s="254" t="s">
        <v>69</v>
      </c>
      <c r="C25" s="1083">
        <v>4586</v>
      </c>
      <c r="D25" s="1084">
        <v>4108</v>
      </c>
      <c r="E25" s="1084">
        <f t="shared" si="0"/>
        <v>8694</v>
      </c>
      <c r="F25" s="251" t="s">
        <v>35</v>
      </c>
      <c r="G25" s="887">
        <v>16</v>
      </c>
      <c r="H25" s="100"/>
      <c r="I25" s="100"/>
      <c r="J25" s="100"/>
      <c r="K25" s="100"/>
      <c r="L25" s="100"/>
    </row>
    <row r="26" spans="1:12" s="639" customFormat="1" ht="17.25" customHeight="1">
      <c r="A26" s="772">
        <v>17</v>
      </c>
      <c r="B26" s="784" t="s">
        <v>147</v>
      </c>
      <c r="C26" s="1081">
        <v>47476</v>
      </c>
      <c r="D26" s="1082">
        <v>45374</v>
      </c>
      <c r="E26" s="1082">
        <f t="shared" si="0"/>
        <v>92850</v>
      </c>
      <c r="F26" s="782" t="s">
        <v>36</v>
      </c>
      <c r="G26" s="886">
        <v>17</v>
      </c>
    </row>
    <row r="27" spans="1:12" ht="17.25" customHeight="1">
      <c r="A27" s="398">
        <v>18</v>
      </c>
      <c r="B27" s="254" t="s">
        <v>148</v>
      </c>
      <c r="C27" s="1083">
        <v>46406</v>
      </c>
      <c r="D27" s="1084">
        <v>50773</v>
      </c>
      <c r="E27" s="1084">
        <f t="shared" si="0"/>
        <v>97179</v>
      </c>
      <c r="F27" s="251" t="s">
        <v>37</v>
      </c>
      <c r="G27" s="887">
        <v>18</v>
      </c>
      <c r="H27" s="100"/>
      <c r="I27" s="100"/>
      <c r="J27" s="100"/>
      <c r="K27" s="100"/>
      <c r="L27" s="100"/>
    </row>
    <row r="28" spans="1:12" s="639" customFormat="1" ht="17.25" customHeight="1">
      <c r="A28" s="772">
        <v>19</v>
      </c>
      <c r="B28" s="784" t="s">
        <v>149</v>
      </c>
      <c r="C28" s="1081">
        <v>33304</v>
      </c>
      <c r="D28" s="1082">
        <v>45813</v>
      </c>
      <c r="E28" s="1082">
        <f t="shared" si="0"/>
        <v>79117</v>
      </c>
      <c r="F28" s="782" t="s">
        <v>38</v>
      </c>
      <c r="G28" s="886">
        <v>19</v>
      </c>
    </row>
    <row r="29" spans="1:12" ht="17.25" customHeight="1">
      <c r="A29" s="398">
        <v>20</v>
      </c>
      <c r="B29" s="254" t="s">
        <v>150</v>
      </c>
      <c r="C29" s="1083">
        <v>16614</v>
      </c>
      <c r="D29" s="1084">
        <v>17163</v>
      </c>
      <c r="E29" s="1084">
        <f t="shared" si="0"/>
        <v>33777</v>
      </c>
      <c r="F29" s="251" t="s">
        <v>39</v>
      </c>
      <c r="G29" s="887">
        <v>20</v>
      </c>
      <c r="H29" s="100"/>
      <c r="I29" s="100"/>
      <c r="J29" s="100"/>
      <c r="K29" s="100"/>
      <c r="L29" s="100"/>
    </row>
    <row r="30" spans="1:12" s="639" customFormat="1" ht="17.25" customHeight="1">
      <c r="A30" s="772">
        <v>21</v>
      </c>
      <c r="B30" s="784" t="s">
        <v>151</v>
      </c>
      <c r="C30" s="1081">
        <v>66058</v>
      </c>
      <c r="D30" s="1082">
        <v>62478</v>
      </c>
      <c r="E30" s="1082">
        <f t="shared" si="0"/>
        <v>128536</v>
      </c>
      <c r="F30" s="782" t="s">
        <v>40</v>
      </c>
      <c r="G30" s="886">
        <v>21</v>
      </c>
    </row>
    <row r="31" spans="1:12" ht="17.25" customHeight="1">
      <c r="A31" s="398">
        <v>22</v>
      </c>
      <c r="B31" s="254" t="s">
        <v>152</v>
      </c>
      <c r="C31" s="1083">
        <v>17282</v>
      </c>
      <c r="D31" s="1084">
        <v>16729</v>
      </c>
      <c r="E31" s="1084">
        <f t="shared" si="0"/>
        <v>34011</v>
      </c>
      <c r="F31" s="251" t="s">
        <v>41</v>
      </c>
      <c r="G31" s="887">
        <v>22</v>
      </c>
      <c r="H31" s="100"/>
      <c r="I31" s="100"/>
      <c r="J31" s="100"/>
      <c r="K31" s="100"/>
      <c r="L31" s="100"/>
    </row>
    <row r="32" spans="1:12" s="639" customFormat="1" ht="17.25" customHeight="1">
      <c r="A32" s="772">
        <v>23</v>
      </c>
      <c r="B32" s="784" t="s">
        <v>121</v>
      </c>
      <c r="C32" s="1081">
        <v>20111</v>
      </c>
      <c r="D32" s="1082">
        <v>27040</v>
      </c>
      <c r="E32" s="1082">
        <f t="shared" si="0"/>
        <v>47151</v>
      </c>
      <c r="F32" s="782" t="s">
        <v>22</v>
      </c>
      <c r="G32" s="886">
        <v>23</v>
      </c>
    </row>
    <row r="33" spans="1:12" ht="17.25" customHeight="1">
      <c r="A33" s="398">
        <v>24</v>
      </c>
      <c r="B33" s="254" t="s">
        <v>122</v>
      </c>
      <c r="C33" s="1083">
        <v>20089</v>
      </c>
      <c r="D33" s="1084">
        <v>17431</v>
      </c>
      <c r="E33" s="1084">
        <f t="shared" si="0"/>
        <v>37520</v>
      </c>
      <c r="F33" s="251" t="s">
        <v>23</v>
      </c>
      <c r="G33" s="887">
        <v>24</v>
      </c>
      <c r="H33" s="100"/>
      <c r="I33" s="100"/>
      <c r="J33" s="100"/>
      <c r="K33" s="100"/>
      <c r="L33" s="100"/>
    </row>
    <row r="34" spans="1:12" s="639" customFormat="1" ht="17.25" customHeight="1">
      <c r="A34" s="772">
        <v>25</v>
      </c>
      <c r="B34" s="784" t="s">
        <v>123</v>
      </c>
      <c r="C34" s="1081">
        <v>1858</v>
      </c>
      <c r="D34" s="1082">
        <v>11100</v>
      </c>
      <c r="E34" s="1082">
        <f t="shared" si="0"/>
        <v>12958</v>
      </c>
      <c r="F34" s="782" t="s">
        <v>42</v>
      </c>
      <c r="G34" s="886">
        <v>25</v>
      </c>
    </row>
    <row r="35" spans="1:12" ht="17.25" customHeight="1">
      <c r="A35" s="398">
        <v>26</v>
      </c>
      <c r="B35" s="254" t="s">
        <v>153</v>
      </c>
      <c r="C35" s="1083">
        <v>1397</v>
      </c>
      <c r="D35" s="1084">
        <v>6438</v>
      </c>
      <c r="E35" s="1084">
        <f t="shared" si="0"/>
        <v>7835</v>
      </c>
      <c r="F35" s="251" t="s">
        <v>44</v>
      </c>
      <c r="G35" s="887">
        <v>26</v>
      </c>
      <c r="H35" s="100"/>
      <c r="I35" s="100"/>
      <c r="J35" s="100"/>
      <c r="K35" s="100"/>
      <c r="L35" s="100"/>
    </row>
    <row r="36" spans="1:12" s="639" customFormat="1" ht="17.25" customHeight="1">
      <c r="A36" s="772">
        <v>27</v>
      </c>
      <c r="B36" s="784" t="s">
        <v>154</v>
      </c>
      <c r="C36" s="1081">
        <v>8530</v>
      </c>
      <c r="D36" s="1082">
        <v>27600</v>
      </c>
      <c r="E36" s="1082">
        <f t="shared" si="0"/>
        <v>36130</v>
      </c>
      <c r="F36" s="782" t="s">
        <v>45</v>
      </c>
      <c r="G36" s="886">
        <v>27</v>
      </c>
    </row>
    <row r="37" spans="1:12" ht="17.25" customHeight="1">
      <c r="A37" s="398">
        <v>28</v>
      </c>
      <c r="B37" s="254" t="s">
        <v>155</v>
      </c>
      <c r="C37" s="1083">
        <v>21864</v>
      </c>
      <c r="D37" s="1084">
        <v>24964</v>
      </c>
      <c r="E37" s="1084">
        <f t="shared" si="0"/>
        <v>46828</v>
      </c>
      <c r="F37" s="251" t="s">
        <v>46</v>
      </c>
      <c r="G37" s="887">
        <v>28</v>
      </c>
      <c r="H37" s="100"/>
      <c r="I37" s="100"/>
      <c r="J37" s="100"/>
      <c r="K37" s="100"/>
      <c r="L37" s="100"/>
    </row>
    <row r="38" spans="1:12" s="639" customFormat="1" ht="17.25" customHeight="1">
      <c r="A38" s="772">
        <v>29</v>
      </c>
      <c r="B38" s="784" t="s">
        <v>156</v>
      </c>
      <c r="C38" s="1081">
        <v>39684</v>
      </c>
      <c r="D38" s="1082">
        <v>37961</v>
      </c>
      <c r="E38" s="1082">
        <f t="shared" si="0"/>
        <v>77645</v>
      </c>
      <c r="F38" s="782" t="s">
        <v>47</v>
      </c>
      <c r="G38" s="886">
        <v>29</v>
      </c>
    </row>
    <row r="39" spans="1:12" ht="17.25" customHeight="1">
      <c r="A39" s="398">
        <v>30</v>
      </c>
      <c r="B39" s="254" t="s">
        <v>157</v>
      </c>
      <c r="C39" s="1083">
        <v>9446</v>
      </c>
      <c r="D39" s="1084">
        <v>26203</v>
      </c>
      <c r="E39" s="1084">
        <f t="shared" si="0"/>
        <v>35649</v>
      </c>
      <c r="F39" s="251" t="s">
        <v>48</v>
      </c>
      <c r="G39" s="887">
        <v>30</v>
      </c>
      <c r="H39" s="100"/>
      <c r="I39" s="100"/>
      <c r="J39" s="100"/>
      <c r="K39" s="100"/>
      <c r="L39" s="100"/>
    </row>
    <row r="40" spans="1:12" s="639" customFormat="1" ht="17.25" customHeight="1">
      <c r="A40" s="772">
        <v>31</v>
      </c>
      <c r="B40" s="784" t="s">
        <v>129</v>
      </c>
      <c r="C40" s="1081">
        <v>10839</v>
      </c>
      <c r="D40" s="1082">
        <v>18083</v>
      </c>
      <c r="E40" s="1082">
        <f t="shared" si="0"/>
        <v>28922</v>
      </c>
      <c r="F40" s="782" t="s">
        <v>24</v>
      </c>
      <c r="G40" s="886">
        <v>31</v>
      </c>
    </row>
    <row r="41" spans="1:12" ht="17.25" customHeight="1">
      <c r="A41" s="398">
        <v>32</v>
      </c>
      <c r="B41" s="254" t="s">
        <v>130</v>
      </c>
      <c r="C41" s="1083">
        <v>82982</v>
      </c>
      <c r="D41" s="1084">
        <v>77583</v>
      </c>
      <c r="E41" s="1084">
        <f t="shared" si="0"/>
        <v>160565</v>
      </c>
      <c r="F41" s="251" t="s">
        <v>25</v>
      </c>
      <c r="G41" s="887">
        <v>32</v>
      </c>
      <c r="H41" s="100"/>
      <c r="I41" s="100"/>
      <c r="J41" s="100"/>
      <c r="K41" s="100"/>
      <c r="L41" s="100"/>
    </row>
    <row r="42" spans="1:12" s="639" customFormat="1" ht="17.25" customHeight="1">
      <c r="A42" s="772">
        <v>33</v>
      </c>
      <c r="B42" s="784" t="s">
        <v>131</v>
      </c>
      <c r="C42" s="1081">
        <v>7599</v>
      </c>
      <c r="D42" s="1082">
        <v>13133</v>
      </c>
      <c r="E42" s="1082">
        <f t="shared" si="0"/>
        <v>20732</v>
      </c>
      <c r="F42" s="782" t="s">
        <v>49</v>
      </c>
      <c r="G42" s="886">
        <v>33</v>
      </c>
    </row>
    <row r="43" spans="1:12" ht="17.25" customHeight="1">
      <c r="A43" s="499">
        <v>34</v>
      </c>
      <c r="B43" s="502" t="s">
        <v>158</v>
      </c>
      <c r="C43" s="1085">
        <v>3715</v>
      </c>
      <c r="D43" s="1086">
        <v>5354</v>
      </c>
      <c r="E43" s="1087">
        <f t="shared" si="0"/>
        <v>9069</v>
      </c>
      <c r="F43" s="498" t="s">
        <v>50</v>
      </c>
      <c r="G43" s="887">
        <v>34</v>
      </c>
      <c r="H43" s="100"/>
      <c r="I43" s="100"/>
      <c r="J43" s="100"/>
      <c r="K43" s="100"/>
      <c r="L43" s="100"/>
    </row>
    <row r="44" spans="1:12">
      <c r="A44" s="1341" t="s">
        <v>160</v>
      </c>
      <c r="B44" s="1341"/>
      <c r="C44" s="1341"/>
      <c r="D44" s="324"/>
      <c r="E44" s="1258" t="s">
        <v>1518</v>
      </c>
      <c r="F44" s="1258"/>
      <c r="G44" s="1258"/>
      <c r="K44" s="83"/>
    </row>
    <row r="45" spans="1:12" ht="23.25" customHeight="1">
      <c r="H45" s="209"/>
      <c r="I45" s="209"/>
      <c r="J45" s="209"/>
      <c r="K45" s="84"/>
    </row>
    <row r="46" spans="1:12" ht="14.25" customHeight="1">
      <c r="B46" s="1290"/>
      <c r="C46" s="1290"/>
      <c r="D46" s="1290"/>
      <c r="E46" s="1290"/>
      <c r="F46" s="1290"/>
      <c r="G46" s="1290"/>
      <c r="H46" s="125"/>
      <c r="I46" s="125"/>
      <c r="J46" s="125"/>
    </row>
    <row r="47" spans="1:12">
      <c r="B47" s="322"/>
      <c r="C47" s="322"/>
      <c r="D47" s="322"/>
      <c r="E47" s="322"/>
      <c r="F47" s="322"/>
      <c r="G47" s="243"/>
    </row>
  </sheetData>
  <mergeCells count="12">
    <mergeCell ref="A44:C44"/>
    <mergeCell ref="E44:G44"/>
    <mergeCell ref="B46:G46"/>
    <mergeCell ref="A1:G1"/>
    <mergeCell ref="A2:G2"/>
    <mergeCell ref="A3:G3"/>
    <mergeCell ref="A4:A8"/>
    <mergeCell ref="B4:B8"/>
    <mergeCell ref="C4:E4"/>
    <mergeCell ref="F4:F8"/>
    <mergeCell ref="G4:G8"/>
    <mergeCell ref="C5:E5"/>
  </mergeCells>
  <printOptions horizontalCentered="1"/>
  <pageMargins left="0" right="0" top="0.06" bottom="0.6" header="0.03" footer="0.39370078740157499"/>
  <pageSetup paperSize="9" scale="105" orientation="portrait" r:id="rId1"/>
  <headerFooter>
    <oddFooter>&amp;L&amp;"Times New Roman,Regular"&amp;10    Afghanistan Statistical Yearbook 2023-24&amp;R&amp;"Times New Roman,Regular"&amp;10          د ۱۴۰۲ احصایيوي کالنۍ  /سالنامه احصائیوی ۱۴۰۲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0"/>
  </sheetPr>
  <dimension ref="A1:R50"/>
  <sheetViews>
    <sheetView view="pageBreakPreview" topLeftCell="E3" zoomScale="124" zoomScaleNormal="100" zoomScaleSheetLayoutView="124" workbookViewId="0">
      <selection activeCell="E3" sqref="E3:L3"/>
    </sheetView>
  </sheetViews>
  <sheetFormatPr baseColWidth="10" defaultColWidth="8.83203125" defaultRowHeight="15"/>
  <cols>
    <col min="1" max="4" width="7.6640625" hidden="1" customWidth="1"/>
    <col min="5" max="5" width="5.6640625" customWidth="1"/>
    <col min="6" max="6" width="20.83203125" customWidth="1"/>
    <col min="7" max="7" width="10.5" customWidth="1"/>
    <col min="8" max="8" width="11.5" customWidth="1"/>
    <col min="9" max="9" width="10.5" customWidth="1"/>
    <col min="10" max="10" width="10.1640625" customWidth="1"/>
    <col min="11" max="11" width="21.1640625" customWidth="1"/>
    <col min="12" max="12" width="4.83203125" customWidth="1"/>
  </cols>
  <sheetData>
    <row r="1" spans="1:18" ht="16" hidden="1">
      <c r="E1" s="1300" t="s">
        <v>2248</v>
      </c>
      <c r="F1" s="1300"/>
      <c r="G1" s="1300"/>
      <c r="H1" s="1300"/>
      <c r="I1" s="1300"/>
      <c r="J1" s="1300"/>
      <c r="K1" s="1300"/>
      <c r="L1" s="1300"/>
    </row>
    <row r="2" spans="1:18" ht="16" hidden="1">
      <c r="E2" s="1326" t="s">
        <v>2249</v>
      </c>
      <c r="F2" s="1326"/>
      <c r="G2" s="1326"/>
      <c r="H2" s="1326"/>
      <c r="I2" s="1326"/>
      <c r="J2" s="1326"/>
      <c r="K2" s="1326"/>
      <c r="L2" s="1326"/>
    </row>
    <row r="3" spans="1:18" ht="15" customHeight="1">
      <c r="E3" s="1261" t="s">
        <v>2250</v>
      </c>
      <c r="F3" s="1261"/>
      <c r="G3" s="1261"/>
      <c r="H3" s="1261"/>
      <c r="I3" s="1261"/>
      <c r="J3" s="1261"/>
      <c r="K3" s="1261"/>
      <c r="L3" s="1261"/>
    </row>
    <row r="4" spans="1:18" ht="18" customHeight="1">
      <c r="E4" s="1330" t="s">
        <v>621</v>
      </c>
      <c r="F4" s="1362" t="s">
        <v>139</v>
      </c>
      <c r="G4" s="1333">
        <v>1402</v>
      </c>
      <c r="H4" s="1334"/>
      <c r="I4" s="1334"/>
      <c r="J4" s="1335"/>
      <c r="K4" s="1336" t="s">
        <v>17</v>
      </c>
      <c r="L4" s="1311" t="s">
        <v>727</v>
      </c>
    </row>
    <row r="5" spans="1:18" ht="18" customHeight="1">
      <c r="A5" s="1339">
        <v>1400</v>
      </c>
      <c r="B5" s="1339"/>
      <c r="C5" s="1339"/>
      <c r="D5" s="1340"/>
      <c r="E5" s="1331"/>
      <c r="F5" s="1363"/>
      <c r="G5" s="1273" t="s">
        <v>772</v>
      </c>
      <c r="H5" s="1274"/>
      <c r="I5" s="1274"/>
      <c r="J5" s="1275"/>
      <c r="K5" s="1337"/>
      <c r="L5" s="1298"/>
    </row>
    <row r="6" spans="1:18" ht="18" customHeight="1">
      <c r="A6" s="103" t="s">
        <v>65</v>
      </c>
      <c r="B6" s="103" t="s">
        <v>2</v>
      </c>
      <c r="C6" s="103" t="s">
        <v>66</v>
      </c>
      <c r="D6" s="123" t="s">
        <v>0</v>
      </c>
      <c r="E6" s="1331"/>
      <c r="F6" s="1363"/>
      <c r="G6" s="1223" t="s">
        <v>692</v>
      </c>
      <c r="H6" s="1223" t="s">
        <v>691</v>
      </c>
      <c r="I6" s="1223" t="s">
        <v>683</v>
      </c>
      <c r="J6" s="868" t="s">
        <v>697</v>
      </c>
      <c r="K6" s="1337"/>
      <c r="L6" s="1298"/>
    </row>
    <row r="7" spans="1:18" ht="18" customHeight="1">
      <c r="A7" s="124"/>
      <c r="B7" s="124"/>
      <c r="C7" s="124"/>
      <c r="D7" s="124"/>
      <c r="E7" s="1331"/>
      <c r="F7" s="1363"/>
      <c r="G7" s="1224" t="s">
        <v>65</v>
      </c>
      <c r="H7" s="1224" t="s">
        <v>2</v>
      </c>
      <c r="I7" s="1224" t="s">
        <v>66</v>
      </c>
      <c r="J7" s="868" t="s">
        <v>0</v>
      </c>
      <c r="K7" s="1337"/>
      <c r="L7" s="1298"/>
    </row>
    <row r="8" spans="1:18" ht="18" customHeight="1">
      <c r="A8" s="124"/>
      <c r="B8" s="124"/>
      <c r="C8" s="124"/>
      <c r="D8" s="124"/>
      <c r="E8" s="1332"/>
      <c r="F8" s="1364"/>
      <c r="G8" s="1246" t="s">
        <v>140</v>
      </c>
      <c r="H8" s="1246" t="s">
        <v>141</v>
      </c>
      <c r="I8" s="1246" t="s">
        <v>142</v>
      </c>
      <c r="J8" s="1247" t="s">
        <v>70</v>
      </c>
      <c r="K8" s="1338"/>
      <c r="L8" s="1299"/>
    </row>
    <row r="9" spans="1:18" ht="17.5" customHeight="1">
      <c r="A9" s="98" t="s">
        <v>43</v>
      </c>
      <c r="B9" s="98" t="s">
        <v>43</v>
      </c>
      <c r="C9" s="98" t="s">
        <v>43</v>
      </c>
      <c r="D9" s="98" t="s">
        <v>43</v>
      </c>
      <c r="E9" s="500"/>
      <c r="F9" s="501" t="s">
        <v>70</v>
      </c>
      <c r="G9" s="972">
        <f>SUM(G10:G43)</f>
        <v>1575</v>
      </c>
      <c r="H9" s="972">
        <f>SUM(H10:H43)</f>
        <v>1315</v>
      </c>
      <c r="I9" s="972">
        <f>SUM(I10:I43)</f>
        <v>2224</v>
      </c>
      <c r="J9" s="972">
        <f>SUM(J10:J43)</f>
        <v>5114</v>
      </c>
      <c r="K9" s="495" t="s">
        <v>680</v>
      </c>
      <c r="L9" s="500"/>
      <c r="O9" s="77"/>
      <c r="P9" s="77"/>
      <c r="Q9" s="77"/>
      <c r="R9" s="77"/>
    </row>
    <row r="10" spans="1:18" s="639" customFormat="1" ht="17.5" customHeight="1">
      <c r="A10" s="86" t="s">
        <v>43</v>
      </c>
      <c r="B10" s="86" t="s">
        <v>43</v>
      </c>
      <c r="C10" s="86" t="s">
        <v>43</v>
      </c>
      <c r="D10" s="86" t="s">
        <v>43</v>
      </c>
      <c r="E10" s="772">
        <v>1</v>
      </c>
      <c r="F10" s="773" t="s">
        <v>101</v>
      </c>
      <c r="G10" s="973">
        <f>97+64</f>
        <v>161</v>
      </c>
      <c r="H10" s="973">
        <f>54+41</f>
        <v>95</v>
      </c>
      <c r="I10" s="973">
        <f>49+60</f>
        <v>109</v>
      </c>
      <c r="J10" s="973">
        <f>I10+H10+G10</f>
        <v>365</v>
      </c>
      <c r="K10" s="782" t="s">
        <v>18</v>
      </c>
      <c r="L10" s="886">
        <v>1</v>
      </c>
    </row>
    <row r="11" spans="1:18" ht="17.5" customHeight="1">
      <c r="A11" s="86" t="s">
        <v>43</v>
      </c>
      <c r="B11" s="86" t="s">
        <v>43</v>
      </c>
      <c r="C11" s="86" t="s">
        <v>43</v>
      </c>
      <c r="D11" s="86" t="s">
        <v>43</v>
      </c>
      <c r="E11" s="398">
        <v>2</v>
      </c>
      <c r="F11" s="249" t="s">
        <v>102</v>
      </c>
      <c r="G11" s="974">
        <v>0</v>
      </c>
      <c r="H11" s="974">
        <v>35</v>
      </c>
      <c r="I11" s="974">
        <v>49</v>
      </c>
      <c r="J11" s="974">
        <f t="shared" ref="J11:J42" si="0">I11+H11+G11</f>
        <v>84</v>
      </c>
      <c r="K11" s="251" t="s">
        <v>26</v>
      </c>
      <c r="L11" s="887">
        <v>2</v>
      </c>
    </row>
    <row r="12" spans="1:18" s="639" customFormat="1" ht="17.5" customHeight="1">
      <c r="A12" s="86" t="s">
        <v>43</v>
      </c>
      <c r="B12" s="86" t="s">
        <v>43</v>
      </c>
      <c r="C12" s="86" t="s">
        <v>43</v>
      </c>
      <c r="D12" s="86" t="s">
        <v>43</v>
      </c>
      <c r="E12" s="772">
        <v>3</v>
      </c>
      <c r="F12" s="773" t="s">
        <v>103</v>
      </c>
      <c r="G12" s="973">
        <v>46</v>
      </c>
      <c r="H12" s="973">
        <v>61</v>
      </c>
      <c r="I12" s="973">
        <v>90</v>
      </c>
      <c r="J12" s="973">
        <f t="shared" si="0"/>
        <v>197</v>
      </c>
      <c r="K12" s="782" t="s">
        <v>27</v>
      </c>
      <c r="L12" s="886">
        <v>3</v>
      </c>
      <c r="O12" s="1361"/>
      <c r="P12" s="1361"/>
      <c r="Q12" s="1361"/>
      <c r="R12" s="1361"/>
    </row>
    <row r="13" spans="1:18" ht="17.5" customHeight="1">
      <c r="A13" s="86" t="s">
        <v>43</v>
      </c>
      <c r="B13" s="86" t="s">
        <v>43</v>
      </c>
      <c r="C13" s="86" t="s">
        <v>43</v>
      </c>
      <c r="D13" s="86" t="s">
        <v>43</v>
      </c>
      <c r="E13" s="398">
        <v>4</v>
      </c>
      <c r="F13" s="249" t="s">
        <v>652</v>
      </c>
      <c r="G13" s="974">
        <v>58</v>
      </c>
      <c r="H13" s="974">
        <v>10</v>
      </c>
      <c r="I13" s="974">
        <v>71</v>
      </c>
      <c r="J13" s="974">
        <f t="shared" si="0"/>
        <v>139</v>
      </c>
      <c r="K13" s="251" t="s">
        <v>1255</v>
      </c>
      <c r="L13" s="887">
        <v>4</v>
      </c>
      <c r="O13" s="1361"/>
      <c r="P13" s="1361"/>
      <c r="Q13" s="1361"/>
      <c r="R13" s="1361"/>
    </row>
    <row r="14" spans="1:18" s="639" customFormat="1" ht="17.5" customHeight="1">
      <c r="A14" s="86" t="s">
        <v>43</v>
      </c>
      <c r="B14" s="86" t="s">
        <v>43</v>
      </c>
      <c r="C14" s="86" t="s">
        <v>43</v>
      </c>
      <c r="D14" s="86" t="s">
        <v>43</v>
      </c>
      <c r="E14" s="772">
        <v>5</v>
      </c>
      <c r="F14" s="773" t="s">
        <v>104</v>
      </c>
      <c r="G14" s="973">
        <v>2</v>
      </c>
      <c r="H14" s="973">
        <v>25</v>
      </c>
      <c r="I14" s="973">
        <v>54</v>
      </c>
      <c r="J14" s="973">
        <f t="shared" si="0"/>
        <v>81</v>
      </c>
      <c r="K14" s="782" t="s">
        <v>19</v>
      </c>
      <c r="L14" s="886">
        <v>5</v>
      </c>
    </row>
    <row r="15" spans="1:18" ht="17.5" customHeight="1">
      <c r="A15" s="86" t="s">
        <v>43</v>
      </c>
      <c r="B15" s="86" t="s">
        <v>43</v>
      </c>
      <c r="C15" s="86" t="s">
        <v>43</v>
      </c>
      <c r="D15" s="86" t="s">
        <v>43</v>
      </c>
      <c r="E15" s="398">
        <v>6</v>
      </c>
      <c r="F15" s="249" t="s">
        <v>143</v>
      </c>
      <c r="G15" s="974">
        <v>106</v>
      </c>
      <c r="H15" s="974">
        <v>85</v>
      </c>
      <c r="I15" s="974">
        <v>111</v>
      </c>
      <c r="J15" s="974">
        <f t="shared" si="0"/>
        <v>302</v>
      </c>
      <c r="K15" s="251" t="s">
        <v>28</v>
      </c>
      <c r="L15" s="887">
        <v>6</v>
      </c>
    </row>
    <row r="16" spans="1:18" s="639" customFormat="1" ht="17.5" customHeight="1">
      <c r="A16" s="86" t="s">
        <v>43</v>
      </c>
      <c r="B16" s="86" t="s">
        <v>43</v>
      </c>
      <c r="C16" s="86" t="s">
        <v>43</v>
      </c>
      <c r="D16" s="86" t="s">
        <v>43</v>
      </c>
      <c r="E16" s="772">
        <v>7</v>
      </c>
      <c r="F16" s="773" t="s">
        <v>144</v>
      </c>
      <c r="G16" s="973">
        <v>17</v>
      </c>
      <c r="H16" s="973">
        <v>43</v>
      </c>
      <c r="I16" s="973">
        <v>62</v>
      </c>
      <c r="J16" s="973">
        <f t="shared" si="0"/>
        <v>122</v>
      </c>
      <c r="K16" s="782" t="s">
        <v>29</v>
      </c>
      <c r="L16" s="886">
        <v>7</v>
      </c>
    </row>
    <row r="17" spans="1:14" ht="17.5" customHeight="1">
      <c r="A17" s="86" t="s">
        <v>43</v>
      </c>
      <c r="B17" s="86" t="s">
        <v>43</v>
      </c>
      <c r="C17" s="86" t="s">
        <v>43</v>
      </c>
      <c r="D17" s="86" t="s">
        <v>43</v>
      </c>
      <c r="E17" s="398">
        <v>8</v>
      </c>
      <c r="F17" s="249" t="s">
        <v>107</v>
      </c>
      <c r="G17" s="974">
        <v>9</v>
      </c>
      <c r="H17" s="974">
        <v>24</v>
      </c>
      <c r="I17" s="974">
        <v>31</v>
      </c>
      <c r="J17" s="974">
        <f t="shared" si="0"/>
        <v>64</v>
      </c>
      <c r="K17" s="251" t="s">
        <v>30</v>
      </c>
      <c r="L17" s="887">
        <v>8</v>
      </c>
    </row>
    <row r="18" spans="1:14" s="639" customFormat="1" ht="17.5" customHeight="1">
      <c r="A18" s="86" t="s">
        <v>43</v>
      </c>
      <c r="B18" s="86" t="s">
        <v>43</v>
      </c>
      <c r="C18" s="86" t="s">
        <v>43</v>
      </c>
      <c r="D18" s="86" t="s">
        <v>43</v>
      </c>
      <c r="E18" s="772">
        <v>9</v>
      </c>
      <c r="F18" s="773" t="s">
        <v>145</v>
      </c>
      <c r="G18" s="973">
        <v>76</v>
      </c>
      <c r="H18" s="973">
        <v>47</v>
      </c>
      <c r="I18" s="973">
        <v>71</v>
      </c>
      <c r="J18" s="973">
        <f t="shared" si="0"/>
        <v>194</v>
      </c>
      <c r="K18" s="782" t="s">
        <v>20</v>
      </c>
      <c r="L18" s="886">
        <v>9</v>
      </c>
    </row>
    <row r="19" spans="1:14" ht="17.5" customHeight="1">
      <c r="A19" s="86" t="s">
        <v>43</v>
      </c>
      <c r="B19" s="86" t="s">
        <v>43</v>
      </c>
      <c r="C19" s="86" t="s">
        <v>43</v>
      </c>
      <c r="D19" s="86" t="s">
        <v>43</v>
      </c>
      <c r="E19" s="398">
        <v>10</v>
      </c>
      <c r="F19" s="249" t="s">
        <v>146</v>
      </c>
      <c r="G19" s="974">
        <v>64</v>
      </c>
      <c r="H19" s="974">
        <v>52</v>
      </c>
      <c r="I19" s="974">
        <v>53</v>
      </c>
      <c r="J19" s="974">
        <f t="shared" si="0"/>
        <v>169</v>
      </c>
      <c r="K19" s="251" t="s">
        <v>21</v>
      </c>
      <c r="L19" s="887">
        <v>10</v>
      </c>
    </row>
    <row r="20" spans="1:14" s="639" customFormat="1" ht="17.5" customHeight="1">
      <c r="A20" s="86" t="s">
        <v>43</v>
      </c>
      <c r="B20" s="86" t="s">
        <v>43</v>
      </c>
      <c r="C20" s="86" t="s">
        <v>43</v>
      </c>
      <c r="D20" s="86" t="s">
        <v>43</v>
      </c>
      <c r="E20" s="772">
        <v>11</v>
      </c>
      <c r="F20" s="773" t="s">
        <v>110</v>
      </c>
      <c r="G20" s="973">
        <v>92</v>
      </c>
      <c r="H20" s="973">
        <v>67</v>
      </c>
      <c r="I20" s="973">
        <v>144</v>
      </c>
      <c r="J20" s="973">
        <f t="shared" si="0"/>
        <v>303</v>
      </c>
      <c r="K20" s="782" t="s">
        <v>31</v>
      </c>
      <c r="L20" s="886">
        <v>11</v>
      </c>
    </row>
    <row r="21" spans="1:14" ht="17.5" customHeight="1">
      <c r="A21" s="86" t="s">
        <v>43</v>
      </c>
      <c r="B21" s="86" t="s">
        <v>43</v>
      </c>
      <c r="C21" s="86" t="s">
        <v>43</v>
      </c>
      <c r="D21" s="86" t="s">
        <v>43</v>
      </c>
      <c r="E21" s="398">
        <v>12</v>
      </c>
      <c r="F21" s="249" t="s">
        <v>111</v>
      </c>
      <c r="G21" s="974">
        <v>15</v>
      </c>
      <c r="H21" s="974">
        <v>2</v>
      </c>
      <c r="I21" s="974">
        <v>60</v>
      </c>
      <c r="J21" s="974">
        <f t="shared" si="0"/>
        <v>77</v>
      </c>
      <c r="K21" s="251" t="s">
        <v>32</v>
      </c>
      <c r="L21" s="887">
        <v>12</v>
      </c>
    </row>
    <row r="22" spans="1:14" s="639" customFormat="1" ht="17.5" customHeight="1">
      <c r="A22" s="86" t="s">
        <v>43</v>
      </c>
      <c r="B22" s="86" t="s">
        <v>43</v>
      </c>
      <c r="C22" s="86" t="s">
        <v>43</v>
      </c>
      <c r="D22" s="86" t="s">
        <v>43</v>
      </c>
      <c r="E22" s="772">
        <v>13</v>
      </c>
      <c r="F22" s="773" t="s">
        <v>112</v>
      </c>
      <c r="G22" s="973">
        <v>16</v>
      </c>
      <c r="H22" s="973">
        <v>14</v>
      </c>
      <c r="I22" s="973">
        <v>78</v>
      </c>
      <c r="J22" s="973">
        <f t="shared" si="0"/>
        <v>108</v>
      </c>
      <c r="K22" s="782" t="s">
        <v>33</v>
      </c>
      <c r="L22" s="886">
        <v>13</v>
      </c>
    </row>
    <row r="23" spans="1:14" ht="17.5" customHeight="1">
      <c r="A23" s="86" t="s">
        <v>43</v>
      </c>
      <c r="B23" s="86" t="s">
        <v>43</v>
      </c>
      <c r="C23" s="86" t="s">
        <v>43</v>
      </c>
      <c r="D23" s="86" t="s">
        <v>43</v>
      </c>
      <c r="E23" s="398">
        <v>14</v>
      </c>
      <c r="F23" s="249" t="s">
        <v>113</v>
      </c>
      <c r="G23" s="974">
        <v>8</v>
      </c>
      <c r="H23" s="974">
        <v>24</v>
      </c>
      <c r="I23" s="974">
        <v>106</v>
      </c>
      <c r="J23" s="974">
        <f t="shared" si="0"/>
        <v>138</v>
      </c>
      <c r="K23" s="251" t="s">
        <v>34</v>
      </c>
      <c r="L23" s="887">
        <v>14</v>
      </c>
    </row>
    <row r="24" spans="1:14" s="639" customFormat="1" ht="17.5" customHeight="1">
      <c r="A24" s="86" t="s">
        <v>43</v>
      </c>
      <c r="B24" s="86" t="s">
        <v>43</v>
      </c>
      <c r="C24" s="86" t="s">
        <v>43</v>
      </c>
      <c r="D24" s="86" t="s">
        <v>43</v>
      </c>
      <c r="E24" s="772">
        <v>15</v>
      </c>
      <c r="F24" s="773" t="s">
        <v>763</v>
      </c>
      <c r="G24" s="973">
        <v>17</v>
      </c>
      <c r="H24" s="973">
        <v>28</v>
      </c>
      <c r="I24" s="973">
        <v>57</v>
      </c>
      <c r="J24" s="973">
        <f t="shared" si="0"/>
        <v>102</v>
      </c>
      <c r="K24" s="643" t="s">
        <v>729</v>
      </c>
      <c r="L24" s="886">
        <v>15</v>
      </c>
    </row>
    <row r="25" spans="1:14" ht="17.5" customHeight="1">
      <c r="A25" s="86" t="s">
        <v>43</v>
      </c>
      <c r="B25" s="86" t="s">
        <v>43</v>
      </c>
      <c r="C25" s="86" t="s">
        <v>43</v>
      </c>
      <c r="D25" s="86" t="s">
        <v>43</v>
      </c>
      <c r="E25" s="398">
        <v>16</v>
      </c>
      <c r="F25" s="249" t="s">
        <v>69</v>
      </c>
      <c r="G25" s="974">
        <v>4</v>
      </c>
      <c r="H25" s="974">
        <v>9</v>
      </c>
      <c r="I25" s="974">
        <v>16</v>
      </c>
      <c r="J25" s="974">
        <f t="shared" si="0"/>
        <v>29</v>
      </c>
      <c r="K25" s="251" t="s">
        <v>35</v>
      </c>
      <c r="L25" s="887">
        <v>16</v>
      </c>
    </row>
    <row r="26" spans="1:14" s="639" customFormat="1" ht="17.5" customHeight="1">
      <c r="A26" s="86" t="s">
        <v>43</v>
      </c>
      <c r="B26" s="86" t="s">
        <v>43</v>
      </c>
      <c r="C26" s="86" t="s">
        <v>43</v>
      </c>
      <c r="D26" s="86" t="s">
        <v>43</v>
      </c>
      <c r="E26" s="772">
        <v>17</v>
      </c>
      <c r="F26" s="773" t="s">
        <v>147</v>
      </c>
      <c r="G26" s="973">
        <v>175</v>
      </c>
      <c r="H26" s="973">
        <v>85</v>
      </c>
      <c r="I26" s="973">
        <v>79</v>
      </c>
      <c r="J26" s="973">
        <f t="shared" si="0"/>
        <v>339</v>
      </c>
      <c r="K26" s="782" t="s">
        <v>36</v>
      </c>
      <c r="L26" s="886">
        <v>17</v>
      </c>
    </row>
    <row r="27" spans="1:14" ht="17.5" customHeight="1">
      <c r="A27" s="86" t="s">
        <v>43</v>
      </c>
      <c r="B27" s="86" t="s">
        <v>43</v>
      </c>
      <c r="C27" s="86" t="s">
        <v>43</v>
      </c>
      <c r="D27" s="86" t="s">
        <v>43</v>
      </c>
      <c r="E27" s="398">
        <v>18</v>
      </c>
      <c r="F27" s="249" t="s">
        <v>148</v>
      </c>
      <c r="G27" s="974">
        <v>91</v>
      </c>
      <c r="H27" s="974">
        <v>71</v>
      </c>
      <c r="I27" s="974">
        <v>79</v>
      </c>
      <c r="J27" s="974">
        <f t="shared" si="0"/>
        <v>241</v>
      </c>
      <c r="K27" s="251" t="s">
        <v>37</v>
      </c>
      <c r="L27" s="887">
        <v>18</v>
      </c>
      <c r="N27" s="100"/>
    </row>
    <row r="28" spans="1:14" s="639" customFormat="1" ht="17.5" customHeight="1">
      <c r="A28" s="86" t="s">
        <v>43</v>
      </c>
      <c r="B28" s="86" t="s">
        <v>43</v>
      </c>
      <c r="C28" s="86" t="s">
        <v>43</v>
      </c>
      <c r="D28" s="86" t="s">
        <v>43</v>
      </c>
      <c r="E28" s="772">
        <v>19</v>
      </c>
      <c r="F28" s="773" t="s">
        <v>149</v>
      </c>
      <c r="G28" s="973">
        <v>23</v>
      </c>
      <c r="H28" s="973">
        <v>43</v>
      </c>
      <c r="I28" s="973">
        <v>88</v>
      </c>
      <c r="J28" s="973">
        <f t="shared" si="0"/>
        <v>154</v>
      </c>
      <c r="K28" s="782" t="s">
        <v>38</v>
      </c>
      <c r="L28" s="886">
        <v>19</v>
      </c>
    </row>
    <row r="29" spans="1:14" ht="17.5" customHeight="1">
      <c r="A29" s="86" t="s">
        <v>43</v>
      </c>
      <c r="B29" s="86" t="s">
        <v>43</v>
      </c>
      <c r="C29" s="86" t="s">
        <v>43</v>
      </c>
      <c r="D29" s="86" t="s">
        <v>43</v>
      </c>
      <c r="E29" s="398">
        <v>20</v>
      </c>
      <c r="F29" s="249" t="s">
        <v>150</v>
      </c>
      <c r="G29" s="974">
        <v>35</v>
      </c>
      <c r="H29" s="974">
        <v>35</v>
      </c>
      <c r="I29" s="974">
        <v>45</v>
      </c>
      <c r="J29" s="974">
        <f t="shared" si="0"/>
        <v>115</v>
      </c>
      <c r="K29" s="251" t="s">
        <v>39</v>
      </c>
      <c r="L29" s="887">
        <v>20</v>
      </c>
    </row>
    <row r="30" spans="1:14" s="639" customFormat="1" ht="17.5" customHeight="1">
      <c r="A30" s="86" t="s">
        <v>43</v>
      </c>
      <c r="B30" s="86" t="s">
        <v>43</v>
      </c>
      <c r="C30" s="86" t="s">
        <v>43</v>
      </c>
      <c r="D30" s="86" t="s">
        <v>43</v>
      </c>
      <c r="E30" s="772">
        <v>21</v>
      </c>
      <c r="F30" s="773" t="s">
        <v>151</v>
      </c>
      <c r="G30" s="973">
        <v>132</v>
      </c>
      <c r="H30" s="973">
        <v>52</v>
      </c>
      <c r="I30" s="973">
        <v>53</v>
      </c>
      <c r="J30" s="973">
        <f t="shared" si="0"/>
        <v>237</v>
      </c>
      <c r="K30" s="782" t="s">
        <v>40</v>
      </c>
      <c r="L30" s="886">
        <v>21</v>
      </c>
    </row>
    <row r="31" spans="1:14" ht="17.5" customHeight="1">
      <c r="A31" s="86" t="s">
        <v>43</v>
      </c>
      <c r="B31" s="86" t="s">
        <v>43</v>
      </c>
      <c r="C31" s="86" t="s">
        <v>43</v>
      </c>
      <c r="D31" s="86" t="s">
        <v>43</v>
      </c>
      <c r="E31" s="398">
        <v>22</v>
      </c>
      <c r="F31" s="249" t="s">
        <v>152</v>
      </c>
      <c r="G31" s="974">
        <v>37</v>
      </c>
      <c r="H31" s="974">
        <v>32</v>
      </c>
      <c r="I31" s="974">
        <v>41</v>
      </c>
      <c r="J31" s="974">
        <f t="shared" si="0"/>
        <v>110</v>
      </c>
      <c r="K31" s="251" t="s">
        <v>41</v>
      </c>
      <c r="L31" s="887">
        <v>22</v>
      </c>
    </row>
    <row r="32" spans="1:14" s="639" customFormat="1" ht="17.5" customHeight="1">
      <c r="A32" s="86" t="s">
        <v>43</v>
      </c>
      <c r="B32" s="86" t="s">
        <v>43</v>
      </c>
      <c r="C32" s="86" t="s">
        <v>43</v>
      </c>
      <c r="D32" s="86" t="s">
        <v>43</v>
      </c>
      <c r="E32" s="772">
        <v>23</v>
      </c>
      <c r="F32" s="773" t="s">
        <v>121</v>
      </c>
      <c r="G32" s="973">
        <v>61</v>
      </c>
      <c r="H32" s="973">
        <v>34</v>
      </c>
      <c r="I32" s="973">
        <v>78</v>
      </c>
      <c r="J32" s="973">
        <f t="shared" si="0"/>
        <v>173</v>
      </c>
      <c r="K32" s="782" t="s">
        <v>22</v>
      </c>
      <c r="L32" s="886">
        <v>23</v>
      </c>
    </row>
    <row r="33" spans="1:13" ht="17.5" customHeight="1">
      <c r="A33" s="86" t="s">
        <v>43</v>
      </c>
      <c r="B33" s="86" t="s">
        <v>43</v>
      </c>
      <c r="C33" s="86" t="s">
        <v>43</v>
      </c>
      <c r="D33" s="86" t="s">
        <v>43</v>
      </c>
      <c r="E33" s="398">
        <v>24</v>
      </c>
      <c r="F33" s="249" t="s">
        <v>122</v>
      </c>
      <c r="G33" s="974">
        <v>115</v>
      </c>
      <c r="H33" s="974">
        <v>52</v>
      </c>
      <c r="I33" s="974">
        <v>51</v>
      </c>
      <c r="J33" s="974">
        <f t="shared" si="0"/>
        <v>218</v>
      </c>
      <c r="K33" s="251" t="s">
        <v>23</v>
      </c>
      <c r="L33" s="887">
        <v>24</v>
      </c>
    </row>
    <row r="34" spans="1:13" s="639" customFormat="1" ht="17.5" customHeight="1">
      <c r="A34" s="86" t="s">
        <v>43</v>
      </c>
      <c r="B34" s="86" t="s">
        <v>43</v>
      </c>
      <c r="C34" s="86" t="s">
        <v>43</v>
      </c>
      <c r="D34" s="86" t="s">
        <v>43</v>
      </c>
      <c r="E34" s="772">
        <v>25</v>
      </c>
      <c r="F34" s="773" t="s">
        <v>123</v>
      </c>
      <c r="G34" s="973">
        <v>2</v>
      </c>
      <c r="H34" s="973">
        <v>6</v>
      </c>
      <c r="I34" s="973">
        <v>34</v>
      </c>
      <c r="J34" s="973">
        <f t="shared" si="0"/>
        <v>42</v>
      </c>
      <c r="K34" s="782" t="s">
        <v>42</v>
      </c>
      <c r="L34" s="886">
        <v>25</v>
      </c>
    </row>
    <row r="35" spans="1:13" ht="17.5" customHeight="1">
      <c r="A35" s="86" t="s">
        <v>43</v>
      </c>
      <c r="B35" s="86" t="s">
        <v>43</v>
      </c>
      <c r="C35" s="86" t="s">
        <v>43</v>
      </c>
      <c r="D35" s="86" t="s">
        <v>43</v>
      </c>
      <c r="E35" s="398">
        <v>26</v>
      </c>
      <c r="F35" s="249" t="s">
        <v>153</v>
      </c>
      <c r="G35" s="974">
        <v>2</v>
      </c>
      <c r="H35" s="974">
        <v>2</v>
      </c>
      <c r="I35" s="974">
        <v>30</v>
      </c>
      <c r="J35" s="974">
        <f t="shared" si="0"/>
        <v>34</v>
      </c>
      <c r="K35" s="251" t="s">
        <v>44</v>
      </c>
      <c r="L35" s="887">
        <v>26</v>
      </c>
    </row>
    <row r="36" spans="1:13" s="639" customFormat="1" ht="17.5" customHeight="1">
      <c r="A36" s="86" t="s">
        <v>43</v>
      </c>
      <c r="B36" s="86" t="s">
        <v>43</v>
      </c>
      <c r="C36" s="86" t="s">
        <v>43</v>
      </c>
      <c r="D36" s="86" t="s">
        <v>43</v>
      </c>
      <c r="E36" s="772">
        <v>27</v>
      </c>
      <c r="F36" s="773" t="s">
        <v>154</v>
      </c>
      <c r="G36" s="973">
        <v>23</v>
      </c>
      <c r="H36" s="973">
        <v>13</v>
      </c>
      <c r="I36" s="973">
        <v>55</v>
      </c>
      <c r="J36" s="973">
        <f t="shared" si="0"/>
        <v>91</v>
      </c>
      <c r="K36" s="782" t="s">
        <v>45</v>
      </c>
      <c r="L36" s="886">
        <v>27</v>
      </c>
    </row>
    <row r="37" spans="1:13" ht="17.5" customHeight="1">
      <c r="A37" s="86" t="s">
        <v>43</v>
      </c>
      <c r="B37" s="86" t="s">
        <v>43</v>
      </c>
      <c r="C37" s="86" t="s">
        <v>43</v>
      </c>
      <c r="D37" s="86" t="s">
        <v>43</v>
      </c>
      <c r="E37" s="398">
        <v>28</v>
      </c>
      <c r="F37" s="249" t="s">
        <v>155</v>
      </c>
      <c r="G37" s="974">
        <v>30</v>
      </c>
      <c r="H37" s="974">
        <v>38</v>
      </c>
      <c r="I37" s="974">
        <v>46</v>
      </c>
      <c r="J37" s="974">
        <f t="shared" si="0"/>
        <v>114</v>
      </c>
      <c r="K37" s="251" t="s">
        <v>46</v>
      </c>
      <c r="L37" s="887">
        <v>28</v>
      </c>
    </row>
    <row r="38" spans="1:13" s="639" customFormat="1" ht="17.5" customHeight="1">
      <c r="A38" s="86" t="s">
        <v>43</v>
      </c>
      <c r="B38" s="86" t="s">
        <v>43</v>
      </c>
      <c r="C38" s="86" t="s">
        <v>43</v>
      </c>
      <c r="D38" s="86" t="s">
        <v>43</v>
      </c>
      <c r="E38" s="772">
        <v>29</v>
      </c>
      <c r="F38" s="773" t="s">
        <v>156</v>
      </c>
      <c r="G38" s="973">
        <v>14</v>
      </c>
      <c r="H38" s="973">
        <v>64</v>
      </c>
      <c r="I38" s="973">
        <v>71</v>
      </c>
      <c r="J38" s="973">
        <f t="shared" si="0"/>
        <v>149</v>
      </c>
      <c r="K38" s="782" t="s">
        <v>47</v>
      </c>
      <c r="L38" s="886">
        <v>29</v>
      </c>
    </row>
    <row r="39" spans="1:13" ht="17.5" customHeight="1">
      <c r="A39" s="86" t="s">
        <v>43</v>
      </c>
      <c r="B39" s="86" t="s">
        <v>43</v>
      </c>
      <c r="C39" s="86" t="s">
        <v>43</v>
      </c>
      <c r="D39" s="86" t="s">
        <v>43</v>
      </c>
      <c r="E39" s="398">
        <v>30</v>
      </c>
      <c r="F39" s="249" t="s">
        <v>157</v>
      </c>
      <c r="G39" s="974">
        <v>29</v>
      </c>
      <c r="H39" s="974">
        <v>5</v>
      </c>
      <c r="I39" s="974">
        <v>62</v>
      </c>
      <c r="J39" s="974">
        <f t="shared" si="0"/>
        <v>96</v>
      </c>
      <c r="K39" s="251" t="s">
        <v>48</v>
      </c>
      <c r="L39" s="887">
        <v>30</v>
      </c>
    </row>
    <row r="40" spans="1:13" s="639" customFormat="1" ht="17.5" customHeight="1">
      <c r="A40" s="86" t="s">
        <v>43</v>
      </c>
      <c r="B40" s="86" t="s">
        <v>43</v>
      </c>
      <c r="C40" s="86" t="s">
        <v>43</v>
      </c>
      <c r="D40" s="86" t="s">
        <v>43</v>
      </c>
      <c r="E40" s="772">
        <v>31</v>
      </c>
      <c r="F40" s="773" t="s">
        <v>129</v>
      </c>
      <c r="G40" s="973">
        <v>1</v>
      </c>
      <c r="H40" s="973">
        <v>18</v>
      </c>
      <c r="I40" s="973">
        <v>77</v>
      </c>
      <c r="J40" s="973">
        <f t="shared" si="0"/>
        <v>96</v>
      </c>
      <c r="K40" s="782" t="s">
        <v>24</v>
      </c>
      <c r="L40" s="886">
        <v>31</v>
      </c>
    </row>
    <row r="41" spans="1:13" ht="17.5" customHeight="1">
      <c r="A41" s="86" t="s">
        <v>43</v>
      </c>
      <c r="B41" s="86" t="s">
        <v>43</v>
      </c>
      <c r="C41" s="86" t="s">
        <v>43</v>
      </c>
      <c r="D41" s="86" t="s">
        <v>43</v>
      </c>
      <c r="E41" s="398">
        <v>32</v>
      </c>
      <c r="F41" s="249" t="s">
        <v>130</v>
      </c>
      <c r="G41" s="974">
        <v>100</v>
      </c>
      <c r="H41" s="974">
        <v>97</v>
      </c>
      <c r="I41" s="974">
        <v>109</v>
      </c>
      <c r="J41" s="974">
        <f t="shared" si="0"/>
        <v>306</v>
      </c>
      <c r="K41" s="251" t="s">
        <v>25</v>
      </c>
      <c r="L41" s="887">
        <v>32</v>
      </c>
    </row>
    <row r="42" spans="1:13" s="639" customFormat="1" ht="17.5" customHeight="1">
      <c r="A42" s="86" t="s">
        <v>43</v>
      </c>
      <c r="B42" s="86" t="s">
        <v>43</v>
      </c>
      <c r="C42" s="86" t="s">
        <v>43</v>
      </c>
      <c r="D42" s="86" t="s">
        <v>43</v>
      </c>
      <c r="E42" s="772">
        <v>33</v>
      </c>
      <c r="F42" s="773" t="s">
        <v>131</v>
      </c>
      <c r="G42" s="973">
        <v>3</v>
      </c>
      <c r="H42" s="973">
        <v>37</v>
      </c>
      <c r="I42" s="973">
        <v>55</v>
      </c>
      <c r="J42" s="973">
        <f t="shared" si="0"/>
        <v>95</v>
      </c>
      <c r="K42" s="782" t="s">
        <v>49</v>
      </c>
      <c r="L42" s="886">
        <v>33</v>
      </c>
    </row>
    <row r="43" spans="1:13" ht="17.5" customHeight="1">
      <c r="A43" s="92" t="s">
        <v>43</v>
      </c>
      <c r="B43" s="92" t="s">
        <v>43</v>
      </c>
      <c r="C43" s="92" t="s">
        <v>43</v>
      </c>
      <c r="D43" s="92" t="s">
        <v>43</v>
      </c>
      <c r="E43" s="499">
        <v>34</v>
      </c>
      <c r="F43" s="502" t="s">
        <v>158</v>
      </c>
      <c r="G43" s="975">
        <v>11</v>
      </c>
      <c r="H43" s="975">
        <v>10</v>
      </c>
      <c r="I43" s="975">
        <v>9</v>
      </c>
      <c r="J43" s="975">
        <f>I43+H43+G43</f>
        <v>30</v>
      </c>
      <c r="K43" s="498" t="s">
        <v>50</v>
      </c>
      <c r="L43" s="888">
        <v>34</v>
      </c>
    </row>
    <row r="44" spans="1:13" ht="16.5" customHeight="1">
      <c r="E44" s="1341" t="s">
        <v>160</v>
      </c>
      <c r="F44" s="1341"/>
      <c r="G44" s="1341"/>
      <c r="H44" s="1341"/>
      <c r="I44" s="1341"/>
      <c r="J44" s="1258" t="s">
        <v>1518</v>
      </c>
      <c r="K44" s="1258"/>
      <c r="L44" s="1258"/>
      <c r="M44" s="83"/>
    </row>
    <row r="45" spans="1:13" ht="27" customHeight="1">
      <c r="M45" s="84"/>
    </row>
    <row r="46" spans="1:13" ht="20.25" customHeight="1"/>
    <row r="49" spans="6:12">
      <c r="F49" s="1360"/>
      <c r="G49" s="1360"/>
      <c r="H49" s="1360"/>
      <c r="I49" s="1360"/>
      <c r="J49" s="1360"/>
      <c r="K49" s="1360"/>
      <c r="L49" s="1360"/>
    </row>
    <row r="50" spans="6:12">
      <c r="F50" s="1305"/>
      <c r="G50" s="1305"/>
      <c r="H50" s="1305"/>
      <c r="I50" s="1305"/>
      <c r="J50" s="1305"/>
    </row>
  </sheetData>
  <mergeCells count="18">
    <mergeCell ref="O12:O13"/>
    <mergeCell ref="P12:P13"/>
    <mergeCell ref="Q12:Q13"/>
    <mergeCell ref="R12:R13"/>
    <mergeCell ref="E1:L1"/>
    <mergeCell ref="E2:L2"/>
    <mergeCell ref="E3:L3"/>
    <mergeCell ref="E4:E8"/>
    <mergeCell ref="F4:F8"/>
    <mergeCell ref="G4:J4"/>
    <mergeCell ref="K4:K8"/>
    <mergeCell ref="L4:L8"/>
    <mergeCell ref="E44:I44"/>
    <mergeCell ref="J44:L44"/>
    <mergeCell ref="F49:L49"/>
    <mergeCell ref="F50:J50"/>
    <mergeCell ref="A5:D5"/>
    <mergeCell ref="G5:J5"/>
  </mergeCells>
  <printOptions horizontalCentered="1"/>
  <pageMargins left="0" right="0" top="0.06" bottom="0.6" header="0.03" footer="0.39370078740157499"/>
  <pageSetup paperSize="9" scale="105" orientation="portrait" r:id="rId1"/>
  <headerFooter>
    <oddFooter>&amp;L&amp;"Times New Roman,Regular"&amp;10    Afghanistan Statistical Yearbook 2023-24&amp;R&amp;"Times New Roman,Regular"&amp;10          د ۱۴۰۲ احصایيوي کالنۍ  /سالنامه احصائیوی ۱۴۰۲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0"/>
  </sheetPr>
  <dimension ref="A1:Y46"/>
  <sheetViews>
    <sheetView view="pageBreakPreview" topLeftCell="D3" zoomScale="130" zoomScaleNormal="100" zoomScaleSheetLayoutView="130" workbookViewId="0">
      <selection activeCell="D3" sqref="D3:J3"/>
    </sheetView>
  </sheetViews>
  <sheetFormatPr baseColWidth="10" defaultColWidth="8.83203125" defaultRowHeight="15"/>
  <cols>
    <col min="1" max="3" width="0" hidden="1" customWidth="1"/>
    <col min="4" max="4" width="7.5" style="100" customWidth="1"/>
    <col min="5" max="5" width="20.1640625" style="125" customWidth="1"/>
    <col min="6" max="6" width="13.6640625" style="125" customWidth="1"/>
    <col min="7" max="7" width="12.83203125" style="125" customWidth="1"/>
    <col min="8" max="8" width="14.1640625" style="125" customWidth="1"/>
    <col min="9" max="9" width="20.83203125" style="125" customWidth="1"/>
    <col min="10" max="10" width="5.83203125" style="125" customWidth="1"/>
  </cols>
  <sheetData>
    <row r="1" spans="1:25" ht="16" hidden="1">
      <c r="D1" s="1259" t="s">
        <v>2245</v>
      </c>
      <c r="E1" s="1259"/>
      <c r="F1" s="1259"/>
      <c r="G1" s="1259"/>
      <c r="H1" s="1259"/>
      <c r="I1" s="1259"/>
      <c r="J1" s="1259"/>
    </row>
    <row r="2" spans="1:25" ht="16" hidden="1">
      <c r="A2" s="125"/>
      <c r="B2" s="125"/>
      <c r="C2" s="125"/>
      <c r="D2" s="1300" t="s">
        <v>2246</v>
      </c>
      <c r="E2" s="1300"/>
      <c r="F2" s="1300"/>
      <c r="G2" s="1300"/>
      <c r="H2" s="1300"/>
      <c r="I2" s="1300"/>
      <c r="J2" s="1300"/>
      <c r="K2" s="1352"/>
      <c r="L2" s="1352"/>
      <c r="M2" s="1352"/>
      <c r="N2" s="1352"/>
      <c r="O2" s="1352"/>
      <c r="P2" s="1352"/>
      <c r="Q2" s="1352"/>
      <c r="R2" s="1352"/>
      <c r="S2" s="1352"/>
      <c r="T2" s="1352"/>
      <c r="U2" s="1352"/>
      <c r="V2" s="1352"/>
      <c r="W2" s="1352"/>
      <c r="X2" s="1352"/>
      <c r="Y2" s="1352"/>
    </row>
    <row r="3" spans="1:25" ht="26.25" customHeight="1">
      <c r="A3" s="175"/>
      <c r="B3" s="175"/>
      <c r="C3" s="175"/>
      <c r="D3" s="1302" t="s">
        <v>2247</v>
      </c>
      <c r="E3" s="1302"/>
      <c r="F3" s="1261"/>
      <c r="G3" s="1261"/>
      <c r="H3" s="1261"/>
      <c r="I3" s="1302"/>
      <c r="J3" s="1302"/>
    </row>
    <row r="4" spans="1:25" ht="16" customHeight="1">
      <c r="D4" s="1343" t="s">
        <v>621</v>
      </c>
      <c r="E4" s="1330" t="s">
        <v>139</v>
      </c>
      <c r="F4" s="1344">
        <v>1402</v>
      </c>
      <c r="G4" s="1345"/>
      <c r="H4" s="1346"/>
      <c r="I4" s="1336" t="s">
        <v>17</v>
      </c>
      <c r="J4" s="1311" t="s">
        <v>727</v>
      </c>
    </row>
    <row r="5" spans="1:25" ht="16" customHeight="1">
      <c r="D5" s="1266"/>
      <c r="E5" s="1331"/>
      <c r="F5" s="1273" t="s">
        <v>772</v>
      </c>
      <c r="G5" s="1274"/>
      <c r="H5" s="1275"/>
      <c r="I5" s="1337"/>
      <c r="J5" s="1298"/>
    </row>
    <row r="6" spans="1:25" ht="16" customHeight="1">
      <c r="A6" s="1339">
        <v>1400</v>
      </c>
      <c r="B6" s="1339"/>
      <c r="C6" s="1340"/>
      <c r="D6" s="1266"/>
      <c r="E6" s="1331"/>
      <c r="F6" s="1226" t="s">
        <v>699</v>
      </c>
      <c r="G6" s="1226" t="s">
        <v>700</v>
      </c>
      <c r="H6" s="1236" t="s">
        <v>696</v>
      </c>
      <c r="I6" s="1337"/>
      <c r="J6" s="1298"/>
    </row>
    <row r="7" spans="1:25" ht="16" customHeight="1">
      <c r="A7" s="595"/>
      <c r="B7" s="595"/>
      <c r="C7" s="596"/>
      <c r="D7" s="1266"/>
      <c r="E7" s="1331"/>
      <c r="F7" s="1245" t="s">
        <v>698</v>
      </c>
      <c r="G7" s="1245" t="s">
        <v>6</v>
      </c>
      <c r="H7" s="1235" t="s">
        <v>61</v>
      </c>
      <c r="I7" s="1337"/>
      <c r="J7" s="1298"/>
    </row>
    <row r="8" spans="1:25" ht="14.25" customHeight="1">
      <c r="A8" s="66" t="s">
        <v>4</v>
      </c>
      <c r="B8" s="66" t="s">
        <v>6</v>
      </c>
      <c r="C8" s="122" t="s">
        <v>14</v>
      </c>
      <c r="D8" s="1267"/>
      <c r="E8" s="1332"/>
      <c r="F8" s="1228" t="s">
        <v>98</v>
      </c>
      <c r="G8" s="1228" t="s">
        <v>99</v>
      </c>
      <c r="H8" s="351" t="s">
        <v>100</v>
      </c>
      <c r="I8" s="1338"/>
      <c r="J8" s="1299"/>
    </row>
    <row r="9" spans="1:25" ht="17.25" customHeight="1">
      <c r="A9" s="99" t="s">
        <v>43</v>
      </c>
      <c r="B9" s="98" t="s">
        <v>43</v>
      </c>
      <c r="C9" s="98" t="s">
        <v>43</v>
      </c>
      <c r="D9" s="496"/>
      <c r="E9" s="501" t="s">
        <v>70</v>
      </c>
      <c r="F9" s="414">
        <f>SUM(F10:F43)</f>
        <v>317905</v>
      </c>
      <c r="G9" s="414">
        <f>SUM(G10:G43)</f>
        <v>748608</v>
      </c>
      <c r="H9" s="414">
        <f>SUM(H10:H43)</f>
        <v>1066513</v>
      </c>
      <c r="I9" s="495" t="s">
        <v>680</v>
      </c>
      <c r="J9" s="496"/>
      <c r="K9" s="100"/>
      <c r="L9" s="100"/>
      <c r="N9" s="403"/>
      <c r="O9" s="403"/>
      <c r="P9" s="13"/>
    </row>
    <row r="10" spans="1:25" s="639" customFormat="1" ht="18" customHeight="1">
      <c r="A10" s="90" t="s">
        <v>43</v>
      </c>
      <c r="B10" s="86" t="s">
        <v>43</v>
      </c>
      <c r="C10" s="86" t="s">
        <v>43</v>
      </c>
      <c r="D10" s="772">
        <v>1</v>
      </c>
      <c r="E10" s="773" t="s">
        <v>101</v>
      </c>
      <c r="F10" s="786">
        <f>78455+12520</f>
        <v>90975</v>
      </c>
      <c r="G10" s="786">
        <f>134249+32022</f>
        <v>166271</v>
      </c>
      <c r="H10" s="786">
        <f t="shared" ref="H10:H43" si="0">G10+F10</f>
        <v>257246</v>
      </c>
      <c r="I10" s="782" t="s">
        <v>18</v>
      </c>
      <c r="J10" s="886">
        <v>1</v>
      </c>
    </row>
    <row r="11" spans="1:25" ht="18" customHeight="1">
      <c r="A11" s="90" t="s">
        <v>43</v>
      </c>
      <c r="B11" s="86" t="s">
        <v>43</v>
      </c>
      <c r="C11" s="86" t="s">
        <v>43</v>
      </c>
      <c r="D11" s="398">
        <v>2</v>
      </c>
      <c r="E11" s="249" t="s">
        <v>102</v>
      </c>
      <c r="F11" s="213">
        <v>4748</v>
      </c>
      <c r="G11" s="213">
        <v>15167</v>
      </c>
      <c r="H11" s="213">
        <f t="shared" si="0"/>
        <v>19915</v>
      </c>
      <c r="I11" s="251" t="s">
        <v>26</v>
      </c>
      <c r="J11" s="887">
        <v>2</v>
      </c>
      <c r="K11" s="100"/>
      <c r="L11" s="100"/>
    </row>
    <row r="12" spans="1:25" s="639" customFormat="1" ht="18" customHeight="1">
      <c r="A12" s="90" t="s">
        <v>43</v>
      </c>
      <c r="B12" s="86" t="s">
        <v>43</v>
      </c>
      <c r="C12" s="86" t="s">
        <v>43</v>
      </c>
      <c r="D12" s="772">
        <v>3</v>
      </c>
      <c r="E12" s="773" t="s">
        <v>103</v>
      </c>
      <c r="F12" s="786">
        <v>8022</v>
      </c>
      <c r="G12" s="786">
        <v>23333</v>
      </c>
      <c r="H12" s="786">
        <f t="shared" si="0"/>
        <v>31355</v>
      </c>
      <c r="I12" s="782" t="s">
        <v>27</v>
      </c>
      <c r="J12" s="886">
        <v>3</v>
      </c>
    </row>
    <row r="13" spans="1:25" ht="18" customHeight="1">
      <c r="A13" s="90" t="s">
        <v>43</v>
      </c>
      <c r="B13" s="86" t="s">
        <v>43</v>
      </c>
      <c r="C13" s="86" t="s">
        <v>43</v>
      </c>
      <c r="D13" s="398">
        <v>4</v>
      </c>
      <c r="E13" s="249" t="s">
        <v>652</v>
      </c>
      <c r="F13" s="213">
        <v>1767</v>
      </c>
      <c r="G13" s="213">
        <v>16484</v>
      </c>
      <c r="H13" s="213">
        <f t="shared" si="0"/>
        <v>18251</v>
      </c>
      <c r="I13" s="251" t="s">
        <v>1255</v>
      </c>
      <c r="J13" s="887">
        <v>4</v>
      </c>
      <c r="K13" s="100"/>
      <c r="L13" s="100"/>
    </row>
    <row r="14" spans="1:25" s="639" customFormat="1" ht="18" customHeight="1">
      <c r="A14" s="90" t="s">
        <v>43</v>
      </c>
      <c r="B14" s="86" t="s">
        <v>43</v>
      </c>
      <c r="C14" s="86" t="s">
        <v>43</v>
      </c>
      <c r="D14" s="772">
        <v>5</v>
      </c>
      <c r="E14" s="773" t="s">
        <v>104</v>
      </c>
      <c r="F14" s="786">
        <v>1897</v>
      </c>
      <c r="G14" s="786">
        <v>12198</v>
      </c>
      <c r="H14" s="786">
        <f t="shared" si="0"/>
        <v>14095</v>
      </c>
      <c r="I14" s="782" t="s">
        <v>19</v>
      </c>
      <c r="J14" s="886">
        <v>5</v>
      </c>
    </row>
    <row r="15" spans="1:25" ht="18" customHeight="1">
      <c r="A15" s="90" t="s">
        <v>43</v>
      </c>
      <c r="B15" s="86" t="s">
        <v>43</v>
      </c>
      <c r="C15" s="86" t="s">
        <v>43</v>
      </c>
      <c r="D15" s="398">
        <v>6</v>
      </c>
      <c r="E15" s="249" t="s">
        <v>143</v>
      </c>
      <c r="F15" s="213">
        <v>2332</v>
      </c>
      <c r="G15" s="213">
        <v>57938</v>
      </c>
      <c r="H15" s="213">
        <f t="shared" si="0"/>
        <v>60270</v>
      </c>
      <c r="I15" s="251" t="s">
        <v>28</v>
      </c>
      <c r="J15" s="887">
        <v>6</v>
      </c>
      <c r="K15" s="100"/>
      <c r="L15" s="100"/>
    </row>
    <row r="16" spans="1:25" s="639" customFormat="1" ht="18" customHeight="1">
      <c r="A16" s="90" t="s">
        <v>43</v>
      </c>
      <c r="B16" s="86" t="s">
        <v>43</v>
      </c>
      <c r="C16" s="86" t="s">
        <v>43</v>
      </c>
      <c r="D16" s="772">
        <v>7</v>
      </c>
      <c r="E16" s="773" t="s">
        <v>144</v>
      </c>
      <c r="F16" s="786">
        <v>4657</v>
      </c>
      <c r="G16" s="786">
        <v>14843</v>
      </c>
      <c r="H16" s="786">
        <f t="shared" si="0"/>
        <v>19500</v>
      </c>
      <c r="I16" s="782" t="s">
        <v>29</v>
      </c>
      <c r="J16" s="886">
        <v>7</v>
      </c>
    </row>
    <row r="17" spans="1:12" ht="18" customHeight="1">
      <c r="A17" s="90" t="s">
        <v>43</v>
      </c>
      <c r="B17" s="86" t="s">
        <v>43</v>
      </c>
      <c r="C17" s="86" t="s">
        <v>43</v>
      </c>
      <c r="D17" s="398">
        <v>8</v>
      </c>
      <c r="E17" s="249" t="s">
        <v>107</v>
      </c>
      <c r="F17" s="213">
        <v>2022</v>
      </c>
      <c r="G17" s="213">
        <v>4104</v>
      </c>
      <c r="H17" s="213">
        <f t="shared" si="0"/>
        <v>6126</v>
      </c>
      <c r="I17" s="251" t="s">
        <v>30</v>
      </c>
      <c r="J17" s="887">
        <v>8</v>
      </c>
      <c r="K17" s="100"/>
      <c r="L17" s="100"/>
    </row>
    <row r="18" spans="1:12" s="639" customFormat="1" ht="18" customHeight="1">
      <c r="A18" s="90" t="s">
        <v>43</v>
      </c>
      <c r="B18" s="86" t="s">
        <v>43</v>
      </c>
      <c r="C18" s="86" t="s">
        <v>43</v>
      </c>
      <c r="D18" s="772">
        <v>9</v>
      </c>
      <c r="E18" s="773" t="s">
        <v>145</v>
      </c>
      <c r="F18" s="786">
        <v>11571</v>
      </c>
      <c r="G18" s="786">
        <v>30549</v>
      </c>
      <c r="H18" s="786">
        <f t="shared" si="0"/>
        <v>42120</v>
      </c>
      <c r="I18" s="782" t="s">
        <v>20</v>
      </c>
      <c r="J18" s="886">
        <v>9</v>
      </c>
    </row>
    <row r="19" spans="1:12" ht="18" customHeight="1">
      <c r="A19" s="90" t="s">
        <v>43</v>
      </c>
      <c r="B19" s="86" t="s">
        <v>43</v>
      </c>
      <c r="C19" s="86" t="s">
        <v>43</v>
      </c>
      <c r="D19" s="398">
        <v>10</v>
      </c>
      <c r="E19" s="249" t="s">
        <v>146</v>
      </c>
      <c r="F19" s="213">
        <v>6721</v>
      </c>
      <c r="G19" s="213">
        <v>12193</v>
      </c>
      <c r="H19" s="213">
        <f t="shared" si="0"/>
        <v>18914</v>
      </c>
      <c r="I19" s="251" t="s">
        <v>21</v>
      </c>
      <c r="J19" s="887">
        <v>10</v>
      </c>
      <c r="K19" s="100"/>
      <c r="L19" s="100"/>
    </row>
    <row r="20" spans="1:12" s="639" customFormat="1" ht="18" customHeight="1">
      <c r="A20" s="90" t="s">
        <v>43</v>
      </c>
      <c r="B20" s="86" t="s">
        <v>43</v>
      </c>
      <c r="C20" s="86" t="s">
        <v>43</v>
      </c>
      <c r="D20" s="772">
        <v>11</v>
      </c>
      <c r="E20" s="773" t="s">
        <v>110</v>
      </c>
      <c r="F20" s="786">
        <v>13766</v>
      </c>
      <c r="G20" s="786">
        <v>28036</v>
      </c>
      <c r="H20" s="786">
        <f t="shared" si="0"/>
        <v>41802</v>
      </c>
      <c r="I20" s="782" t="s">
        <v>31</v>
      </c>
      <c r="J20" s="886">
        <v>11</v>
      </c>
    </row>
    <row r="21" spans="1:12" ht="18" customHeight="1">
      <c r="A21" s="90" t="s">
        <v>43</v>
      </c>
      <c r="B21" s="86" t="s">
        <v>43</v>
      </c>
      <c r="C21" s="86" t="s">
        <v>43</v>
      </c>
      <c r="D21" s="398">
        <v>12</v>
      </c>
      <c r="E21" s="249" t="s">
        <v>111</v>
      </c>
      <c r="F21" s="213">
        <v>325</v>
      </c>
      <c r="G21" s="213">
        <v>10136</v>
      </c>
      <c r="H21" s="213">
        <f t="shared" si="0"/>
        <v>10461</v>
      </c>
      <c r="I21" s="251" t="s">
        <v>32</v>
      </c>
      <c r="J21" s="887">
        <v>12</v>
      </c>
      <c r="K21" s="100"/>
      <c r="L21" s="100"/>
    </row>
    <row r="22" spans="1:12" s="639" customFormat="1" ht="18" customHeight="1">
      <c r="A22" s="90" t="s">
        <v>43</v>
      </c>
      <c r="B22" s="86" t="s">
        <v>43</v>
      </c>
      <c r="C22" s="86" t="s">
        <v>43</v>
      </c>
      <c r="D22" s="772">
        <v>13</v>
      </c>
      <c r="E22" s="773" t="s">
        <v>112</v>
      </c>
      <c r="F22" s="786">
        <v>2181</v>
      </c>
      <c r="G22" s="786">
        <v>19068</v>
      </c>
      <c r="H22" s="786">
        <f t="shared" si="0"/>
        <v>21249</v>
      </c>
      <c r="I22" s="782" t="s">
        <v>33</v>
      </c>
      <c r="J22" s="886">
        <v>13</v>
      </c>
    </row>
    <row r="23" spans="1:12" ht="18" customHeight="1">
      <c r="A23" s="90" t="s">
        <v>43</v>
      </c>
      <c r="B23" s="86" t="s">
        <v>43</v>
      </c>
      <c r="C23" s="86" t="s">
        <v>43</v>
      </c>
      <c r="D23" s="398">
        <v>14</v>
      </c>
      <c r="E23" s="249" t="s">
        <v>113</v>
      </c>
      <c r="F23" s="213">
        <v>6131</v>
      </c>
      <c r="G23" s="213">
        <v>23726</v>
      </c>
      <c r="H23" s="213">
        <f t="shared" si="0"/>
        <v>29857</v>
      </c>
      <c r="I23" s="251" t="s">
        <v>34</v>
      </c>
      <c r="J23" s="887">
        <v>14</v>
      </c>
      <c r="K23" s="100"/>
      <c r="L23" s="100"/>
    </row>
    <row r="24" spans="1:12" s="639" customFormat="1" ht="18" customHeight="1">
      <c r="A24" s="90" t="s">
        <v>43</v>
      </c>
      <c r="B24" s="86" t="s">
        <v>43</v>
      </c>
      <c r="C24" s="86" t="s">
        <v>43</v>
      </c>
      <c r="D24" s="772">
        <v>15</v>
      </c>
      <c r="E24" s="773" t="s">
        <v>763</v>
      </c>
      <c r="F24" s="786">
        <v>4420</v>
      </c>
      <c r="G24" s="786">
        <v>16013</v>
      </c>
      <c r="H24" s="786">
        <f t="shared" si="0"/>
        <v>20433</v>
      </c>
      <c r="I24" s="751" t="s">
        <v>729</v>
      </c>
      <c r="J24" s="886">
        <v>15</v>
      </c>
    </row>
    <row r="25" spans="1:12" ht="18" customHeight="1">
      <c r="A25" s="90" t="s">
        <v>43</v>
      </c>
      <c r="B25" s="86" t="s">
        <v>43</v>
      </c>
      <c r="C25" s="86" t="s">
        <v>43</v>
      </c>
      <c r="D25" s="398">
        <v>16</v>
      </c>
      <c r="E25" s="249" t="s">
        <v>69</v>
      </c>
      <c r="F25" s="213">
        <v>689</v>
      </c>
      <c r="G25" s="213">
        <v>2527</v>
      </c>
      <c r="H25" s="213">
        <f t="shared" si="0"/>
        <v>3216</v>
      </c>
      <c r="I25" s="251" t="s">
        <v>35</v>
      </c>
      <c r="J25" s="887">
        <v>16</v>
      </c>
      <c r="K25" s="100"/>
      <c r="L25" s="100"/>
    </row>
    <row r="26" spans="1:12" s="639" customFormat="1" ht="18" customHeight="1">
      <c r="A26" s="90" t="s">
        <v>43</v>
      </c>
      <c r="B26" s="86" t="s">
        <v>43</v>
      </c>
      <c r="C26" s="86" t="s">
        <v>43</v>
      </c>
      <c r="D26" s="772">
        <v>17</v>
      </c>
      <c r="E26" s="773" t="s">
        <v>147</v>
      </c>
      <c r="F26" s="786">
        <v>15355</v>
      </c>
      <c r="G26" s="786">
        <v>27354</v>
      </c>
      <c r="H26" s="786">
        <f t="shared" si="0"/>
        <v>42709</v>
      </c>
      <c r="I26" s="782" t="s">
        <v>36</v>
      </c>
      <c r="J26" s="886">
        <v>17</v>
      </c>
    </row>
    <row r="27" spans="1:12" ht="18" customHeight="1">
      <c r="A27" s="90" t="s">
        <v>43</v>
      </c>
      <c r="B27" s="86" t="s">
        <v>43</v>
      </c>
      <c r="C27" s="86" t="s">
        <v>43</v>
      </c>
      <c r="D27" s="398">
        <v>18</v>
      </c>
      <c r="E27" s="249" t="s">
        <v>148</v>
      </c>
      <c r="F27" s="213">
        <v>15615</v>
      </c>
      <c r="G27" s="213">
        <v>26294</v>
      </c>
      <c r="H27" s="213">
        <f t="shared" si="0"/>
        <v>41909</v>
      </c>
      <c r="I27" s="251" t="s">
        <v>37</v>
      </c>
      <c r="J27" s="887">
        <v>18</v>
      </c>
      <c r="K27" s="100"/>
      <c r="L27" s="100"/>
    </row>
    <row r="28" spans="1:12" s="639" customFormat="1" ht="18" customHeight="1">
      <c r="A28" s="90" t="s">
        <v>43</v>
      </c>
      <c r="B28" s="86" t="s">
        <v>43</v>
      </c>
      <c r="C28" s="86" t="s">
        <v>43</v>
      </c>
      <c r="D28" s="772">
        <v>19</v>
      </c>
      <c r="E28" s="773" t="s">
        <v>149</v>
      </c>
      <c r="F28" s="786">
        <v>11036</v>
      </c>
      <c r="G28" s="786">
        <v>23637</v>
      </c>
      <c r="H28" s="786">
        <f t="shared" si="0"/>
        <v>34673</v>
      </c>
      <c r="I28" s="782" t="s">
        <v>38</v>
      </c>
      <c r="J28" s="886">
        <v>19</v>
      </c>
    </row>
    <row r="29" spans="1:12" ht="18" customHeight="1">
      <c r="A29" s="90" t="s">
        <v>43</v>
      </c>
      <c r="B29" s="86" t="s">
        <v>43</v>
      </c>
      <c r="C29" s="86" t="s">
        <v>43</v>
      </c>
      <c r="D29" s="398">
        <v>20</v>
      </c>
      <c r="E29" s="249" t="s">
        <v>150</v>
      </c>
      <c r="F29" s="213">
        <v>5504</v>
      </c>
      <c r="G29" s="213">
        <v>9892</v>
      </c>
      <c r="H29" s="213">
        <f t="shared" si="0"/>
        <v>15396</v>
      </c>
      <c r="I29" s="251" t="s">
        <v>39</v>
      </c>
      <c r="J29" s="887">
        <v>20</v>
      </c>
      <c r="K29" s="100"/>
      <c r="L29" s="100"/>
    </row>
    <row r="30" spans="1:12" s="639" customFormat="1" ht="18" customHeight="1">
      <c r="A30" s="90" t="s">
        <v>43</v>
      </c>
      <c r="B30" s="86" t="s">
        <v>43</v>
      </c>
      <c r="C30" s="86" t="s">
        <v>43</v>
      </c>
      <c r="D30" s="772">
        <v>21</v>
      </c>
      <c r="E30" s="773" t="s">
        <v>151</v>
      </c>
      <c r="F30" s="786">
        <v>26630</v>
      </c>
      <c r="G30" s="786">
        <v>38962</v>
      </c>
      <c r="H30" s="786">
        <f t="shared" si="0"/>
        <v>65592</v>
      </c>
      <c r="I30" s="782" t="s">
        <v>40</v>
      </c>
      <c r="J30" s="886">
        <v>21</v>
      </c>
    </row>
    <row r="31" spans="1:12" ht="18" customHeight="1">
      <c r="A31" s="90" t="s">
        <v>43</v>
      </c>
      <c r="B31" s="86" t="s">
        <v>43</v>
      </c>
      <c r="C31" s="86" t="s">
        <v>43</v>
      </c>
      <c r="D31" s="398">
        <v>22</v>
      </c>
      <c r="E31" s="249" t="s">
        <v>152</v>
      </c>
      <c r="F31" s="213">
        <v>5064</v>
      </c>
      <c r="G31" s="213">
        <v>8197</v>
      </c>
      <c r="H31" s="213">
        <f t="shared" si="0"/>
        <v>13261</v>
      </c>
      <c r="I31" s="251" t="s">
        <v>41</v>
      </c>
      <c r="J31" s="887">
        <v>22</v>
      </c>
      <c r="K31" s="100"/>
      <c r="L31" s="100"/>
    </row>
    <row r="32" spans="1:12" s="639" customFormat="1" ht="18" customHeight="1">
      <c r="A32" s="90" t="s">
        <v>43</v>
      </c>
      <c r="B32" s="86" t="s">
        <v>43</v>
      </c>
      <c r="C32" s="86" t="s">
        <v>43</v>
      </c>
      <c r="D32" s="772">
        <v>23</v>
      </c>
      <c r="E32" s="773" t="s">
        <v>121</v>
      </c>
      <c r="F32" s="786">
        <v>4525</v>
      </c>
      <c r="G32" s="786">
        <v>17656</v>
      </c>
      <c r="H32" s="786">
        <f t="shared" si="0"/>
        <v>22181</v>
      </c>
      <c r="I32" s="782" t="s">
        <v>22</v>
      </c>
      <c r="J32" s="886">
        <v>23</v>
      </c>
    </row>
    <row r="33" spans="1:13" ht="18" customHeight="1">
      <c r="A33" s="90" t="s">
        <v>43</v>
      </c>
      <c r="B33" s="86" t="s">
        <v>43</v>
      </c>
      <c r="C33" s="86" t="s">
        <v>43</v>
      </c>
      <c r="D33" s="398">
        <v>24</v>
      </c>
      <c r="E33" s="249" t="s">
        <v>122</v>
      </c>
      <c r="F33" s="213">
        <v>7368</v>
      </c>
      <c r="G33" s="213">
        <v>11394</v>
      </c>
      <c r="H33" s="213">
        <f t="shared" si="0"/>
        <v>18762</v>
      </c>
      <c r="I33" s="251" t="s">
        <v>23</v>
      </c>
      <c r="J33" s="887">
        <v>24</v>
      </c>
      <c r="K33" s="100"/>
      <c r="L33" s="100"/>
    </row>
    <row r="34" spans="1:13" s="639" customFormat="1" ht="18" customHeight="1">
      <c r="A34" s="90" t="s">
        <v>43</v>
      </c>
      <c r="B34" s="86" t="s">
        <v>43</v>
      </c>
      <c r="C34" s="86" t="s">
        <v>43</v>
      </c>
      <c r="D34" s="772">
        <v>25</v>
      </c>
      <c r="E34" s="773" t="s">
        <v>123</v>
      </c>
      <c r="F34" s="786">
        <v>646</v>
      </c>
      <c r="G34" s="786">
        <v>5577</v>
      </c>
      <c r="H34" s="786">
        <f t="shared" si="0"/>
        <v>6223</v>
      </c>
      <c r="I34" s="782" t="s">
        <v>42</v>
      </c>
      <c r="J34" s="886">
        <v>25</v>
      </c>
    </row>
    <row r="35" spans="1:13" ht="18" customHeight="1">
      <c r="A35" s="90" t="s">
        <v>43</v>
      </c>
      <c r="B35" s="86" t="s">
        <v>43</v>
      </c>
      <c r="C35" s="86" t="s">
        <v>43</v>
      </c>
      <c r="D35" s="398">
        <v>26</v>
      </c>
      <c r="E35" s="249" t="s">
        <v>153</v>
      </c>
      <c r="F35" s="213">
        <v>380</v>
      </c>
      <c r="G35" s="213">
        <v>3100</v>
      </c>
      <c r="H35" s="213">
        <f t="shared" si="0"/>
        <v>3480</v>
      </c>
      <c r="I35" s="251" t="s">
        <v>44</v>
      </c>
      <c r="J35" s="887">
        <v>26</v>
      </c>
      <c r="K35" s="100"/>
      <c r="L35" s="100"/>
    </row>
    <row r="36" spans="1:13" s="639" customFormat="1" ht="18" customHeight="1">
      <c r="A36" s="90" t="s">
        <v>43</v>
      </c>
      <c r="B36" s="86" t="s">
        <v>43</v>
      </c>
      <c r="C36" s="86" t="s">
        <v>43</v>
      </c>
      <c r="D36" s="772">
        <v>27</v>
      </c>
      <c r="E36" s="773" t="s">
        <v>154</v>
      </c>
      <c r="F36" s="786">
        <v>3203</v>
      </c>
      <c r="G36" s="786">
        <v>23834</v>
      </c>
      <c r="H36" s="786">
        <f t="shared" si="0"/>
        <v>27037</v>
      </c>
      <c r="I36" s="782" t="s">
        <v>45</v>
      </c>
      <c r="J36" s="886">
        <v>27</v>
      </c>
    </row>
    <row r="37" spans="1:13" ht="14.25" customHeight="1">
      <c r="A37" s="90" t="s">
        <v>43</v>
      </c>
      <c r="B37" s="86" t="s">
        <v>43</v>
      </c>
      <c r="C37" s="86" t="s">
        <v>43</v>
      </c>
      <c r="D37" s="398">
        <v>28</v>
      </c>
      <c r="E37" s="249" t="s">
        <v>155</v>
      </c>
      <c r="F37" s="213">
        <v>7298</v>
      </c>
      <c r="G37" s="213">
        <v>13493</v>
      </c>
      <c r="H37" s="213">
        <f t="shared" si="0"/>
        <v>20791</v>
      </c>
      <c r="I37" s="251" t="s">
        <v>46</v>
      </c>
      <c r="J37" s="887">
        <v>28</v>
      </c>
      <c r="K37" s="100"/>
      <c r="L37" s="100"/>
    </row>
    <row r="38" spans="1:13" s="639" customFormat="1" ht="18" customHeight="1">
      <c r="A38" s="90" t="s">
        <v>43</v>
      </c>
      <c r="B38" s="86" t="s">
        <v>43</v>
      </c>
      <c r="C38" s="86" t="s">
        <v>43</v>
      </c>
      <c r="D38" s="772">
        <v>29</v>
      </c>
      <c r="E38" s="773" t="s">
        <v>156</v>
      </c>
      <c r="F38" s="786">
        <v>12666</v>
      </c>
      <c r="G38" s="786">
        <v>18067</v>
      </c>
      <c r="H38" s="786">
        <f t="shared" si="0"/>
        <v>30733</v>
      </c>
      <c r="I38" s="782" t="s">
        <v>47</v>
      </c>
      <c r="J38" s="886">
        <v>29</v>
      </c>
    </row>
    <row r="39" spans="1:13" ht="15" customHeight="1">
      <c r="A39" s="90" t="s">
        <v>43</v>
      </c>
      <c r="B39" s="86" t="s">
        <v>43</v>
      </c>
      <c r="C39" s="86" t="s">
        <v>43</v>
      </c>
      <c r="D39" s="398">
        <v>30</v>
      </c>
      <c r="E39" s="249" t="s">
        <v>157</v>
      </c>
      <c r="F39" s="213">
        <v>3603</v>
      </c>
      <c r="G39" s="213">
        <v>17967</v>
      </c>
      <c r="H39" s="213">
        <f t="shared" si="0"/>
        <v>21570</v>
      </c>
      <c r="I39" s="251" t="s">
        <v>48</v>
      </c>
      <c r="J39" s="887">
        <v>30</v>
      </c>
      <c r="K39" s="100"/>
      <c r="L39" s="100"/>
    </row>
    <row r="40" spans="1:13" s="639" customFormat="1" ht="18" customHeight="1">
      <c r="A40" s="90" t="s">
        <v>43</v>
      </c>
      <c r="B40" s="86" t="s">
        <v>43</v>
      </c>
      <c r="C40" s="86" t="s">
        <v>43</v>
      </c>
      <c r="D40" s="772">
        <v>31</v>
      </c>
      <c r="E40" s="773" t="s">
        <v>129</v>
      </c>
      <c r="F40" s="786">
        <v>1866</v>
      </c>
      <c r="G40" s="786">
        <v>9994</v>
      </c>
      <c r="H40" s="786">
        <f t="shared" si="0"/>
        <v>11860</v>
      </c>
      <c r="I40" s="782" t="s">
        <v>24</v>
      </c>
      <c r="J40" s="886">
        <v>31</v>
      </c>
    </row>
    <row r="41" spans="1:13" ht="13.5" customHeight="1">
      <c r="A41" s="90" t="s">
        <v>43</v>
      </c>
      <c r="B41" s="86" t="s">
        <v>43</v>
      </c>
      <c r="C41" s="86" t="s">
        <v>43</v>
      </c>
      <c r="D41" s="398">
        <v>32</v>
      </c>
      <c r="E41" s="249" t="s">
        <v>130</v>
      </c>
      <c r="F41" s="213">
        <v>30180</v>
      </c>
      <c r="G41" s="213">
        <v>32191</v>
      </c>
      <c r="H41" s="213">
        <f t="shared" si="0"/>
        <v>62371</v>
      </c>
      <c r="I41" s="251" t="s">
        <v>25</v>
      </c>
      <c r="J41" s="887">
        <v>32</v>
      </c>
      <c r="K41" s="100"/>
      <c r="L41" s="100"/>
    </row>
    <row r="42" spans="1:13" s="639" customFormat="1" ht="18" customHeight="1">
      <c r="A42" s="90" t="s">
        <v>43</v>
      </c>
      <c r="B42" s="86" t="s">
        <v>43</v>
      </c>
      <c r="C42" s="86" t="s">
        <v>43</v>
      </c>
      <c r="D42" s="772">
        <v>33</v>
      </c>
      <c r="E42" s="773" t="s">
        <v>131</v>
      </c>
      <c r="F42" s="786">
        <v>3030</v>
      </c>
      <c r="G42" s="786">
        <v>6074</v>
      </c>
      <c r="H42" s="786">
        <f t="shared" si="0"/>
        <v>9104</v>
      </c>
      <c r="I42" s="782" t="s">
        <v>49</v>
      </c>
      <c r="J42" s="886">
        <v>33</v>
      </c>
    </row>
    <row r="43" spans="1:13" ht="18" customHeight="1">
      <c r="A43" s="94" t="s">
        <v>43</v>
      </c>
      <c r="B43" s="92" t="s">
        <v>43</v>
      </c>
      <c r="C43" s="92" t="s">
        <v>43</v>
      </c>
      <c r="D43" s="499">
        <v>34</v>
      </c>
      <c r="E43" s="502" t="s">
        <v>158</v>
      </c>
      <c r="F43" s="497">
        <v>1712</v>
      </c>
      <c r="G43" s="497">
        <v>2339</v>
      </c>
      <c r="H43" s="497">
        <f t="shared" si="0"/>
        <v>4051</v>
      </c>
      <c r="I43" s="498" t="s">
        <v>50</v>
      </c>
      <c r="J43" s="888">
        <v>34</v>
      </c>
      <c r="K43" s="100"/>
      <c r="L43" s="100"/>
    </row>
    <row r="44" spans="1:13" ht="14.25" customHeight="1">
      <c r="D44" s="1341" t="s">
        <v>160</v>
      </c>
      <c r="E44" s="1341"/>
      <c r="F44" s="1341"/>
      <c r="G44" s="324"/>
      <c r="H44" s="1258" t="s">
        <v>1518</v>
      </c>
      <c r="I44" s="1258"/>
      <c r="J44" s="1258"/>
      <c r="M44" s="395"/>
    </row>
    <row r="45" spans="1:13" ht="25.5" customHeight="1">
      <c r="E45" s="1290"/>
      <c r="F45" s="1290"/>
      <c r="G45" s="1290"/>
      <c r="H45" s="1290"/>
      <c r="I45" s="1290"/>
      <c r="J45" s="1290"/>
      <c r="K45" s="209"/>
      <c r="L45" s="209"/>
      <c r="M45" s="209"/>
    </row>
    <row r="46" spans="1:13">
      <c r="E46" s="1305"/>
      <c r="F46" s="1305"/>
      <c r="G46" s="1305"/>
      <c r="H46" s="1305"/>
      <c r="I46" s="1305"/>
      <c r="J46" s="243"/>
    </row>
  </sheetData>
  <mergeCells count="15">
    <mergeCell ref="D1:J1"/>
    <mergeCell ref="D2:J2"/>
    <mergeCell ref="K2:Y2"/>
    <mergeCell ref="D3:J3"/>
    <mergeCell ref="D4:D8"/>
    <mergeCell ref="E4:E8"/>
    <mergeCell ref="F4:H4"/>
    <mergeCell ref="I4:I8"/>
    <mergeCell ref="J4:J8"/>
    <mergeCell ref="F5:H5"/>
    <mergeCell ref="A6:C6"/>
    <mergeCell ref="D44:F44"/>
    <mergeCell ref="H44:J44"/>
    <mergeCell ref="E45:J45"/>
    <mergeCell ref="E46:I46"/>
  </mergeCells>
  <printOptions horizontalCentered="1"/>
  <pageMargins left="0" right="0" top="0.06" bottom="0.6" header="0.03" footer="0.39370078740157499"/>
  <pageSetup paperSize="9" scale="105" orientation="portrait" r:id="rId1"/>
  <headerFooter>
    <oddFooter>&amp;L&amp;"Times New Roman,Regular"&amp;10    Afghanistan Statistical Yearbook 2023-24&amp;R&amp;"Times New Roman,Regular"&amp;10          د ۱۴۰۲ احصایيوي کالنۍ  /سالنامه احصائیوی ۱۴۰۲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0000"/>
  </sheetPr>
  <dimension ref="A1:AF108"/>
  <sheetViews>
    <sheetView view="pageBreakPreview" topLeftCell="J7" zoomScaleSheetLayoutView="100" workbookViewId="0">
      <selection activeCell="T40" sqref="T40"/>
    </sheetView>
  </sheetViews>
  <sheetFormatPr baseColWidth="10" defaultColWidth="8.83203125" defaultRowHeight="15"/>
  <cols>
    <col min="1" max="3" width="7.5" hidden="1" customWidth="1"/>
    <col min="4" max="9" width="5.5" hidden="1" customWidth="1"/>
    <col min="10" max="10" width="29" customWidth="1"/>
    <col min="11" max="11" width="9.1640625" customWidth="1"/>
    <col min="12" max="12" width="6.83203125" customWidth="1"/>
    <col min="13" max="13" width="9.6640625" customWidth="1"/>
    <col min="14" max="14" width="8.5" customWidth="1"/>
    <col min="15" max="15" width="5.33203125" customWidth="1"/>
    <col min="16" max="16" width="10.33203125" bestFit="1" customWidth="1"/>
    <col min="17" max="17" width="9" customWidth="1"/>
    <col min="18" max="18" width="7.5" customWidth="1"/>
    <col min="19" max="19" width="10.33203125" bestFit="1" customWidth="1"/>
    <col min="20" max="20" width="34.5" customWidth="1"/>
    <col min="21" max="21" width="3.5" customWidth="1"/>
    <col min="29" max="29" width="10.1640625" bestFit="1" customWidth="1"/>
    <col min="31" max="31" width="10.1640625" bestFit="1" customWidth="1"/>
  </cols>
  <sheetData>
    <row r="1" spans="1:32" ht="16">
      <c r="J1" s="1297" t="s">
        <v>636</v>
      </c>
      <c r="K1" s="1297"/>
      <c r="L1" s="1297"/>
      <c r="M1" s="1297"/>
      <c r="N1" s="1297"/>
      <c r="O1" s="1297"/>
      <c r="P1" s="1297"/>
      <c r="Q1" s="1297"/>
      <c r="R1" s="1297"/>
      <c r="S1" s="1297"/>
      <c r="T1" s="1297"/>
      <c r="U1" s="1297"/>
    </row>
    <row r="2" spans="1:32" ht="15.75" customHeight="1">
      <c r="A2" s="1314" t="s">
        <v>596</v>
      </c>
      <c r="B2" s="1314"/>
      <c r="C2" s="1314"/>
      <c r="D2" s="1314"/>
      <c r="E2" s="1314"/>
      <c r="F2" s="1314"/>
      <c r="G2" s="1314"/>
      <c r="H2" s="1314"/>
      <c r="I2" s="1314"/>
      <c r="J2" s="1314"/>
      <c r="K2" s="1314"/>
      <c r="L2" s="1314"/>
      <c r="M2" s="1314"/>
      <c r="N2" s="1314"/>
      <c r="O2" s="1314"/>
      <c r="P2" s="1314"/>
      <c r="Q2" s="1314"/>
      <c r="R2" s="1314"/>
      <c r="S2" s="1314"/>
      <c r="T2" s="1314"/>
      <c r="U2" s="1314"/>
    </row>
    <row r="3" spans="1:32" ht="19" customHeight="1">
      <c r="A3" s="125"/>
      <c r="B3" s="125"/>
      <c r="C3" s="125"/>
      <c r="D3" s="125"/>
      <c r="E3" s="125"/>
      <c r="F3" s="125"/>
      <c r="G3" s="125"/>
      <c r="H3" s="125"/>
      <c r="I3" s="125"/>
      <c r="J3" s="1353" t="s">
        <v>169</v>
      </c>
      <c r="K3" s="1353"/>
      <c r="L3" s="1353"/>
      <c r="M3" s="1353"/>
      <c r="N3" s="1353"/>
      <c r="O3" s="1353"/>
      <c r="P3" s="1353"/>
      <c r="Q3" s="1353"/>
      <c r="R3" s="1353"/>
      <c r="S3" s="1353"/>
      <c r="T3" s="1353"/>
      <c r="U3" s="1353"/>
    </row>
    <row r="4" spans="1:32" ht="13.5" customHeight="1">
      <c r="J4" s="1382" t="s">
        <v>170</v>
      </c>
      <c r="K4" s="1366" t="s">
        <v>343</v>
      </c>
      <c r="L4" s="1367"/>
      <c r="M4" s="1367"/>
      <c r="N4" s="1367"/>
      <c r="O4" s="1367"/>
      <c r="P4" s="1367"/>
      <c r="Q4" s="1367"/>
      <c r="R4" s="1367"/>
      <c r="S4" s="1368"/>
      <c r="T4" s="1276" t="s">
        <v>72</v>
      </c>
      <c r="U4" s="1369" t="s">
        <v>491</v>
      </c>
    </row>
    <row r="5" spans="1:32" ht="17.25" customHeight="1">
      <c r="J5" s="1383"/>
      <c r="K5" s="1262" t="s">
        <v>78</v>
      </c>
      <c r="L5" s="1372"/>
      <c r="M5" s="1373"/>
      <c r="N5" s="1374" t="s">
        <v>490</v>
      </c>
      <c r="O5" s="1375"/>
      <c r="P5" s="1376"/>
      <c r="Q5" s="1262" t="s">
        <v>253</v>
      </c>
      <c r="R5" s="1372"/>
      <c r="S5" s="1373"/>
      <c r="T5" s="1365"/>
      <c r="U5" s="1370"/>
    </row>
    <row r="6" spans="1:32" ht="15.75" customHeight="1">
      <c r="J6" s="1383"/>
      <c r="K6" s="1262" t="s">
        <v>168</v>
      </c>
      <c r="L6" s="1372"/>
      <c r="M6" s="1373"/>
      <c r="N6" s="1374" t="s">
        <v>171</v>
      </c>
      <c r="O6" s="1375"/>
      <c r="P6" s="1376"/>
      <c r="Q6" s="1262" t="s">
        <v>137</v>
      </c>
      <c r="R6" s="1372"/>
      <c r="S6" s="1373"/>
      <c r="T6" s="1365"/>
      <c r="U6" s="1370"/>
    </row>
    <row r="7" spans="1:32" ht="24.75" customHeight="1">
      <c r="J7" s="1384"/>
      <c r="K7" s="305" t="s">
        <v>493</v>
      </c>
      <c r="L7" s="305" t="s">
        <v>494</v>
      </c>
      <c r="M7" s="305" t="s">
        <v>492</v>
      </c>
      <c r="N7" s="305" t="s">
        <v>493</v>
      </c>
      <c r="O7" s="305" t="s">
        <v>494</v>
      </c>
      <c r="P7" s="305" t="s">
        <v>492</v>
      </c>
      <c r="Q7" s="305" t="s">
        <v>493</v>
      </c>
      <c r="R7" s="305" t="s">
        <v>494</v>
      </c>
      <c r="S7" s="305" t="s">
        <v>492</v>
      </c>
      <c r="T7" s="1277"/>
      <c r="U7" s="1371"/>
    </row>
    <row r="8" spans="1:32" ht="16">
      <c r="A8" s="1377">
        <v>1399</v>
      </c>
      <c r="B8" s="1377"/>
      <c r="C8" s="1377"/>
      <c r="D8" s="1377"/>
      <c r="E8" s="1377"/>
      <c r="F8" s="1377"/>
      <c r="G8" s="1377"/>
      <c r="H8" s="1377"/>
      <c r="I8" s="1378"/>
      <c r="J8" s="255" t="s">
        <v>70</v>
      </c>
      <c r="K8" s="150">
        <f t="shared" ref="K8:S8" si="0">SUM(K9:K47,K53:K98)</f>
        <v>335</v>
      </c>
      <c r="L8" s="215">
        <f t="shared" si="0"/>
        <v>1315</v>
      </c>
      <c r="M8" s="220">
        <f t="shared" si="0"/>
        <v>1650</v>
      </c>
      <c r="N8" s="221" t="s">
        <v>592</v>
      </c>
      <c r="O8" s="221" t="s">
        <v>592</v>
      </c>
      <c r="P8" s="220" t="s">
        <v>592</v>
      </c>
      <c r="Q8" s="215">
        <f t="shared" si="0"/>
        <v>10140</v>
      </c>
      <c r="R8" s="215">
        <f t="shared" si="0"/>
        <v>8653</v>
      </c>
      <c r="S8" s="220">
        <f t="shared" si="0"/>
        <v>18793</v>
      </c>
      <c r="T8" s="256" t="s">
        <v>495</v>
      </c>
      <c r="U8" s="257"/>
    </row>
    <row r="9" spans="1:32" ht="34.5" customHeight="1">
      <c r="A9" s="1379" t="s">
        <v>78</v>
      </c>
      <c r="B9" s="1379"/>
      <c r="C9" s="1379"/>
      <c r="D9" s="1380" t="s">
        <v>77</v>
      </c>
      <c r="E9" s="1380"/>
      <c r="F9" s="1380"/>
      <c r="G9" s="1379" t="s">
        <v>79</v>
      </c>
      <c r="H9" s="1379"/>
      <c r="I9" s="1381"/>
      <c r="J9" s="237" t="s">
        <v>172</v>
      </c>
      <c r="K9" s="151">
        <v>117</v>
      </c>
      <c r="L9" s="152">
        <v>101</v>
      </c>
      <c r="M9" s="222">
        <f>SUM(K9:L9)</f>
        <v>218</v>
      </c>
      <c r="N9" s="131" t="s">
        <v>592</v>
      </c>
      <c r="O9" s="355" t="s">
        <v>592</v>
      </c>
      <c r="P9" s="222" t="s">
        <v>592</v>
      </c>
      <c r="Q9" s="152" t="s">
        <v>592</v>
      </c>
      <c r="R9" s="152" t="s">
        <v>592</v>
      </c>
      <c r="S9" s="132" t="s">
        <v>592</v>
      </c>
      <c r="T9" s="73" t="s">
        <v>496</v>
      </c>
      <c r="U9" s="236">
        <v>1</v>
      </c>
    </row>
    <row r="10" spans="1:32" ht="32.25" customHeight="1">
      <c r="A10" s="117"/>
      <c r="B10" s="117"/>
      <c r="C10" s="117"/>
      <c r="D10" s="118"/>
      <c r="E10" s="118"/>
      <c r="F10" s="118"/>
      <c r="G10" s="117"/>
      <c r="H10" s="117"/>
      <c r="I10" s="309"/>
      <c r="J10" s="258" t="s">
        <v>173</v>
      </c>
      <c r="K10" s="154" t="s">
        <v>592</v>
      </c>
      <c r="L10" s="155">
        <v>20</v>
      </c>
      <c r="M10" s="135">
        <f>SUM(K10:L10)</f>
        <v>20</v>
      </c>
      <c r="N10" s="134" t="s">
        <v>592</v>
      </c>
      <c r="O10" s="134" t="s">
        <v>592</v>
      </c>
      <c r="P10" s="135" t="s">
        <v>592</v>
      </c>
      <c r="Q10" s="155" t="s">
        <v>592</v>
      </c>
      <c r="R10" s="155" t="s">
        <v>592</v>
      </c>
      <c r="S10" s="141" t="s">
        <v>592</v>
      </c>
      <c r="T10" s="259" t="s">
        <v>497</v>
      </c>
      <c r="U10" s="148">
        <v>2</v>
      </c>
    </row>
    <row r="11" spans="1:32" ht="30" customHeight="1">
      <c r="A11" s="117"/>
      <c r="B11" s="117"/>
      <c r="C11" s="117"/>
      <c r="D11" s="118"/>
      <c r="E11" s="118"/>
      <c r="F11" s="118"/>
      <c r="G11" s="117"/>
      <c r="H11" s="117"/>
      <c r="I11" s="309"/>
      <c r="J11" s="237" t="s">
        <v>174</v>
      </c>
      <c r="K11" s="151">
        <v>2</v>
      </c>
      <c r="L11" s="152">
        <v>50</v>
      </c>
      <c r="M11" s="222">
        <f t="shared" ref="M11:M47" si="1">SUM(K11:L11)</f>
        <v>52</v>
      </c>
      <c r="N11" s="131" t="s">
        <v>592</v>
      </c>
      <c r="O11" s="131" t="s">
        <v>592</v>
      </c>
      <c r="P11" s="222" t="s">
        <v>592</v>
      </c>
      <c r="Q11" s="152" t="s">
        <v>592</v>
      </c>
      <c r="R11" s="152" t="s">
        <v>592</v>
      </c>
      <c r="S11" s="132" t="s">
        <v>592</v>
      </c>
      <c r="T11" s="260" t="s">
        <v>498</v>
      </c>
      <c r="U11" s="236">
        <v>3</v>
      </c>
    </row>
    <row r="12" spans="1:32" ht="21" customHeight="1">
      <c r="A12" s="97" t="s">
        <v>43</v>
      </c>
      <c r="B12" s="98" t="s">
        <v>43</v>
      </c>
      <c r="C12" s="98" t="s">
        <v>43</v>
      </c>
      <c r="D12" s="98" t="s">
        <v>43</v>
      </c>
      <c r="E12" s="98" t="s">
        <v>43</v>
      </c>
      <c r="F12" s="98" t="s">
        <v>43</v>
      </c>
      <c r="G12" s="98" t="s">
        <v>43</v>
      </c>
      <c r="H12" s="98" t="s">
        <v>43</v>
      </c>
      <c r="I12" s="98" t="s">
        <v>43</v>
      </c>
      <c r="J12" s="239" t="s">
        <v>175</v>
      </c>
      <c r="K12" s="154">
        <v>3</v>
      </c>
      <c r="L12" s="155">
        <v>45</v>
      </c>
      <c r="M12" s="135">
        <f t="shared" si="1"/>
        <v>48</v>
      </c>
      <c r="N12" s="134" t="s">
        <v>592</v>
      </c>
      <c r="O12" s="134" t="s">
        <v>592</v>
      </c>
      <c r="P12" s="135" t="s">
        <v>592</v>
      </c>
      <c r="Q12" s="155" t="s">
        <v>592</v>
      </c>
      <c r="R12" s="155" t="s">
        <v>592</v>
      </c>
      <c r="S12" s="141" t="s">
        <v>592</v>
      </c>
      <c r="T12" s="259" t="s">
        <v>499</v>
      </c>
      <c r="U12" s="148">
        <v>4</v>
      </c>
      <c r="V12" s="3"/>
      <c r="X12">
        <v>10140</v>
      </c>
      <c r="Y12">
        <v>8653</v>
      </c>
      <c r="AC12" s="2"/>
      <c r="AF12" s="2"/>
    </row>
    <row r="13" spans="1:32">
      <c r="A13" s="88" t="s">
        <v>43</v>
      </c>
      <c r="B13" s="85" t="s">
        <v>43</v>
      </c>
      <c r="C13" s="85" t="s">
        <v>43</v>
      </c>
      <c r="D13" s="85" t="s">
        <v>43</v>
      </c>
      <c r="E13" s="85" t="s">
        <v>43</v>
      </c>
      <c r="F13" s="85" t="s">
        <v>43</v>
      </c>
      <c r="G13" s="85" t="s">
        <v>43</v>
      </c>
      <c r="H13" s="85" t="s">
        <v>43</v>
      </c>
      <c r="I13" s="85" t="s">
        <v>43</v>
      </c>
      <c r="J13" s="261" t="s">
        <v>176</v>
      </c>
      <c r="K13" s="151" t="s">
        <v>592</v>
      </c>
      <c r="L13" s="152">
        <v>23</v>
      </c>
      <c r="M13" s="222">
        <f t="shared" si="1"/>
        <v>23</v>
      </c>
      <c r="N13" s="131" t="s">
        <v>592</v>
      </c>
      <c r="O13" s="131" t="s">
        <v>592</v>
      </c>
      <c r="P13" s="222" t="s">
        <v>592</v>
      </c>
      <c r="Q13" s="152" t="s">
        <v>592</v>
      </c>
      <c r="R13" s="152" t="s">
        <v>592</v>
      </c>
      <c r="S13" s="132" t="s">
        <v>592</v>
      </c>
      <c r="T13" s="260" t="s">
        <v>500</v>
      </c>
      <c r="U13" s="236">
        <v>5</v>
      </c>
      <c r="X13" s="3">
        <f>X12-Q8</f>
        <v>0</v>
      </c>
      <c r="Y13" s="3">
        <f>Y12-R8</f>
        <v>0</v>
      </c>
    </row>
    <row r="14" spans="1:32" ht="26.25" customHeight="1">
      <c r="A14" s="90" t="s">
        <v>43</v>
      </c>
      <c r="B14" s="86" t="s">
        <v>43</v>
      </c>
      <c r="C14" s="86" t="s">
        <v>43</v>
      </c>
      <c r="D14" s="86" t="s">
        <v>43</v>
      </c>
      <c r="E14" s="86" t="s">
        <v>43</v>
      </c>
      <c r="F14" s="86" t="s">
        <v>43</v>
      </c>
      <c r="G14" s="86" t="s">
        <v>43</v>
      </c>
      <c r="H14" s="86" t="s">
        <v>43</v>
      </c>
      <c r="I14" s="86" t="s">
        <v>43</v>
      </c>
      <c r="J14" s="258" t="s">
        <v>177</v>
      </c>
      <c r="K14" s="154" t="s">
        <v>592</v>
      </c>
      <c r="L14" s="155"/>
      <c r="M14" s="135">
        <f t="shared" si="1"/>
        <v>0</v>
      </c>
      <c r="N14" s="134" t="s">
        <v>592</v>
      </c>
      <c r="O14" s="134" t="s">
        <v>592</v>
      </c>
      <c r="P14" s="135" t="s">
        <v>592</v>
      </c>
      <c r="Q14" s="155" t="s">
        <v>592</v>
      </c>
      <c r="R14" s="155" t="s">
        <v>592</v>
      </c>
      <c r="S14" s="141" t="s">
        <v>592</v>
      </c>
      <c r="T14" s="248" t="s">
        <v>501</v>
      </c>
      <c r="U14" s="148">
        <v>6</v>
      </c>
      <c r="V14" s="3"/>
      <c r="W14" s="3"/>
      <c r="AE14" s="4"/>
    </row>
    <row r="15" spans="1:32" ht="24.75" customHeight="1">
      <c r="A15" s="88" t="s">
        <v>43</v>
      </c>
      <c r="B15" s="85" t="s">
        <v>43</v>
      </c>
      <c r="C15" s="85" t="s">
        <v>43</v>
      </c>
      <c r="D15" s="85" t="s">
        <v>43</v>
      </c>
      <c r="E15" s="85" t="s">
        <v>43</v>
      </c>
      <c r="F15" s="85" t="s">
        <v>43</v>
      </c>
      <c r="G15" s="85" t="s">
        <v>43</v>
      </c>
      <c r="H15" s="85" t="s">
        <v>43</v>
      </c>
      <c r="I15" s="85" t="s">
        <v>43</v>
      </c>
      <c r="J15" s="237" t="s">
        <v>178</v>
      </c>
      <c r="K15" s="151" t="s">
        <v>592</v>
      </c>
      <c r="L15" s="152">
        <v>41</v>
      </c>
      <c r="M15" s="222">
        <f t="shared" si="1"/>
        <v>41</v>
      </c>
      <c r="N15" s="131" t="s">
        <v>592</v>
      </c>
      <c r="O15" s="131" t="s">
        <v>592</v>
      </c>
      <c r="P15" s="222" t="s">
        <v>592</v>
      </c>
      <c r="Q15" s="152" t="s">
        <v>592</v>
      </c>
      <c r="R15" s="152" t="s">
        <v>592</v>
      </c>
      <c r="S15" s="132" t="s">
        <v>592</v>
      </c>
      <c r="T15" s="260" t="s">
        <v>502</v>
      </c>
      <c r="U15" s="236">
        <v>7</v>
      </c>
      <c r="W15" s="4"/>
    </row>
    <row r="16" spans="1:32" ht="20.25" customHeight="1">
      <c r="A16" s="90" t="s">
        <v>43</v>
      </c>
      <c r="B16" s="86" t="s">
        <v>43</v>
      </c>
      <c r="C16" s="86" t="s">
        <v>43</v>
      </c>
      <c r="D16" s="86" t="s">
        <v>43</v>
      </c>
      <c r="E16" s="86" t="s">
        <v>43</v>
      </c>
      <c r="F16" s="86" t="s">
        <v>43</v>
      </c>
      <c r="G16" s="86" t="s">
        <v>43</v>
      </c>
      <c r="H16" s="86" t="s">
        <v>43</v>
      </c>
      <c r="I16" s="86" t="s">
        <v>43</v>
      </c>
      <c r="J16" s="239" t="s">
        <v>179</v>
      </c>
      <c r="K16" s="154">
        <v>1</v>
      </c>
      <c r="L16" s="155">
        <v>32</v>
      </c>
      <c r="M16" s="135">
        <f t="shared" si="1"/>
        <v>33</v>
      </c>
      <c r="N16" s="134" t="s">
        <v>592</v>
      </c>
      <c r="O16" s="134" t="s">
        <v>592</v>
      </c>
      <c r="P16" s="135" t="s">
        <v>592</v>
      </c>
      <c r="Q16" s="155" t="s">
        <v>592</v>
      </c>
      <c r="R16" s="155" t="s">
        <v>592</v>
      </c>
      <c r="S16" s="141" t="s">
        <v>592</v>
      </c>
      <c r="T16" s="259" t="s">
        <v>503</v>
      </c>
      <c r="U16" s="148">
        <v>8</v>
      </c>
      <c r="V16" s="3"/>
      <c r="W16" s="3"/>
    </row>
    <row r="17" spans="1:21" ht="21.75" customHeight="1">
      <c r="A17" s="88" t="s">
        <v>43</v>
      </c>
      <c r="B17" s="85" t="s">
        <v>43</v>
      </c>
      <c r="C17" s="85" t="s">
        <v>43</v>
      </c>
      <c r="D17" s="85" t="s">
        <v>43</v>
      </c>
      <c r="E17" s="85" t="s">
        <v>43</v>
      </c>
      <c r="F17" s="85" t="s">
        <v>43</v>
      </c>
      <c r="G17" s="85" t="s">
        <v>43</v>
      </c>
      <c r="H17" s="85" t="s">
        <v>43</v>
      </c>
      <c r="I17" s="85" t="s">
        <v>43</v>
      </c>
      <c r="J17" s="237" t="s">
        <v>180</v>
      </c>
      <c r="K17" s="151" t="s">
        <v>592</v>
      </c>
      <c r="L17" s="152" t="s">
        <v>592</v>
      </c>
      <c r="M17" s="222" t="s">
        <v>592</v>
      </c>
      <c r="N17" s="131" t="s">
        <v>592</v>
      </c>
      <c r="O17" s="131" t="s">
        <v>592</v>
      </c>
      <c r="P17" s="222" t="s">
        <v>592</v>
      </c>
      <c r="Q17" s="152" t="s">
        <v>592</v>
      </c>
      <c r="R17" s="152" t="s">
        <v>592</v>
      </c>
      <c r="S17" s="132" t="s">
        <v>592</v>
      </c>
      <c r="T17" s="260" t="s">
        <v>504</v>
      </c>
      <c r="U17" s="236">
        <v>9</v>
      </c>
    </row>
    <row r="18" spans="1:21" ht="28">
      <c r="A18" s="90" t="s">
        <v>43</v>
      </c>
      <c r="B18" s="86" t="s">
        <v>43</v>
      </c>
      <c r="C18" s="86" t="s">
        <v>43</v>
      </c>
      <c r="D18" s="86" t="s">
        <v>43</v>
      </c>
      <c r="E18" s="86" t="s">
        <v>43</v>
      </c>
      <c r="F18" s="86" t="s">
        <v>43</v>
      </c>
      <c r="G18" s="86" t="s">
        <v>43</v>
      </c>
      <c r="H18" s="86" t="s">
        <v>43</v>
      </c>
      <c r="I18" s="86" t="s">
        <v>43</v>
      </c>
      <c r="J18" s="239" t="s">
        <v>181</v>
      </c>
      <c r="K18" s="154">
        <v>10</v>
      </c>
      <c r="L18" s="155">
        <v>67</v>
      </c>
      <c r="M18" s="135">
        <f t="shared" si="1"/>
        <v>77</v>
      </c>
      <c r="N18" s="134" t="s">
        <v>592</v>
      </c>
      <c r="O18" s="134" t="s">
        <v>592</v>
      </c>
      <c r="P18" s="135" t="s">
        <v>592</v>
      </c>
      <c r="Q18" s="155" t="s">
        <v>592</v>
      </c>
      <c r="R18" s="155" t="s">
        <v>592</v>
      </c>
      <c r="S18" s="141" t="s">
        <v>592</v>
      </c>
      <c r="T18" s="259" t="s">
        <v>505</v>
      </c>
      <c r="U18" s="148">
        <v>10</v>
      </c>
    </row>
    <row r="19" spans="1:21" ht="28">
      <c r="A19" s="88" t="s">
        <v>43</v>
      </c>
      <c r="B19" s="85" t="s">
        <v>43</v>
      </c>
      <c r="C19" s="85" t="s">
        <v>43</v>
      </c>
      <c r="D19" s="85" t="s">
        <v>43</v>
      </c>
      <c r="E19" s="85" t="s">
        <v>43</v>
      </c>
      <c r="F19" s="85" t="s">
        <v>43</v>
      </c>
      <c r="G19" s="85" t="s">
        <v>43</v>
      </c>
      <c r="H19" s="85" t="s">
        <v>43</v>
      </c>
      <c r="I19" s="85" t="s">
        <v>43</v>
      </c>
      <c r="J19" s="237" t="s">
        <v>182</v>
      </c>
      <c r="K19" s="151" t="s">
        <v>592</v>
      </c>
      <c r="L19" s="152">
        <v>22</v>
      </c>
      <c r="M19" s="222">
        <f t="shared" si="1"/>
        <v>22</v>
      </c>
      <c r="N19" s="131" t="s">
        <v>592</v>
      </c>
      <c r="O19" s="131" t="s">
        <v>592</v>
      </c>
      <c r="P19" s="222" t="s">
        <v>592</v>
      </c>
      <c r="Q19" s="152" t="s">
        <v>592</v>
      </c>
      <c r="R19" s="152" t="s">
        <v>592</v>
      </c>
      <c r="S19" s="132" t="s">
        <v>592</v>
      </c>
      <c r="T19" s="260" t="s">
        <v>506</v>
      </c>
      <c r="U19" s="236">
        <v>11</v>
      </c>
    </row>
    <row r="20" spans="1:21">
      <c r="A20" s="90" t="s">
        <v>43</v>
      </c>
      <c r="B20" s="86" t="s">
        <v>43</v>
      </c>
      <c r="C20" s="86" t="s">
        <v>43</v>
      </c>
      <c r="D20" s="86" t="s">
        <v>43</v>
      </c>
      <c r="E20" s="86" t="s">
        <v>43</v>
      </c>
      <c r="F20" s="86" t="s">
        <v>43</v>
      </c>
      <c r="G20" s="86" t="s">
        <v>43</v>
      </c>
      <c r="H20" s="86" t="s">
        <v>43</v>
      </c>
      <c r="I20" s="86" t="s">
        <v>43</v>
      </c>
      <c r="J20" s="239" t="s">
        <v>183</v>
      </c>
      <c r="K20" s="154">
        <v>1</v>
      </c>
      <c r="L20" s="155">
        <v>35</v>
      </c>
      <c r="M20" s="135">
        <f t="shared" si="1"/>
        <v>36</v>
      </c>
      <c r="N20" s="134" t="s">
        <v>592</v>
      </c>
      <c r="O20" s="134" t="s">
        <v>592</v>
      </c>
      <c r="P20" s="135" t="s">
        <v>592</v>
      </c>
      <c r="Q20" s="155">
        <v>18</v>
      </c>
      <c r="R20" s="155" t="s">
        <v>592</v>
      </c>
      <c r="S20" s="141">
        <f t="shared" ref="S20:S42" si="2">SUM(Q20:R20)</f>
        <v>18</v>
      </c>
      <c r="T20" s="259" t="s">
        <v>507</v>
      </c>
      <c r="U20" s="148">
        <v>12</v>
      </c>
    </row>
    <row r="21" spans="1:21" ht="28">
      <c r="A21" s="88" t="s">
        <v>43</v>
      </c>
      <c r="B21" s="85" t="s">
        <v>43</v>
      </c>
      <c r="C21" s="85" t="s">
        <v>43</v>
      </c>
      <c r="D21" s="85" t="s">
        <v>43</v>
      </c>
      <c r="E21" s="85" t="s">
        <v>43</v>
      </c>
      <c r="F21" s="85" t="s">
        <v>43</v>
      </c>
      <c r="G21" s="85" t="s">
        <v>43</v>
      </c>
      <c r="H21" s="85" t="s">
        <v>43</v>
      </c>
      <c r="I21" s="85" t="s">
        <v>43</v>
      </c>
      <c r="J21" s="237" t="s">
        <v>184</v>
      </c>
      <c r="K21" s="151" t="s">
        <v>592</v>
      </c>
      <c r="L21" s="152" t="s">
        <v>592</v>
      </c>
      <c r="M21" s="222" t="s">
        <v>592</v>
      </c>
      <c r="N21" s="131" t="s">
        <v>592</v>
      </c>
      <c r="O21" s="131" t="s">
        <v>592</v>
      </c>
      <c r="P21" s="222" t="s">
        <v>592</v>
      </c>
      <c r="Q21" s="152">
        <v>44</v>
      </c>
      <c r="R21" s="152" t="s">
        <v>592</v>
      </c>
      <c r="S21" s="132">
        <f t="shared" si="2"/>
        <v>44</v>
      </c>
      <c r="T21" s="260" t="s">
        <v>508</v>
      </c>
      <c r="U21" s="236">
        <v>13</v>
      </c>
    </row>
    <row r="22" spans="1:21">
      <c r="A22" s="90" t="s">
        <v>43</v>
      </c>
      <c r="B22" s="86" t="s">
        <v>43</v>
      </c>
      <c r="C22" s="86" t="s">
        <v>43</v>
      </c>
      <c r="D22" s="86" t="s">
        <v>43</v>
      </c>
      <c r="E22" s="86" t="s">
        <v>43</v>
      </c>
      <c r="F22" s="86" t="s">
        <v>43</v>
      </c>
      <c r="G22" s="86" t="s">
        <v>43</v>
      </c>
      <c r="H22" s="86" t="s">
        <v>43</v>
      </c>
      <c r="I22" s="86" t="s">
        <v>43</v>
      </c>
      <c r="J22" s="239" t="s">
        <v>185</v>
      </c>
      <c r="K22" s="154">
        <v>1</v>
      </c>
      <c r="L22" s="155">
        <v>35</v>
      </c>
      <c r="M22" s="135">
        <f t="shared" si="1"/>
        <v>36</v>
      </c>
      <c r="N22" s="134" t="s">
        <v>592</v>
      </c>
      <c r="O22" s="134" t="s">
        <v>592</v>
      </c>
      <c r="P22" s="135" t="s">
        <v>592</v>
      </c>
      <c r="Q22" s="155" t="s">
        <v>592</v>
      </c>
      <c r="R22" s="155" t="s">
        <v>592</v>
      </c>
      <c r="S22" s="141" t="s">
        <v>592</v>
      </c>
      <c r="T22" s="259" t="s">
        <v>509</v>
      </c>
      <c r="U22" s="148">
        <v>14</v>
      </c>
    </row>
    <row r="23" spans="1:21" ht="21.75" customHeight="1">
      <c r="A23" s="88" t="s">
        <v>43</v>
      </c>
      <c r="B23" s="85" t="s">
        <v>43</v>
      </c>
      <c r="C23" s="85" t="s">
        <v>43</v>
      </c>
      <c r="D23" s="85" t="s">
        <v>43</v>
      </c>
      <c r="E23" s="85" t="s">
        <v>43</v>
      </c>
      <c r="F23" s="85" t="s">
        <v>43</v>
      </c>
      <c r="G23" s="85" t="s">
        <v>43</v>
      </c>
      <c r="H23" s="85" t="s">
        <v>43</v>
      </c>
      <c r="I23" s="85" t="s">
        <v>43</v>
      </c>
      <c r="J23" s="237" t="s">
        <v>186</v>
      </c>
      <c r="K23" s="151">
        <v>5</v>
      </c>
      <c r="L23" s="152">
        <v>47</v>
      </c>
      <c r="M23" s="222">
        <f t="shared" si="1"/>
        <v>52</v>
      </c>
      <c r="N23" s="131" t="s">
        <v>592</v>
      </c>
      <c r="O23" s="131" t="s">
        <v>592</v>
      </c>
      <c r="P23" s="222" t="s">
        <v>592</v>
      </c>
      <c r="Q23" s="152" t="s">
        <v>592</v>
      </c>
      <c r="R23" s="152" t="s">
        <v>592</v>
      </c>
      <c r="S23" s="132" t="s">
        <v>592</v>
      </c>
      <c r="T23" s="73" t="s">
        <v>511</v>
      </c>
      <c r="U23" s="236">
        <v>15</v>
      </c>
    </row>
    <row r="24" spans="1:21" ht="24" customHeight="1">
      <c r="A24" s="90" t="s">
        <v>43</v>
      </c>
      <c r="B24" s="86" t="s">
        <v>43</v>
      </c>
      <c r="C24" s="86" t="s">
        <v>43</v>
      </c>
      <c r="D24" s="86" t="s">
        <v>43</v>
      </c>
      <c r="E24" s="86" t="s">
        <v>43</v>
      </c>
      <c r="F24" s="86" t="s">
        <v>43</v>
      </c>
      <c r="G24" s="86" t="s">
        <v>43</v>
      </c>
      <c r="H24" s="86" t="s">
        <v>43</v>
      </c>
      <c r="I24" s="86" t="s">
        <v>43</v>
      </c>
      <c r="J24" s="258" t="s">
        <v>187</v>
      </c>
      <c r="K24" s="154">
        <v>4</v>
      </c>
      <c r="L24" s="155">
        <v>26</v>
      </c>
      <c r="M24" s="135">
        <f t="shared" si="1"/>
        <v>30</v>
      </c>
      <c r="N24" s="134" t="s">
        <v>592</v>
      </c>
      <c r="O24" s="134" t="s">
        <v>592</v>
      </c>
      <c r="P24" s="135" t="s">
        <v>592</v>
      </c>
      <c r="Q24" s="155">
        <v>12</v>
      </c>
      <c r="R24" s="155" t="s">
        <v>592</v>
      </c>
      <c r="S24" s="141">
        <f t="shared" si="2"/>
        <v>12</v>
      </c>
      <c r="T24" s="259" t="s">
        <v>510</v>
      </c>
      <c r="U24" s="148">
        <v>16</v>
      </c>
    </row>
    <row r="25" spans="1:21" ht="21" customHeight="1">
      <c r="A25" s="88" t="s">
        <v>43</v>
      </c>
      <c r="B25" s="85" t="s">
        <v>43</v>
      </c>
      <c r="C25" s="85" t="s">
        <v>43</v>
      </c>
      <c r="D25" s="85" t="s">
        <v>43</v>
      </c>
      <c r="E25" s="85" t="s">
        <v>43</v>
      </c>
      <c r="F25" s="85" t="s">
        <v>43</v>
      </c>
      <c r="G25" s="85" t="s">
        <v>43</v>
      </c>
      <c r="H25" s="85" t="s">
        <v>43</v>
      </c>
      <c r="I25" s="85" t="s">
        <v>43</v>
      </c>
      <c r="J25" s="261" t="s">
        <v>188</v>
      </c>
      <c r="K25" s="151">
        <v>4</v>
      </c>
      <c r="L25" s="152">
        <v>40</v>
      </c>
      <c r="M25" s="222">
        <f t="shared" si="1"/>
        <v>44</v>
      </c>
      <c r="N25" s="131" t="s">
        <v>592</v>
      </c>
      <c r="O25" s="131" t="s">
        <v>592</v>
      </c>
      <c r="P25" s="222" t="s">
        <v>592</v>
      </c>
      <c r="Q25" s="152" t="s">
        <v>592</v>
      </c>
      <c r="R25" s="152" t="s">
        <v>592</v>
      </c>
      <c r="S25" s="132" t="s">
        <v>592</v>
      </c>
      <c r="T25" s="260" t="s">
        <v>512</v>
      </c>
      <c r="U25" s="236">
        <v>17</v>
      </c>
    </row>
    <row r="26" spans="1:21" ht="29.25" customHeight="1">
      <c r="A26" s="90" t="s">
        <v>43</v>
      </c>
      <c r="B26" s="86" t="s">
        <v>43</v>
      </c>
      <c r="C26" s="86" t="s">
        <v>43</v>
      </c>
      <c r="D26" s="86" t="s">
        <v>43</v>
      </c>
      <c r="E26" s="86" t="s">
        <v>43</v>
      </c>
      <c r="F26" s="86" t="s">
        <v>43</v>
      </c>
      <c r="G26" s="86" t="s">
        <v>43</v>
      </c>
      <c r="H26" s="86" t="s">
        <v>43</v>
      </c>
      <c r="I26" s="86" t="s">
        <v>43</v>
      </c>
      <c r="J26" s="258" t="s">
        <v>189</v>
      </c>
      <c r="K26" s="154">
        <v>2</v>
      </c>
      <c r="L26" s="155">
        <v>16</v>
      </c>
      <c r="M26" s="135">
        <f t="shared" si="1"/>
        <v>18</v>
      </c>
      <c r="N26" s="134" t="s">
        <v>592</v>
      </c>
      <c r="O26" s="134" t="s">
        <v>592</v>
      </c>
      <c r="P26" s="135" t="s">
        <v>592</v>
      </c>
      <c r="Q26" s="155" t="s">
        <v>592</v>
      </c>
      <c r="R26" s="155" t="s">
        <v>592</v>
      </c>
      <c r="S26" s="141" t="s">
        <v>592</v>
      </c>
      <c r="T26" s="259" t="s">
        <v>513</v>
      </c>
      <c r="U26" s="148">
        <v>18</v>
      </c>
    </row>
    <row r="27" spans="1:21" ht="28.5" customHeight="1">
      <c r="A27" s="88" t="s">
        <v>43</v>
      </c>
      <c r="B27" s="85" t="s">
        <v>43</v>
      </c>
      <c r="C27" s="85" t="s">
        <v>43</v>
      </c>
      <c r="D27" s="85" t="s">
        <v>43</v>
      </c>
      <c r="E27" s="85" t="s">
        <v>43</v>
      </c>
      <c r="F27" s="85" t="s">
        <v>43</v>
      </c>
      <c r="G27" s="85" t="s">
        <v>43</v>
      </c>
      <c r="H27" s="85" t="s">
        <v>43</v>
      </c>
      <c r="I27" s="85" t="s">
        <v>43</v>
      </c>
      <c r="J27" s="261" t="s">
        <v>190</v>
      </c>
      <c r="K27" s="151" t="s">
        <v>592</v>
      </c>
      <c r="L27" s="152">
        <v>12</v>
      </c>
      <c r="M27" s="222">
        <f t="shared" si="1"/>
        <v>12</v>
      </c>
      <c r="N27" s="131" t="s">
        <v>592</v>
      </c>
      <c r="O27" s="131" t="s">
        <v>592</v>
      </c>
      <c r="P27" s="222" t="s">
        <v>592</v>
      </c>
      <c r="Q27" s="152">
        <f>34+13+20</f>
        <v>67</v>
      </c>
      <c r="R27" s="152" t="s">
        <v>592</v>
      </c>
      <c r="S27" s="132">
        <f t="shared" si="2"/>
        <v>67</v>
      </c>
      <c r="T27" s="260" t="s">
        <v>514</v>
      </c>
      <c r="U27" s="236">
        <v>19</v>
      </c>
    </row>
    <row r="28" spans="1:21">
      <c r="A28" s="90" t="s">
        <v>43</v>
      </c>
      <c r="B28" s="86" t="s">
        <v>43</v>
      </c>
      <c r="C28" s="86" t="s">
        <v>43</v>
      </c>
      <c r="D28" s="86" t="s">
        <v>43</v>
      </c>
      <c r="E28" s="86" t="s">
        <v>43</v>
      </c>
      <c r="F28" s="86" t="s">
        <v>43</v>
      </c>
      <c r="G28" s="86" t="s">
        <v>43</v>
      </c>
      <c r="H28" s="86" t="s">
        <v>43</v>
      </c>
      <c r="I28" s="86" t="s">
        <v>43</v>
      </c>
      <c r="J28" s="239" t="s">
        <v>191</v>
      </c>
      <c r="K28" s="154">
        <v>1</v>
      </c>
      <c r="L28" s="155">
        <v>45</v>
      </c>
      <c r="M28" s="135">
        <f t="shared" si="1"/>
        <v>46</v>
      </c>
      <c r="N28" s="134" t="s">
        <v>592</v>
      </c>
      <c r="O28" s="134" t="s">
        <v>592</v>
      </c>
      <c r="P28" s="135" t="s">
        <v>592</v>
      </c>
      <c r="Q28" s="155" t="s">
        <v>592</v>
      </c>
      <c r="R28" s="155" t="s">
        <v>592</v>
      </c>
      <c r="S28" s="141" t="s">
        <v>592</v>
      </c>
      <c r="T28" s="248" t="s">
        <v>515</v>
      </c>
      <c r="U28" s="148">
        <v>20</v>
      </c>
    </row>
    <row r="29" spans="1:21" ht="30" customHeight="1">
      <c r="A29" s="88" t="s">
        <v>43</v>
      </c>
      <c r="B29" s="85" t="s">
        <v>43</v>
      </c>
      <c r="C29" s="85" t="s">
        <v>43</v>
      </c>
      <c r="D29" s="85" t="s">
        <v>43</v>
      </c>
      <c r="E29" s="85" t="s">
        <v>43</v>
      </c>
      <c r="F29" s="85" t="s">
        <v>43</v>
      </c>
      <c r="G29" s="85" t="s">
        <v>43</v>
      </c>
      <c r="H29" s="85" t="s">
        <v>43</v>
      </c>
      <c r="I29" s="85" t="s">
        <v>43</v>
      </c>
      <c r="J29" s="237" t="s">
        <v>192</v>
      </c>
      <c r="K29" s="151">
        <v>1</v>
      </c>
      <c r="L29" s="152">
        <v>44</v>
      </c>
      <c r="M29" s="222">
        <f t="shared" si="1"/>
        <v>45</v>
      </c>
      <c r="N29" s="131" t="s">
        <v>592</v>
      </c>
      <c r="O29" s="131" t="s">
        <v>592</v>
      </c>
      <c r="P29" s="222" t="s">
        <v>592</v>
      </c>
      <c r="Q29" s="152" t="s">
        <v>592</v>
      </c>
      <c r="R29" s="152" t="s">
        <v>592</v>
      </c>
      <c r="S29" s="132" t="s">
        <v>592</v>
      </c>
      <c r="T29" s="260" t="s">
        <v>516</v>
      </c>
      <c r="U29" s="236">
        <v>21</v>
      </c>
    </row>
    <row r="30" spans="1:21" ht="30" customHeight="1">
      <c r="A30" s="90" t="s">
        <v>43</v>
      </c>
      <c r="B30" s="86" t="s">
        <v>43</v>
      </c>
      <c r="C30" s="86" t="s">
        <v>43</v>
      </c>
      <c r="D30" s="86" t="s">
        <v>43</v>
      </c>
      <c r="E30" s="86" t="s">
        <v>43</v>
      </c>
      <c r="F30" s="86" t="s">
        <v>43</v>
      </c>
      <c r="G30" s="86" t="s">
        <v>43</v>
      </c>
      <c r="H30" s="86" t="s">
        <v>43</v>
      </c>
      <c r="I30" s="86" t="s">
        <v>43</v>
      </c>
      <c r="J30" s="258" t="s">
        <v>193</v>
      </c>
      <c r="K30" s="154" t="s">
        <v>592</v>
      </c>
      <c r="L30" s="155">
        <v>37</v>
      </c>
      <c r="M30" s="135">
        <f t="shared" si="1"/>
        <v>37</v>
      </c>
      <c r="N30" s="134" t="s">
        <v>592</v>
      </c>
      <c r="O30" s="134" t="s">
        <v>592</v>
      </c>
      <c r="P30" s="135" t="s">
        <v>592</v>
      </c>
      <c r="Q30" s="155">
        <f>76+20</f>
        <v>96</v>
      </c>
      <c r="R30" s="155" t="s">
        <v>592</v>
      </c>
      <c r="S30" s="141">
        <f t="shared" si="2"/>
        <v>96</v>
      </c>
      <c r="T30" s="248" t="s">
        <v>517</v>
      </c>
      <c r="U30" s="148">
        <v>22</v>
      </c>
    </row>
    <row r="31" spans="1:21" ht="30" customHeight="1">
      <c r="A31" s="88" t="s">
        <v>43</v>
      </c>
      <c r="B31" s="85" t="s">
        <v>43</v>
      </c>
      <c r="C31" s="85" t="s">
        <v>43</v>
      </c>
      <c r="D31" s="85" t="s">
        <v>43</v>
      </c>
      <c r="E31" s="85" t="s">
        <v>43</v>
      </c>
      <c r="F31" s="85" t="s">
        <v>43</v>
      </c>
      <c r="G31" s="85" t="s">
        <v>43</v>
      </c>
      <c r="H31" s="85" t="s">
        <v>43</v>
      </c>
      <c r="I31" s="85" t="s">
        <v>43</v>
      </c>
      <c r="J31" s="261" t="s">
        <v>194</v>
      </c>
      <c r="K31" s="151" t="s">
        <v>592</v>
      </c>
      <c r="L31" s="152" t="s">
        <v>592</v>
      </c>
      <c r="M31" s="222" t="s">
        <v>592</v>
      </c>
      <c r="N31" s="131" t="s">
        <v>592</v>
      </c>
      <c r="O31" s="131" t="s">
        <v>592</v>
      </c>
      <c r="P31" s="222" t="s">
        <v>592</v>
      </c>
      <c r="Q31" s="152" t="s">
        <v>592</v>
      </c>
      <c r="R31" s="152" t="s">
        <v>592</v>
      </c>
      <c r="S31" s="132" t="s">
        <v>592</v>
      </c>
      <c r="T31" s="73" t="s">
        <v>518</v>
      </c>
      <c r="U31" s="236">
        <v>23</v>
      </c>
    </row>
    <row r="32" spans="1:21" ht="27.75" customHeight="1">
      <c r="A32" s="90" t="s">
        <v>43</v>
      </c>
      <c r="B32" s="86" t="s">
        <v>43</v>
      </c>
      <c r="C32" s="86" t="s">
        <v>43</v>
      </c>
      <c r="D32" s="86" t="s">
        <v>43</v>
      </c>
      <c r="E32" s="86" t="s">
        <v>43</v>
      </c>
      <c r="F32" s="86" t="s">
        <v>43</v>
      </c>
      <c r="G32" s="86" t="s">
        <v>43</v>
      </c>
      <c r="H32" s="86" t="s">
        <v>43</v>
      </c>
      <c r="I32" s="86" t="s">
        <v>43</v>
      </c>
      <c r="J32" s="258" t="s">
        <v>195</v>
      </c>
      <c r="K32" s="154" t="s">
        <v>592</v>
      </c>
      <c r="L32" s="155">
        <v>15</v>
      </c>
      <c r="M32" s="135">
        <f t="shared" si="1"/>
        <v>15</v>
      </c>
      <c r="N32" s="134" t="s">
        <v>592</v>
      </c>
      <c r="O32" s="134" t="s">
        <v>592</v>
      </c>
      <c r="P32" s="135" t="s">
        <v>592</v>
      </c>
      <c r="Q32" s="155" t="s">
        <v>592</v>
      </c>
      <c r="R32" s="155" t="s">
        <v>592</v>
      </c>
      <c r="S32" s="141" t="s">
        <v>592</v>
      </c>
      <c r="T32" s="248" t="s">
        <v>519</v>
      </c>
      <c r="U32" s="148">
        <v>24</v>
      </c>
    </row>
    <row r="33" spans="1:28" ht="28.5" customHeight="1">
      <c r="A33" s="88" t="s">
        <v>43</v>
      </c>
      <c r="B33" s="85" t="s">
        <v>43</v>
      </c>
      <c r="C33" s="85" t="s">
        <v>43</v>
      </c>
      <c r="D33" s="85" t="s">
        <v>43</v>
      </c>
      <c r="E33" s="85" t="s">
        <v>43</v>
      </c>
      <c r="F33" s="85" t="s">
        <v>43</v>
      </c>
      <c r="G33" s="85" t="s">
        <v>43</v>
      </c>
      <c r="H33" s="85" t="s">
        <v>43</v>
      </c>
      <c r="I33" s="85" t="s">
        <v>43</v>
      </c>
      <c r="J33" s="261" t="s">
        <v>196</v>
      </c>
      <c r="K33" s="151">
        <v>13</v>
      </c>
      <c r="L33" s="152">
        <v>41</v>
      </c>
      <c r="M33" s="222">
        <f t="shared" si="1"/>
        <v>54</v>
      </c>
      <c r="N33" s="131" t="s">
        <v>592</v>
      </c>
      <c r="O33" s="131" t="s">
        <v>592</v>
      </c>
      <c r="P33" s="222" t="s">
        <v>592</v>
      </c>
      <c r="Q33" s="152" t="s">
        <v>592</v>
      </c>
      <c r="R33" s="152" t="s">
        <v>592</v>
      </c>
      <c r="S33" s="132" t="s">
        <v>592</v>
      </c>
      <c r="T33" s="260" t="s">
        <v>520</v>
      </c>
      <c r="U33" s="236">
        <v>25</v>
      </c>
    </row>
    <row r="34" spans="1:28" ht="28">
      <c r="A34" s="90" t="s">
        <v>43</v>
      </c>
      <c r="B34" s="86" t="s">
        <v>43</v>
      </c>
      <c r="C34" s="86" t="s">
        <v>43</v>
      </c>
      <c r="D34" s="86" t="s">
        <v>43</v>
      </c>
      <c r="E34" s="86" t="s">
        <v>43</v>
      </c>
      <c r="F34" s="86" t="s">
        <v>43</v>
      </c>
      <c r="G34" s="86" t="s">
        <v>43</v>
      </c>
      <c r="H34" s="86" t="s">
        <v>43</v>
      </c>
      <c r="I34" s="86" t="s">
        <v>43</v>
      </c>
      <c r="J34" s="258" t="s">
        <v>198</v>
      </c>
      <c r="K34" s="154">
        <v>3</v>
      </c>
      <c r="L34" s="155">
        <v>10</v>
      </c>
      <c r="M34" s="135">
        <f t="shared" si="1"/>
        <v>13</v>
      </c>
      <c r="N34" s="134" t="s">
        <v>592</v>
      </c>
      <c r="O34" s="134" t="s">
        <v>592</v>
      </c>
      <c r="P34" s="135" t="s">
        <v>592</v>
      </c>
      <c r="Q34" s="155" t="s">
        <v>592</v>
      </c>
      <c r="R34" s="155" t="s">
        <v>592</v>
      </c>
      <c r="S34" s="141" t="s">
        <v>592</v>
      </c>
      <c r="T34" s="259" t="s">
        <v>521</v>
      </c>
      <c r="U34" s="148">
        <v>26</v>
      </c>
    </row>
    <row r="35" spans="1:28" ht="28.5" customHeight="1">
      <c r="A35" s="88" t="s">
        <v>43</v>
      </c>
      <c r="B35" s="85" t="s">
        <v>43</v>
      </c>
      <c r="C35" s="85" t="s">
        <v>43</v>
      </c>
      <c r="D35" s="85" t="s">
        <v>43</v>
      </c>
      <c r="E35" s="85" t="s">
        <v>43</v>
      </c>
      <c r="F35" s="85" t="s">
        <v>43</v>
      </c>
      <c r="G35" s="85" t="s">
        <v>43</v>
      </c>
      <c r="H35" s="85" t="s">
        <v>43</v>
      </c>
      <c r="I35" s="85" t="s">
        <v>43</v>
      </c>
      <c r="J35" s="262" t="s">
        <v>199</v>
      </c>
      <c r="K35" s="151" t="s">
        <v>592</v>
      </c>
      <c r="L35" s="152">
        <v>8</v>
      </c>
      <c r="M35" s="222">
        <f t="shared" si="1"/>
        <v>8</v>
      </c>
      <c r="N35" s="131" t="s">
        <v>592</v>
      </c>
      <c r="O35" s="131" t="s">
        <v>592</v>
      </c>
      <c r="P35" s="222" t="s">
        <v>592</v>
      </c>
      <c r="Q35" s="152" t="s">
        <v>592</v>
      </c>
      <c r="R35" s="152" t="s">
        <v>592</v>
      </c>
      <c r="S35" s="132" t="s">
        <v>592</v>
      </c>
      <c r="T35" s="263" t="s">
        <v>522</v>
      </c>
      <c r="U35" s="236">
        <v>27</v>
      </c>
    </row>
    <row r="36" spans="1:28" ht="24" customHeight="1">
      <c r="A36" s="90" t="s">
        <v>43</v>
      </c>
      <c r="B36" s="86" t="s">
        <v>43</v>
      </c>
      <c r="C36" s="86" t="s">
        <v>43</v>
      </c>
      <c r="D36" s="86" t="s">
        <v>43</v>
      </c>
      <c r="E36" s="86" t="s">
        <v>43</v>
      </c>
      <c r="F36" s="86" t="s">
        <v>43</v>
      </c>
      <c r="G36" s="86" t="s">
        <v>43</v>
      </c>
      <c r="H36" s="86" t="s">
        <v>43</v>
      </c>
      <c r="I36" s="86" t="s">
        <v>43</v>
      </c>
      <c r="J36" s="258" t="s">
        <v>200</v>
      </c>
      <c r="K36" s="154">
        <v>14</v>
      </c>
      <c r="L36" s="155">
        <v>49</v>
      </c>
      <c r="M36" s="135">
        <f t="shared" si="1"/>
        <v>63</v>
      </c>
      <c r="N36" s="134" t="s">
        <v>592</v>
      </c>
      <c r="O36" s="134" t="s">
        <v>592</v>
      </c>
      <c r="P36" s="135" t="s">
        <v>592</v>
      </c>
      <c r="Q36" s="155" t="s">
        <v>592</v>
      </c>
      <c r="R36" s="155" t="s">
        <v>592</v>
      </c>
      <c r="S36" s="141" t="s">
        <v>592</v>
      </c>
      <c r="T36" s="259" t="s">
        <v>523</v>
      </c>
      <c r="U36" s="148">
        <v>28</v>
      </c>
    </row>
    <row r="37" spans="1:28" ht="21.75" customHeight="1">
      <c r="A37" s="88" t="s">
        <v>43</v>
      </c>
      <c r="B37" s="85" t="s">
        <v>43</v>
      </c>
      <c r="C37" s="85" t="s">
        <v>43</v>
      </c>
      <c r="D37" s="85" t="s">
        <v>43</v>
      </c>
      <c r="E37" s="85" t="s">
        <v>43</v>
      </c>
      <c r="F37" s="85" t="s">
        <v>43</v>
      </c>
      <c r="G37" s="85" t="s">
        <v>43</v>
      </c>
      <c r="H37" s="85" t="s">
        <v>43</v>
      </c>
      <c r="I37" s="85" t="s">
        <v>43</v>
      </c>
      <c r="J37" s="264" t="s">
        <v>201</v>
      </c>
      <c r="K37" s="151">
        <v>8</v>
      </c>
      <c r="L37" s="152">
        <v>46</v>
      </c>
      <c r="M37" s="222">
        <f t="shared" si="1"/>
        <v>54</v>
      </c>
      <c r="N37" s="131" t="s">
        <v>592</v>
      </c>
      <c r="O37" s="131" t="s">
        <v>592</v>
      </c>
      <c r="P37" s="222" t="s">
        <v>592</v>
      </c>
      <c r="Q37" s="152" t="s">
        <v>592</v>
      </c>
      <c r="R37" s="152" t="s">
        <v>592</v>
      </c>
      <c r="S37" s="132" t="s">
        <v>592</v>
      </c>
      <c r="T37" s="260" t="s">
        <v>524</v>
      </c>
      <c r="U37" s="236">
        <v>29</v>
      </c>
    </row>
    <row r="38" spans="1:28" ht="31.5" customHeight="1">
      <c r="A38" s="90" t="s">
        <v>43</v>
      </c>
      <c r="B38" s="86" t="s">
        <v>43</v>
      </c>
      <c r="C38" s="86" t="s">
        <v>43</v>
      </c>
      <c r="D38" s="86" t="s">
        <v>43</v>
      </c>
      <c r="E38" s="86" t="s">
        <v>43</v>
      </c>
      <c r="F38" s="86" t="s">
        <v>43</v>
      </c>
      <c r="G38" s="86" t="s">
        <v>43</v>
      </c>
      <c r="H38" s="86" t="s">
        <v>43</v>
      </c>
      <c r="I38" s="86" t="s">
        <v>43</v>
      </c>
      <c r="J38" s="265" t="s">
        <v>202</v>
      </c>
      <c r="K38" s="154">
        <v>8</v>
      </c>
      <c r="L38" s="155">
        <v>22</v>
      </c>
      <c r="M38" s="135">
        <f t="shared" si="1"/>
        <v>30</v>
      </c>
      <c r="N38" s="134" t="s">
        <v>592</v>
      </c>
      <c r="O38" s="134" t="s">
        <v>592</v>
      </c>
      <c r="P38" s="135" t="s">
        <v>592</v>
      </c>
      <c r="Q38" s="155" t="s">
        <v>592</v>
      </c>
      <c r="R38" s="155" t="s">
        <v>592</v>
      </c>
      <c r="S38" s="141" t="s">
        <v>592</v>
      </c>
      <c r="T38" s="259" t="s">
        <v>525</v>
      </c>
      <c r="U38" s="148">
        <v>30</v>
      </c>
    </row>
    <row r="39" spans="1:28" ht="23.25" customHeight="1">
      <c r="A39" s="88" t="s">
        <v>43</v>
      </c>
      <c r="B39" s="85" t="s">
        <v>43</v>
      </c>
      <c r="C39" s="85" t="s">
        <v>43</v>
      </c>
      <c r="D39" s="85" t="s">
        <v>43</v>
      </c>
      <c r="E39" s="85" t="s">
        <v>43</v>
      </c>
      <c r="F39" s="85" t="s">
        <v>43</v>
      </c>
      <c r="G39" s="85" t="s">
        <v>43</v>
      </c>
      <c r="H39" s="85" t="s">
        <v>43</v>
      </c>
      <c r="I39" s="85" t="s">
        <v>43</v>
      </c>
      <c r="J39" s="264" t="s">
        <v>203</v>
      </c>
      <c r="K39" s="151">
        <v>39</v>
      </c>
      <c r="L39" s="152">
        <v>35</v>
      </c>
      <c r="M39" s="222">
        <f t="shared" si="1"/>
        <v>74</v>
      </c>
      <c r="N39" s="131" t="s">
        <v>592</v>
      </c>
      <c r="O39" s="131" t="s">
        <v>592</v>
      </c>
      <c r="P39" s="222" t="s">
        <v>592</v>
      </c>
      <c r="Q39" s="152" t="s">
        <v>592</v>
      </c>
      <c r="R39" s="152" t="s">
        <v>592</v>
      </c>
      <c r="S39" s="132" t="s">
        <v>592</v>
      </c>
      <c r="T39" s="260" t="s">
        <v>637</v>
      </c>
      <c r="U39" s="236">
        <v>31</v>
      </c>
    </row>
    <row r="40" spans="1:28" ht="24" customHeight="1">
      <c r="A40" s="90" t="s">
        <v>43</v>
      </c>
      <c r="B40" s="86" t="s">
        <v>43</v>
      </c>
      <c r="C40" s="86" t="s">
        <v>43</v>
      </c>
      <c r="D40" s="86" t="s">
        <v>43</v>
      </c>
      <c r="E40" s="86" t="s">
        <v>43</v>
      </c>
      <c r="F40" s="86" t="s">
        <v>43</v>
      </c>
      <c r="G40" s="86" t="s">
        <v>43</v>
      </c>
      <c r="H40" s="86" t="s">
        <v>43</v>
      </c>
      <c r="I40" s="86" t="s">
        <v>43</v>
      </c>
      <c r="J40" s="265" t="s">
        <v>204</v>
      </c>
      <c r="K40" s="154">
        <v>5</v>
      </c>
      <c r="L40" s="155">
        <v>39</v>
      </c>
      <c r="M40" s="135">
        <f t="shared" si="1"/>
        <v>44</v>
      </c>
      <c r="N40" s="134" t="s">
        <v>592</v>
      </c>
      <c r="O40" s="134" t="s">
        <v>592</v>
      </c>
      <c r="P40" s="135" t="s">
        <v>592</v>
      </c>
      <c r="Q40" s="155" t="s">
        <v>592</v>
      </c>
      <c r="R40" s="155" t="s">
        <v>592</v>
      </c>
      <c r="S40" s="141" t="s">
        <v>592</v>
      </c>
      <c r="T40" s="266" t="s">
        <v>526</v>
      </c>
      <c r="U40" s="148">
        <v>32</v>
      </c>
    </row>
    <row r="41" spans="1:28" ht="29.25" customHeight="1">
      <c r="A41" s="88" t="s">
        <v>43</v>
      </c>
      <c r="B41" s="85" t="s">
        <v>43</v>
      </c>
      <c r="C41" s="85" t="s">
        <v>43</v>
      </c>
      <c r="D41" s="85" t="s">
        <v>43</v>
      </c>
      <c r="E41" s="85" t="s">
        <v>43</v>
      </c>
      <c r="F41" s="85" t="s">
        <v>43</v>
      </c>
      <c r="G41" s="85" t="s">
        <v>43</v>
      </c>
      <c r="H41" s="85" t="s">
        <v>43</v>
      </c>
      <c r="I41" s="85" t="s">
        <v>43</v>
      </c>
      <c r="J41" s="264" t="s">
        <v>205</v>
      </c>
      <c r="K41" s="151">
        <v>5</v>
      </c>
      <c r="L41" s="152">
        <v>27</v>
      </c>
      <c r="M41" s="222">
        <f t="shared" si="1"/>
        <v>32</v>
      </c>
      <c r="N41" s="131" t="s">
        <v>592</v>
      </c>
      <c r="O41" s="131" t="s">
        <v>592</v>
      </c>
      <c r="P41" s="222" t="s">
        <v>592</v>
      </c>
      <c r="Q41" s="152" t="s">
        <v>592</v>
      </c>
      <c r="R41" s="152" t="s">
        <v>592</v>
      </c>
      <c r="S41" s="132" t="s">
        <v>592</v>
      </c>
      <c r="T41" s="312" t="s">
        <v>527</v>
      </c>
      <c r="U41" s="236">
        <v>33</v>
      </c>
    </row>
    <row r="42" spans="1:28" ht="28.5" customHeight="1">
      <c r="A42" s="90" t="s">
        <v>43</v>
      </c>
      <c r="B42" s="86" t="s">
        <v>43</v>
      </c>
      <c r="C42" s="86" t="s">
        <v>43</v>
      </c>
      <c r="D42" s="86" t="s">
        <v>43</v>
      </c>
      <c r="E42" s="86" t="s">
        <v>43</v>
      </c>
      <c r="F42" s="86" t="s">
        <v>43</v>
      </c>
      <c r="G42" s="86" t="s">
        <v>43</v>
      </c>
      <c r="H42" s="86" t="s">
        <v>43</v>
      </c>
      <c r="I42" s="86" t="s">
        <v>43</v>
      </c>
      <c r="J42" s="265" t="s">
        <v>206</v>
      </c>
      <c r="K42" s="154">
        <v>2</v>
      </c>
      <c r="L42" s="155">
        <v>16</v>
      </c>
      <c r="M42" s="135">
        <f t="shared" si="1"/>
        <v>18</v>
      </c>
      <c r="N42" s="134" t="s">
        <v>592</v>
      </c>
      <c r="O42" s="134" t="s">
        <v>592</v>
      </c>
      <c r="P42" s="135" t="s">
        <v>592</v>
      </c>
      <c r="Q42" s="155">
        <f>38+22+23</f>
        <v>83</v>
      </c>
      <c r="R42" s="155" t="s">
        <v>592</v>
      </c>
      <c r="S42" s="141">
        <f t="shared" si="2"/>
        <v>83</v>
      </c>
      <c r="T42" s="259" t="s">
        <v>528</v>
      </c>
      <c r="U42" s="148">
        <v>34</v>
      </c>
    </row>
    <row r="43" spans="1:28" ht="27" customHeight="1">
      <c r="A43" s="88" t="s">
        <v>43</v>
      </c>
      <c r="B43" s="85" t="s">
        <v>43</v>
      </c>
      <c r="C43" s="85" t="s">
        <v>43</v>
      </c>
      <c r="D43" s="85" t="s">
        <v>43</v>
      </c>
      <c r="E43" s="85" t="s">
        <v>43</v>
      </c>
      <c r="F43" s="85" t="s">
        <v>43</v>
      </c>
      <c r="G43" s="85" t="s">
        <v>43</v>
      </c>
      <c r="H43" s="85" t="s">
        <v>43</v>
      </c>
      <c r="I43" s="85" t="s">
        <v>43</v>
      </c>
      <c r="J43" s="264" t="s">
        <v>207</v>
      </c>
      <c r="K43" s="151" t="s">
        <v>592</v>
      </c>
      <c r="L43" s="152">
        <v>15</v>
      </c>
      <c r="M43" s="222">
        <f t="shared" si="1"/>
        <v>15</v>
      </c>
      <c r="N43" s="131" t="s">
        <v>592</v>
      </c>
      <c r="O43" s="131" t="s">
        <v>592</v>
      </c>
      <c r="P43" s="222" t="s">
        <v>592</v>
      </c>
      <c r="Q43" s="152" t="s">
        <v>592</v>
      </c>
      <c r="R43" s="152" t="s">
        <v>592</v>
      </c>
      <c r="S43" s="132" t="s">
        <v>592</v>
      </c>
      <c r="T43" s="267" t="s">
        <v>529</v>
      </c>
      <c r="U43" s="236">
        <v>35</v>
      </c>
    </row>
    <row r="44" spans="1:28" ht="28.5" customHeight="1">
      <c r="A44" s="90" t="s">
        <v>43</v>
      </c>
      <c r="B44" s="86" t="s">
        <v>43</v>
      </c>
      <c r="C44" s="86" t="s">
        <v>43</v>
      </c>
      <c r="D44" s="86" t="s">
        <v>43</v>
      </c>
      <c r="E44" s="86" t="s">
        <v>43</v>
      </c>
      <c r="F44" s="86" t="s">
        <v>43</v>
      </c>
      <c r="G44" s="86" t="s">
        <v>43</v>
      </c>
      <c r="H44" s="86" t="s">
        <v>43</v>
      </c>
      <c r="I44" s="86" t="s">
        <v>43</v>
      </c>
      <c r="J44" s="265" t="s">
        <v>208</v>
      </c>
      <c r="K44" s="154" t="s">
        <v>592</v>
      </c>
      <c r="L44" s="155">
        <v>20</v>
      </c>
      <c r="M44" s="135">
        <f t="shared" si="1"/>
        <v>20</v>
      </c>
      <c r="N44" s="134" t="s">
        <v>592</v>
      </c>
      <c r="O44" s="134" t="s">
        <v>592</v>
      </c>
      <c r="P44" s="135" t="s">
        <v>592</v>
      </c>
      <c r="Q44" s="155" t="s">
        <v>592</v>
      </c>
      <c r="R44" s="155" t="s">
        <v>592</v>
      </c>
      <c r="S44" s="141" t="s">
        <v>592</v>
      </c>
      <c r="T44" s="248" t="s">
        <v>530</v>
      </c>
      <c r="U44" s="148">
        <v>36</v>
      </c>
    </row>
    <row r="45" spans="1:28" ht="30" customHeight="1">
      <c r="A45" s="88" t="s">
        <v>43</v>
      </c>
      <c r="B45" s="85" t="s">
        <v>43</v>
      </c>
      <c r="C45" s="85" t="s">
        <v>43</v>
      </c>
      <c r="D45" s="85" t="s">
        <v>43</v>
      </c>
      <c r="E45" s="85" t="s">
        <v>43</v>
      </c>
      <c r="F45" s="85" t="s">
        <v>43</v>
      </c>
      <c r="G45" s="85" t="s">
        <v>43</v>
      </c>
      <c r="H45" s="85" t="s">
        <v>43</v>
      </c>
      <c r="I45" s="85" t="s">
        <v>43</v>
      </c>
      <c r="J45" s="268" t="s">
        <v>209</v>
      </c>
      <c r="K45" s="151">
        <v>4</v>
      </c>
      <c r="L45" s="152">
        <v>49</v>
      </c>
      <c r="M45" s="222">
        <f t="shared" si="1"/>
        <v>53</v>
      </c>
      <c r="N45" s="131" t="s">
        <v>592</v>
      </c>
      <c r="O45" s="131" t="s">
        <v>592</v>
      </c>
      <c r="P45" s="222" t="s">
        <v>592</v>
      </c>
      <c r="Q45" s="152" t="s">
        <v>592</v>
      </c>
      <c r="R45" s="152" t="s">
        <v>592</v>
      </c>
      <c r="S45" s="132" t="s">
        <v>592</v>
      </c>
      <c r="T45" s="260" t="s">
        <v>531</v>
      </c>
      <c r="U45" s="236">
        <v>37</v>
      </c>
    </row>
    <row r="46" spans="1:28" ht="34.5" customHeight="1">
      <c r="A46" s="90" t="s">
        <v>43</v>
      </c>
      <c r="B46" s="86" t="s">
        <v>43</v>
      </c>
      <c r="C46" s="86" t="s">
        <v>43</v>
      </c>
      <c r="D46" s="86" t="s">
        <v>43</v>
      </c>
      <c r="E46" s="86" t="s">
        <v>43</v>
      </c>
      <c r="F46" s="86" t="s">
        <v>43</v>
      </c>
      <c r="G46" s="86" t="s">
        <v>43</v>
      </c>
      <c r="H46" s="86" t="s">
        <v>43</v>
      </c>
      <c r="I46" s="86" t="s">
        <v>43</v>
      </c>
      <c r="J46" s="265" t="s">
        <v>210</v>
      </c>
      <c r="K46" s="154">
        <v>17</v>
      </c>
      <c r="L46" s="155">
        <v>29</v>
      </c>
      <c r="M46" s="135">
        <f t="shared" si="1"/>
        <v>46</v>
      </c>
      <c r="N46" s="134" t="s">
        <v>592</v>
      </c>
      <c r="O46" s="134" t="s">
        <v>592</v>
      </c>
      <c r="P46" s="135" t="s">
        <v>592</v>
      </c>
      <c r="Q46" s="155" t="s">
        <v>592</v>
      </c>
      <c r="R46" s="155" t="s">
        <v>592</v>
      </c>
      <c r="S46" s="141" t="s">
        <v>592</v>
      </c>
      <c r="T46" s="248" t="s">
        <v>532</v>
      </c>
      <c r="U46" s="148">
        <v>38</v>
      </c>
    </row>
    <row r="47" spans="1:28" ht="28.5" customHeight="1">
      <c r="A47" s="88" t="s">
        <v>43</v>
      </c>
      <c r="B47" s="85" t="s">
        <v>43</v>
      </c>
      <c r="C47" s="85" t="s">
        <v>43</v>
      </c>
      <c r="D47" s="85" t="s">
        <v>43</v>
      </c>
      <c r="E47" s="85" t="s">
        <v>43</v>
      </c>
      <c r="F47" s="85" t="s">
        <v>43</v>
      </c>
      <c r="G47" s="85" t="s">
        <v>43</v>
      </c>
      <c r="H47" s="85" t="s">
        <v>43</v>
      </c>
      <c r="I47" s="85" t="s">
        <v>43</v>
      </c>
      <c r="J47" s="269" t="s">
        <v>211</v>
      </c>
      <c r="K47" s="223">
        <v>19</v>
      </c>
      <c r="L47" s="224">
        <v>19</v>
      </c>
      <c r="M47" s="225">
        <f t="shared" si="1"/>
        <v>38</v>
      </c>
      <c r="N47" s="226" t="s">
        <v>592</v>
      </c>
      <c r="O47" s="226" t="s">
        <v>592</v>
      </c>
      <c r="P47" s="225" t="s">
        <v>592</v>
      </c>
      <c r="Q47" s="224" t="s">
        <v>592</v>
      </c>
      <c r="R47" s="224" t="s">
        <v>592</v>
      </c>
      <c r="S47" s="227" t="s">
        <v>592</v>
      </c>
      <c r="T47" s="270" t="s">
        <v>533</v>
      </c>
      <c r="U47" s="235">
        <v>39</v>
      </c>
      <c r="Y47" s="8"/>
      <c r="Z47" s="8"/>
      <c r="AA47" s="8"/>
      <c r="AB47" s="17"/>
    </row>
    <row r="48" spans="1:28" ht="16">
      <c r="A48" s="90" t="s">
        <v>43</v>
      </c>
      <c r="B48" s="86" t="s">
        <v>43</v>
      </c>
      <c r="C48" s="86" t="s">
        <v>43</v>
      </c>
      <c r="D48" s="86" t="s">
        <v>43</v>
      </c>
      <c r="E48" s="86" t="s">
        <v>43</v>
      </c>
      <c r="F48" s="86" t="s">
        <v>43</v>
      </c>
      <c r="G48" s="86" t="s">
        <v>43</v>
      </c>
      <c r="H48" s="86" t="s">
        <v>43</v>
      </c>
      <c r="I48" s="86" t="s">
        <v>43</v>
      </c>
      <c r="J48" s="374" t="s">
        <v>197</v>
      </c>
      <c r="K48" s="1385"/>
      <c r="L48" s="1385"/>
      <c r="M48" s="1385"/>
      <c r="N48" s="1385"/>
      <c r="O48" s="1385"/>
      <c r="P48" s="1385"/>
      <c r="Q48" s="1386" t="s">
        <v>569</v>
      </c>
      <c r="R48" s="1386"/>
      <c r="S48" s="1386"/>
      <c r="T48" s="1386"/>
      <c r="U48" s="1386"/>
    </row>
    <row r="49" spans="1:21" ht="26.25" customHeight="1">
      <c r="A49" s="90" t="s">
        <v>43</v>
      </c>
      <c r="B49" s="86" t="s">
        <v>43</v>
      </c>
      <c r="C49" s="86" t="s">
        <v>43</v>
      </c>
      <c r="D49" s="86" t="s">
        <v>43</v>
      </c>
      <c r="E49" s="86" t="s">
        <v>43</v>
      </c>
      <c r="F49" s="86" t="s">
        <v>43</v>
      </c>
      <c r="G49" s="86" t="s">
        <v>43</v>
      </c>
      <c r="H49" s="86" t="s">
        <v>43</v>
      </c>
      <c r="I49" s="86" t="s">
        <v>43</v>
      </c>
      <c r="J49" s="1365" t="s">
        <v>170</v>
      </c>
      <c r="K49" s="1273" t="s">
        <v>343</v>
      </c>
      <c r="L49" s="1274"/>
      <c r="M49" s="1274"/>
      <c r="N49" s="1274"/>
      <c r="O49" s="1274"/>
      <c r="P49" s="1274"/>
      <c r="Q49" s="1274"/>
      <c r="R49" s="1274"/>
      <c r="S49" s="1275"/>
      <c r="T49" s="1365" t="s">
        <v>72</v>
      </c>
      <c r="U49" s="1370" t="s">
        <v>491</v>
      </c>
    </row>
    <row r="50" spans="1:21" ht="21" customHeight="1">
      <c r="A50" s="89" t="s">
        <v>43</v>
      </c>
      <c r="B50" s="87" t="s">
        <v>43</v>
      </c>
      <c r="C50" s="87" t="s">
        <v>43</v>
      </c>
      <c r="D50" s="87" t="s">
        <v>43</v>
      </c>
      <c r="E50" s="87" t="s">
        <v>43</v>
      </c>
      <c r="F50" s="87" t="s">
        <v>43</v>
      </c>
      <c r="G50" s="87" t="s">
        <v>43</v>
      </c>
      <c r="H50" s="87" t="s">
        <v>43</v>
      </c>
      <c r="I50" s="87" t="s">
        <v>43</v>
      </c>
      <c r="J50" s="1365"/>
      <c r="K50" s="1262" t="s">
        <v>78</v>
      </c>
      <c r="L50" s="1372"/>
      <c r="M50" s="1373"/>
      <c r="N50" s="1374" t="s">
        <v>534</v>
      </c>
      <c r="O50" s="1375"/>
      <c r="P50" s="1376"/>
      <c r="Q50" s="1262" t="s">
        <v>253</v>
      </c>
      <c r="R50" s="1372"/>
      <c r="S50" s="1373"/>
      <c r="T50" s="1365"/>
      <c r="U50" s="1370"/>
    </row>
    <row r="51" spans="1:21" ht="19" customHeight="1">
      <c r="J51" s="1365"/>
      <c r="K51" s="1262" t="s">
        <v>168</v>
      </c>
      <c r="L51" s="1372"/>
      <c r="M51" s="1373"/>
      <c r="N51" s="1374" t="s">
        <v>171</v>
      </c>
      <c r="O51" s="1375"/>
      <c r="P51" s="1376"/>
      <c r="Q51" s="1262" t="s">
        <v>137</v>
      </c>
      <c r="R51" s="1372"/>
      <c r="S51" s="1373"/>
      <c r="T51" s="1365"/>
      <c r="U51" s="1370"/>
    </row>
    <row r="52" spans="1:21" ht="32.25" customHeight="1">
      <c r="J52" s="1277"/>
      <c r="K52" s="305" t="s">
        <v>493</v>
      </c>
      <c r="L52" s="305" t="s">
        <v>494</v>
      </c>
      <c r="M52" s="305" t="s">
        <v>492</v>
      </c>
      <c r="N52" s="305" t="s">
        <v>493</v>
      </c>
      <c r="O52" s="305" t="s">
        <v>494</v>
      </c>
      <c r="P52" s="305" t="s">
        <v>492</v>
      </c>
      <c r="Q52" s="305" t="s">
        <v>493</v>
      </c>
      <c r="R52" s="305" t="s">
        <v>494</v>
      </c>
      <c r="S52" s="305" t="s">
        <v>492</v>
      </c>
      <c r="T52" s="1277"/>
      <c r="U52" s="1371"/>
    </row>
    <row r="53" spans="1:21" ht="30" customHeight="1">
      <c r="A53" s="1377">
        <v>1399</v>
      </c>
      <c r="B53" s="1377"/>
      <c r="C53" s="1377"/>
      <c r="D53" s="1377"/>
      <c r="E53" s="1377"/>
      <c r="F53" s="1377"/>
      <c r="G53" s="1377"/>
      <c r="H53" s="1377"/>
      <c r="I53" s="1378"/>
      <c r="J53" s="265" t="s">
        <v>212</v>
      </c>
      <c r="K53" s="362">
        <v>4</v>
      </c>
      <c r="L53" s="303">
        <v>11</v>
      </c>
      <c r="M53" s="304">
        <f>SUM(K53:L53)</f>
        <v>15</v>
      </c>
      <c r="N53" s="362" t="s">
        <v>592</v>
      </c>
      <c r="O53" s="303" t="s">
        <v>592</v>
      </c>
      <c r="P53" s="304" t="s">
        <v>592</v>
      </c>
      <c r="Q53" s="134" t="s">
        <v>592</v>
      </c>
      <c r="R53" s="134" t="s">
        <v>592</v>
      </c>
      <c r="S53" s="228" t="s">
        <v>592</v>
      </c>
      <c r="T53" s="259" t="s">
        <v>535</v>
      </c>
      <c r="U53" s="148">
        <v>40</v>
      </c>
    </row>
    <row r="54" spans="1:21" ht="30" customHeight="1">
      <c r="A54" s="119"/>
      <c r="B54" s="119"/>
      <c r="C54" s="119"/>
      <c r="D54" s="119"/>
      <c r="E54" s="119"/>
      <c r="F54" s="119"/>
      <c r="G54" s="119"/>
      <c r="H54" s="119"/>
      <c r="I54" s="310"/>
      <c r="J54" s="268" t="s">
        <v>213</v>
      </c>
      <c r="K54" s="130">
        <v>1</v>
      </c>
      <c r="L54" s="131">
        <v>19</v>
      </c>
      <c r="M54" s="222">
        <f>SUM(K54:L54)</f>
        <v>20</v>
      </c>
      <c r="N54" s="130" t="s">
        <v>592</v>
      </c>
      <c r="O54" s="131" t="s">
        <v>592</v>
      </c>
      <c r="P54" s="222" t="s">
        <v>592</v>
      </c>
      <c r="Q54" s="131">
        <f>30+33+22+25</f>
        <v>110</v>
      </c>
      <c r="R54" s="131" t="s">
        <v>592</v>
      </c>
      <c r="S54" s="142">
        <f>SUM(Q54:R54)</f>
        <v>110</v>
      </c>
      <c r="T54" s="73" t="s">
        <v>536</v>
      </c>
      <c r="U54" s="236">
        <v>41</v>
      </c>
    </row>
    <row r="55" spans="1:21" ht="30" customHeight="1">
      <c r="A55" s="119"/>
      <c r="B55" s="119"/>
      <c r="C55" s="119"/>
      <c r="D55" s="119"/>
      <c r="E55" s="119"/>
      <c r="F55" s="119"/>
      <c r="G55" s="119"/>
      <c r="H55" s="119"/>
      <c r="I55" s="310"/>
      <c r="J55" s="265" t="s">
        <v>214</v>
      </c>
      <c r="K55" s="133">
        <v>2</v>
      </c>
      <c r="L55" s="134">
        <v>10</v>
      </c>
      <c r="M55" s="135">
        <f>SUM(K55:L55)</f>
        <v>12</v>
      </c>
      <c r="N55" s="133" t="s">
        <v>592</v>
      </c>
      <c r="O55" s="134" t="s">
        <v>592</v>
      </c>
      <c r="P55" s="135" t="s">
        <v>592</v>
      </c>
      <c r="Q55" s="134" t="s">
        <v>592</v>
      </c>
      <c r="R55" s="134" t="s">
        <v>592</v>
      </c>
      <c r="S55" s="141" t="s">
        <v>592</v>
      </c>
      <c r="T55" s="259" t="s">
        <v>537</v>
      </c>
      <c r="U55" s="148">
        <v>42</v>
      </c>
    </row>
    <row r="56" spans="1:21" ht="30" customHeight="1">
      <c r="A56" s="1379" t="s">
        <v>78</v>
      </c>
      <c r="B56" s="1379"/>
      <c r="C56" s="1379"/>
      <c r="D56" s="1380" t="s">
        <v>77</v>
      </c>
      <c r="E56" s="1380"/>
      <c r="F56" s="1380"/>
      <c r="G56" s="1379" t="s">
        <v>79</v>
      </c>
      <c r="H56" s="1379"/>
      <c r="I56" s="1381"/>
      <c r="J56" s="264" t="s">
        <v>215</v>
      </c>
      <c r="K56" s="130">
        <v>30</v>
      </c>
      <c r="L56" s="131">
        <v>41</v>
      </c>
      <c r="M56" s="222">
        <f t="shared" ref="M56:M59" si="3">SUM(K56:L56)</f>
        <v>71</v>
      </c>
      <c r="N56" s="130" t="s">
        <v>592</v>
      </c>
      <c r="O56" s="131" t="s">
        <v>592</v>
      </c>
      <c r="P56" s="222" t="s">
        <v>592</v>
      </c>
      <c r="Q56" s="131" t="s">
        <v>592</v>
      </c>
      <c r="R56" s="131" t="s">
        <v>592</v>
      </c>
      <c r="S56" s="142" t="s">
        <v>592</v>
      </c>
      <c r="T56" s="73" t="s">
        <v>538</v>
      </c>
      <c r="U56" s="236">
        <v>43</v>
      </c>
    </row>
    <row r="57" spans="1:21" ht="30" customHeight="1">
      <c r="A57" s="93" t="s">
        <v>43</v>
      </c>
      <c r="B57" s="86" t="s">
        <v>43</v>
      </c>
      <c r="C57" s="86" t="s">
        <v>43</v>
      </c>
      <c r="D57" s="86" t="s">
        <v>43</v>
      </c>
      <c r="E57" s="86" t="s">
        <v>43</v>
      </c>
      <c r="F57" s="86" t="s">
        <v>43</v>
      </c>
      <c r="G57" s="86" t="s">
        <v>43</v>
      </c>
      <c r="H57" s="86" t="s">
        <v>43</v>
      </c>
      <c r="I57" s="86" t="s">
        <v>43</v>
      </c>
      <c r="J57" s="265" t="s">
        <v>216</v>
      </c>
      <c r="K57" s="133">
        <v>2</v>
      </c>
      <c r="L57" s="134">
        <v>8</v>
      </c>
      <c r="M57" s="135">
        <f t="shared" si="3"/>
        <v>10</v>
      </c>
      <c r="N57" s="133" t="s">
        <v>592</v>
      </c>
      <c r="O57" s="134" t="s">
        <v>592</v>
      </c>
      <c r="P57" s="135" t="s">
        <v>592</v>
      </c>
      <c r="Q57" s="134" t="s">
        <v>592</v>
      </c>
      <c r="R57" s="134" t="s">
        <v>592</v>
      </c>
      <c r="S57" s="141" t="s">
        <v>592</v>
      </c>
      <c r="T57" s="248" t="s">
        <v>539</v>
      </c>
      <c r="U57" s="148">
        <v>44</v>
      </c>
    </row>
    <row r="58" spans="1:21" ht="30" customHeight="1">
      <c r="A58" s="88" t="s">
        <v>43</v>
      </c>
      <c r="B58" s="85" t="s">
        <v>43</v>
      </c>
      <c r="C58" s="85" t="s">
        <v>43</v>
      </c>
      <c r="D58" s="85" t="s">
        <v>43</v>
      </c>
      <c r="E58" s="85" t="s">
        <v>43</v>
      </c>
      <c r="F58" s="85" t="s">
        <v>43</v>
      </c>
      <c r="G58" s="85" t="s">
        <v>43</v>
      </c>
      <c r="H58" s="85" t="s">
        <v>43</v>
      </c>
      <c r="I58" s="85" t="s">
        <v>43</v>
      </c>
      <c r="J58" s="268" t="s">
        <v>217</v>
      </c>
      <c r="K58" s="130">
        <v>7</v>
      </c>
      <c r="L58" s="131">
        <v>32</v>
      </c>
      <c r="M58" s="222">
        <f t="shared" si="3"/>
        <v>39</v>
      </c>
      <c r="N58" s="130" t="s">
        <v>592</v>
      </c>
      <c r="O58" s="131" t="s">
        <v>592</v>
      </c>
      <c r="P58" s="222" t="s">
        <v>592</v>
      </c>
      <c r="Q58" s="131">
        <f>37+12+19+18+26</f>
        <v>112</v>
      </c>
      <c r="R58" s="131" t="s">
        <v>592</v>
      </c>
      <c r="S58" s="142">
        <f t="shared" ref="S58:S85" si="4">SUM(Q58:R58)</f>
        <v>112</v>
      </c>
      <c r="T58" s="260" t="s">
        <v>540</v>
      </c>
      <c r="U58" s="236">
        <v>45</v>
      </c>
    </row>
    <row r="59" spans="1:21" ht="33" customHeight="1">
      <c r="A59" s="90" t="s">
        <v>43</v>
      </c>
      <c r="B59" s="86" t="s">
        <v>43</v>
      </c>
      <c r="C59" s="86" t="s">
        <v>43</v>
      </c>
      <c r="D59" s="86" t="s">
        <v>43</v>
      </c>
      <c r="E59" s="86" t="s">
        <v>43</v>
      </c>
      <c r="F59" s="86" t="s">
        <v>43</v>
      </c>
      <c r="G59" s="86" t="s">
        <v>43</v>
      </c>
      <c r="H59" s="86" t="s">
        <v>43</v>
      </c>
      <c r="I59" s="86" t="s">
        <v>43</v>
      </c>
      <c r="J59" s="271" t="s">
        <v>218</v>
      </c>
      <c r="K59" s="133" t="s">
        <v>592</v>
      </c>
      <c r="L59" s="134">
        <v>16</v>
      </c>
      <c r="M59" s="135">
        <f t="shared" si="3"/>
        <v>16</v>
      </c>
      <c r="N59" s="133" t="s">
        <v>592</v>
      </c>
      <c r="O59" s="134" t="s">
        <v>592</v>
      </c>
      <c r="P59" s="135" t="s">
        <v>592</v>
      </c>
      <c r="Q59" s="134" t="s">
        <v>592</v>
      </c>
      <c r="R59" s="134" t="s">
        <v>592</v>
      </c>
      <c r="S59" s="141" t="s">
        <v>592</v>
      </c>
      <c r="T59" s="259" t="s">
        <v>541</v>
      </c>
      <c r="U59" s="148">
        <v>46</v>
      </c>
    </row>
    <row r="60" spans="1:21" ht="30" customHeight="1">
      <c r="A60" s="88" t="s">
        <v>43</v>
      </c>
      <c r="B60" s="85" t="s">
        <v>43</v>
      </c>
      <c r="C60" s="85" t="s">
        <v>43</v>
      </c>
      <c r="D60" s="85" t="s">
        <v>43</v>
      </c>
      <c r="E60" s="85" t="s">
        <v>43</v>
      </c>
      <c r="F60" s="85" t="s">
        <v>43</v>
      </c>
      <c r="G60" s="85" t="s">
        <v>43</v>
      </c>
      <c r="H60" s="85" t="s">
        <v>43</v>
      </c>
      <c r="I60" s="85" t="s">
        <v>43</v>
      </c>
      <c r="J60" s="268" t="s">
        <v>219</v>
      </c>
      <c r="K60" s="130" t="s">
        <v>592</v>
      </c>
      <c r="L60" s="131" t="s">
        <v>592</v>
      </c>
      <c r="M60" s="222" t="s">
        <v>592</v>
      </c>
      <c r="N60" s="130" t="s">
        <v>592</v>
      </c>
      <c r="O60" s="131" t="s">
        <v>592</v>
      </c>
      <c r="P60" s="222" t="s">
        <v>592</v>
      </c>
      <c r="Q60" s="131">
        <f>347+34+15+122+62+49+50+32</f>
        <v>711</v>
      </c>
      <c r="R60" s="131">
        <f>33+8+14+31+9+15+6+74</f>
        <v>190</v>
      </c>
      <c r="S60" s="142">
        <f t="shared" si="4"/>
        <v>901</v>
      </c>
      <c r="T60" s="260" t="s">
        <v>542</v>
      </c>
      <c r="U60" s="236">
        <v>47</v>
      </c>
    </row>
    <row r="61" spans="1:21" ht="30" customHeight="1">
      <c r="A61" s="90" t="s">
        <v>43</v>
      </c>
      <c r="B61" s="86" t="s">
        <v>43</v>
      </c>
      <c r="C61" s="86" t="s">
        <v>43</v>
      </c>
      <c r="D61" s="86" t="s">
        <v>43</v>
      </c>
      <c r="E61" s="86" t="s">
        <v>43</v>
      </c>
      <c r="F61" s="86" t="s">
        <v>43</v>
      </c>
      <c r="G61" s="86" t="s">
        <v>43</v>
      </c>
      <c r="H61" s="86" t="s">
        <v>43</v>
      </c>
      <c r="I61" s="86" t="s">
        <v>43</v>
      </c>
      <c r="J61" s="271" t="s">
        <v>220</v>
      </c>
      <c r="K61" s="133" t="s">
        <v>592</v>
      </c>
      <c r="L61" s="134" t="s">
        <v>592</v>
      </c>
      <c r="M61" s="135" t="s">
        <v>592</v>
      </c>
      <c r="N61" s="133" t="s">
        <v>592</v>
      </c>
      <c r="O61" s="134" t="s">
        <v>592</v>
      </c>
      <c r="P61" s="135" t="s">
        <v>592</v>
      </c>
      <c r="Q61" s="134">
        <f>195+50+32+40+25</f>
        <v>342</v>
      </c>
      <c r="R61" s="134">
        <f>140+25+90+45+52+40</f>
        <v>392</v>
      </c>
      <c r="S61" s="141">
        <f t="shared" si="4"/>
        <v>734</v>
      </c>
      <c r="T61" s="259" t="s">
        <v>543</v>
      </c>
      <c r="U61" s="148">
        <v>48</v>
      </c>
    </row>
    <row r="62" spans="1:21" ht="30" customHeight="1">
      <c r="A62" s="88" t="s">
        <v>43</v>
      </c>
      <c r="B62" s="85" t="s">
        <v>43</v>
      </c>
      <c r="C62" s="85" t="s">
        <v>43</v>
      </c>
      <c r="D62" s="85" t="s">
        <v>43</v>
      </c>
      <c r="E62" s="85" t="s">
        <v>43</v>
      </c>
      <c r="F62" s="85" t="s">
        <v>43</v>
      </c>
      <c r="G62" s="85" t="s">
        <v>43</v>
      </c>
      <c r="H62" s="85" t="s">
        <v>43</v>
      </c>
      <c r="I62" s="85" t="s">
        <v>43</v>
      </c>
      <c r="J62" s="268" t="s">
        <v>221</v>
      </c>
      <c r="K62" s="130" t="s">
        <v>592</v>
      </c>
      <c r="L62" s="131" t="s">
        <v>592</v>
      </c>
      <c r="M62" s="222" t="s">
        <v>592</v>
      </c>
      <c r="N62" s="130" t="s">
        <v>592</v>
      </c>
      <c r="O62" s="131" t="s">
        <v>592</v>
      </c>
      <c r="P62" s="222" t="s">
        <v>592</v>
      </c>
      <c r="Q62" s="131">
        <f>89+52+49+52+21</f>
        <v>263</v>
      </c>
      <c r="R62" s="131">
        <f>75+43+15+112+31+37</f>
        <v>313</v>
      </c>
      <c r="S62" s="142">
        <f t="shared" si="4"/>
        <v>576</v>
      </c>
      <c r="T62" s="260" t="s">
        <v>544</v>
      </c>
      <c r="U62" s="236">
        <v>49</v>
      </c>
    </row>
    <row r="63" spans="1:21" ht="30" customHeight="1">
      <c r="A63" s="90" t="s">
        <v>43</v>
      </c>
      <c r="B63" s="86" t="s">
        <v>43</v>
      </c>
      <c r="C63" s="86" t="s">
        <v>43</v>
      </c>
      <c r="D63" s="86" t="s">
        <v>43</v>
      </c>
      <c r="E63" s="86" t="s">
        <v>43</v>
      </c>
      <c r="F63" s="86" t="s">
        <v>43</v>
      </c>
      <c r="G63" s="86" t="s">
        <v>43</v>
      </c>
      <c r="H63" s="86" t="s">
        <v>43</v>
      </c>
      <c r="I63" s="86" t="s">
        <v>43</v>
      </c>
      <c r="J63" s="271" t="s">
        <v>222</v>
      </c>
      <c r="K63" s="133" t="s">
        <v>592</v>
      </c>
      <c r="L63" s="134" t="s">
        <v>592</v>
      </c>
      <c r="M63" s="135" t="s">
        <v>592</v>
      </c>
      <c r="N63" s="133" t="s">
        <v>592</v>
      </c>
      <c r="O63" s="134" t="s">
        <v>592</v>
      </c>
      <c r="P63" s="135" t="s">
        <v>592</v>
      </c>
      <c r="Q63" s="134">
        <f>16+11+15+8+20</f>
        <v>70</v>
      </c>
      <c r="R63" s="134">
        <f>10+16+8+12+36+42+28+10+41</f>
        <v>203</v>
      </c>
      <c r="S63" s="141">
        <f t="shared" si="4"/>
        <v>273</v>
      </c>
      <c r="T63" s="266" t="s">
        <v>545</v>
      </c>
      <c r="U63" s="148">
        <v>50</v>
      </c>
    </row>
    <row r="64" spans="1:21" ht="30" customHeight="1">
      <c r="A64" s="88" t="s">
        <v>43</v>
      </c>
      <c r="B64" s="85" t="s">
        <v>43</v>
      </c>
      <c r="C64" s="85" t="s">
        <v>43</v>
      </c>
      <c r="D64" s="85" t="s">
        <v>43</v>
      </c>
      <c r="E64" s="85" t="s">
        <v>43</v>
      </c>
      <c r="F64" s="85" t="s">
        <v>43</v>
      </c>
      <c r="G64" s="85" t="s">
        <v>43</v>
      </c>
      <c r="H64" s="85" t="s">
        <v>43</v>
      </c>
      <c r="I64" s="85" t="s">
        <v>43</v>
      </c>
      <c r="J64" s="268" t="s">
        <v>223</v>
      </c>
      <c r="K64" s="130" t="s">
        <v>592</v>
      </c>
      <c r="L64" s="131" t="s">
        <v>592</v>
      </c>
      <c r="M64" s="222" t="s">
        <v>592</v>
      </c>
      <c r="N64" s="130" t="s">
        <v>592</v>
      </c>
      <c r="O64" s="131" t="s">
        <v>592</v>
      </c>
      <c r="P64" s="222" t="s">
        <v>592</v>
      </c>
      <c r="Q64" s="131" t="s">
        <v>592</v>
      </c>
      <c r="R64" s="131">
        <f>33+16+17+18</f>
        <v>84</v>
      </c>
      <c r="S64" s="142">
        <f t="shared" si="4"/>
        <v>84</v>
      </c>
      <c r="T64" s="260" t="s">
        <v>546</v>
      </c>
      <c r="U64" s="236">
        <v>51</v>
      </c>
    </row>
    <row r="65" spans="1:21" ht="30" customHeight="1">
      <c r="A65" s="90" t="s">
        <v>43</v>
      </c>
      <c r="B65" s="86" t="s">
        <v>43</v>
      </c>
      <c r="C65" s="86" t="s">
        <v>43</v>
      </c>
      <c r="D65" s="86" t="s">
        <v>43</v>
      </c>
      <c r="E65" s="86" t="s">
        <v>43</v>
      </c>
      <c r="F65" s="86" t="s">
        <v>43</v>
      </c>
      <c r="G65" s="86" t="s">
        <v>43</v>
      </c>
      <c r="H65" s="86" t="s">
        <v>43</v>
      </c>
      <c r="I65" s="86" t="s">
        <v>43</v>
      </c>
      <c r="J65" s="239" t="s">
        <v>224</v>
      </c>
      <c r="K65" s="133" t="s">
        <v>592</v>
      </c>
      <c r="L65" s="134" t="s">
        <v>592</v>
      </c>
      <c r="M65" s="135" t="s">
        <v>592</v>
      </c>
      <c r="N65" s="133" t="s">
        <v>592</v>
      </c>
      <c r="O65" s="134" t="s">
        <v>592</v>
      </c>
      <c r="P65" s="135" t="s">
        <v>592</v>
      </c>
      <c r="Q65" s="134">
        <f>60+17+95+29+61+8+49+110+96+66+30+20</f>
        <v>641</v>
      </c>
      <c r="R65" s="134">
        <f>13+35+166+18+53+15+169+233+82+103+10</f>
        <v>897</v>
      </c>
      <c r="S65" s="141">
        <f t="shared" si="4"/>
        <v>1538</v>
      </c>
      <c r="T65" s="259" t="s">
        <v>549</v>
      </c>
      <c r="U65" s="148">
        <v>52</v>
      </c>
    </row>
    <row r="66" spans="1:21" ht="30" customHeight="1">
      <c r="A66" s="88" t="s">
        <v>43</v>
      </c>
      <c r="B66" s="85" t="s">
        <v>43</v>
      </c>
      <c r="C66" s="85" t="s">
        <v>43</v>
      </c>
      <c r="D66" s="85" t="s">
        <v>43</v>
      </c>
      <c r="E66" s="85" t="s">
        <v>43</v>
      </c>
      <c r="F66" s="85" t="s">
        <v>43</v>
      </c>
      <c r="G66" s="85" t="s">
        <v>43</v>
      </c>
      <c r="H66" s="85" t="s">
        <v>43</v>
      </c>
      <c r="I66" s="85" t="s">
        <v>43</v>
      </c>
      <c r="J66" s="237" t="s">
        <v>225</v>
      </c>
      <c r="K66" s="130" t="s">
        <v>592</v>
      </c>
      <c r="L66" s="131" t="s">
        <v>592</v>
      </c>
      <c r="M66" s="222" t="s">
        <v>592</v>
      </c>
      <c r="N66" s="130" t="s">
        <v>592</v>
      </c>
      <c r="O66" s="131" t="s">
        <v>592</v>
      </c>
      <c r="P66" s="222" t="s">
        <v>592</v>
      </c>
      <c r="Q66" s="139">
        <f>64+10+1+51+5</f>
        <v>131</v>
      </c>
      <c r="R66" s="139">
        <f>93+42+18+20+59</f>
        <v>232</v>
      </c>
      <c r="S66" s="142">
        <f t="shared" si="4"/>
        <v>363</v>
      </c>
      <c r="T66" s="260" t="s">
        <v>547</v>
      </c>
      <c r="U66" s="236">
        <v>53</v>
      </c>
    </row>
    <row r="67" spans="1:21" ht="33.75" customHeight="1">
      <c r="A67" s="90" t="s">
        <v>43</v>
      </c>
      <c r="B67" s="86" t="s">
        <v>43</v>
      </c>
      <c r="C67" s="86" t="s">
        <v>43</v>
      </c>
      <c r="D67" s="86" t="s">
        <v>43</v>
      </c>
      <c r="E67" s="86" t="s">
        <v>43</v>
      </c>
      <c r="F67" s="86" t="s">
        <v>43</v>
      </c>
      <c r="G67" s="86" t="s">
        <v>43</v>
      </c>
      <c r="H67" s="86" t="s">
        <v>43</v>
      </c>
      <c r="I67" s="86" t="s">
        <v>43</v>
      </c>
      <c r="J67" s="239" t="s">
        <v>226</v>
      </c>
      <c r="K67" s="133" t="s">
        <v>592</v>
      </c>
      <c r="L67" s="134" t="s">
        <v>592</v>
      </c>
      <c r="M67" s="135" t="s">
        <v>592</v>
      </c>
      <c r="N67" s="133" t="s">
        <v>592</v>
      </c>
      <c r="O67" s="134" t="s">
        <v>592</v>
      </c>
      <c r="P67" s="135" t="s">
        <v>592</v>
      </c>
      <c r="Q67" s="134">
        <f>68+45+53+18</f>
        <v>184</v>
      </c>
      <c r="R67" s="134">
        <f>87+44+34+19+28</f>
        <v>212</v>
      </c>
      <c r="S67" s="141">
        <f t="shared" si="4"/>
        <v>396</v>
      </c>
      <c r="T67" s="259" t="s">
        <v>548</v>
      </c>
      <c r="U67" s="148">
        <v>54</v>
      </c>
    </row>
    <row r="68" spans="1:21" ht="36.75" customHeight="1">
      <c r="A68" s="88" t="s">
        <v>43</v>
      </c>
      <c r="B68" s="85" t="s">
        <v>43</v>
      </c>
      <c r="C68" s="85" t="s">
        <v>43</v>
      </c>
      <c r="D68" s="85" t="s">
        <v>43</v>
      </c>
      <c r="E68" s="85" t="s">
        <v>43</v>
      </c>
      <c r="F68" s="85" t="s">
        <v>43</v>
      </c>
      <c r="G68" s="85" t="s">
        <v>43</v>
      </c>
      <c r="H68" s="85" t="s">
        <v>43</v>
      </c>
      <c r="I68" s="85" t="s">
        <v>43</v>
      </c>
      <c r="J68" s="237" t="s">
        <v>227</v>
      </c>
      <c r="K68" s="130" t="s">
        <v>592</v>
      </c>
      <c r="L68" s="131" t="s">
        <v>592</v>
      </c>
      <c r="M68" s="222" t="s">
        <v>592</v>
      </c>
      <c r="N68" s="130" t="s">
        <v>592</v>
      </c>
      <c r="O68" s="131" t="s">
        <v>592</v>
      </c>
      <c r="P68" s="222" t="s">
        <v>592</v>
      </c>
      <c r="Q68" s="131">
        <f>91+92+14+13+19+7+38+13</f>
        <v>287</v>
      </c>
      <c r="R68" s="131">
        <f>34+9+9+3+50+14+62+86+10</f>
        <v>277</v>
      </c>
      <c r="S68" s="142">
        <f t="shared" si="4"/>
        <v>564</v>
      </c>
      <c r="T68" s="260" t="s">
        <v>550</v>
      </c>
      <c r="U68" s="236">
        <v>55</v>
      </c>
    </row>
    <row r="69" spans="1:21" ht="42.75" customHeight="1">
      <c r="A69" s="90" t="s">
        <v>43</v>
      </c>
      <c r="B69" s="86" t="s">
        <v>43</v>
      </c>
      <c r="C69" s="86" t="s">
        <v>43</v>
      </c>
      <c r="D69" s="86" t="s">
        <v>43</v>
      </c>
      <c r="E69" s="86" t="s">
        <v>43</v>
      </c>
      <c r="F69" s="86" t="s">
        <v>43</v>
      </c>
      <c r="G69" s="86" t="s">
        <v>43</v>
      </c>
      <c r="H69" s="86" t="s">
        <v>43</v>
      </c>
      <c r="I69" s="86" t="s">
        <v>43</v>
      </c>
      <c r="J69" s="239" t="s">
        <v>228</v>
      </c>
      <c r="K69" s="133" t="s">
        <v>592</v>
      </c>
      <c r="L69" s="134" t="s">
        <v>592</v>
      </c>
      <c r="M69" s="135" t="s">
        <v>592</v>
      </c>
      <c r="N69" s="133" t="s">
        <v>592</v>
      </c>
      <c r="O69" s="134" t="s">
        <v>592</v>
      </c>
      <c r="P69" s="135" t="s">
        <v>592</v>
      </c>
      <c r="Q69" s="134">
        <f>15+15+2+7+11</f>
        <v>50</v>
      </c>
      <c r="R69" s="134">
        <f>16+27+4+18+17</f>
        <v>82</v>
      </c>
      <c r="S69" s="141">
        <f t="shared" si="4"/>
        <v>132</v>
      </c>
      <c r="T69" s="259" t="s">
        <v>551</v>
      </c>
      <c r="U69" s="148">
        <v>56</v>
      </c>
    </row>
    <row r="70" spans="1:21" ht="30" customHeight="1">
      <c r="A70" s="88" t="s">
        <v>43</v>
      </c>
      <c r="B70" s="85" t="s">
        <v>43</v>
      </c>
      <c r="C70" s="85" t="s">
        <v>43</v>
      </c>
      <c r="D70" s="85" t="s">
        <v>43</v>
      </c>
      <c r="E70" s="85" t="s">
        <v>43</v>
      </c>
      <c r="F70" s="85" t="s">
        <v>43</v>
      </c>
      <c r="G70" s="85" t="s">
        <v>43</v>
      </c>
      <c r="H70" s="85" t="s">
        <v>43</v>
      </c>
      <c r="I70" s="85" t="s">
        <v>43</v>
      </c>
      <c r="J70" s="237" t="s">
        <v>229</v>
      </c>
      <c r="K70" s="130" t="s">
        <v>592</v>
      </c>
      <c r="L70" s="131" t="s">
        <v>592</v>
      </c>
      <c r="M70" s="222" t="s">
        <v>592</v>
      </c>
      <c r="N70" s="130" t="s">
        <v>592</v>
      </c>
      <c r="O70" s="131" t="s">
        <v>592</v>
      </c>
      <c r="P70" s="222" t="s">
        <v>592</v>
      </c>
      <c r="Q70" s="139">
        <f>161+12+6+11+15+1+58+26</f>
        <v>290</v>
      </c>
      <c r="R70" s="139">
        <f>24+38+15+11+17+9+69+4+7+11+9+15+25</f>
        <v>254</v>
      </c>
      <c r="S70" s="142">
        <f t="shared" si="4"/>
        <v>544</v>
      </c>
      <c r="T70" s="272" t="s">
        <v>552</v>
      </c>
      <c r="U70" s="236">
        <v>57</v>
      </c>
    </row>
    <row r="71" spans="1:21" ht="42" customHeight="1">
      <c r="A71" s="90" t="s">
        <v>43</v>
      </c>
      <c r="B71" s="86" t="s">
        <v>43</v>
      </c>
      <c r="C71" s="86" t="s">
        <v>43</v>
      </c>
      <c r="D71" s="86" t="s">
        <v>43</v>
      </c>
      <c r="E71" s="86" t="s">
        <v>43</v>
      </c>
      <c r="F71" s="86" t="s">
        <v>43</v>
      </c>
      <c r="G71" s="86" t="s">
        <v>43</v>
      </c>
      <c r="H71" s="86" t="s">
        <v>43</v>
      </c>
      <c r="I71" s="86" t="s">
        <v>43</v>
      </c>
      <c r="J71" s="239" t="s">
        <v>230</v>
      </c>
      <c r="K71" s="133" t="s">
        <v>592</v>
      </c>
      <c r="L71" s="134" t="s">
        <v>592</v>
      </c>
      <c r="M71" s="135" t="s">
        <v>592</v>
      </c>
      <c r="N71" s="133" t="s">
        <v>592</v>
      </c>
      <c r="O71" s="134" t="s">
        <v>592</v>
      </c>
      <c r="P71" s="135" t="s">
        <v>592</v>
      </c>
      <c r="Q71" s="134" t="s">
        <v>592</v>
      </c>
      <c r="R71" s="134">
        <f>22+75+17+11+26</f>
        <v>151</v>
      </c>
      <c r="S71" s="141">
        <f t="shared" si="4"/>
        <v>151</v>
      </c>
      <c r="T71" s="259" t="s">
        <v>553</v>
      </c>
      <c r="U71" s="148">
        <v>58</v>
      </c>
    </row>
    <row r="72" spans="1:21" ht="34.5" customHeight="1">
      <c r="A72" s="88" t="s">
        <v>43</v>
      </c>
      <c r="B72" s="85" t="s">
        <v>43</v>
      </c>
      <c r="C72" s="85" t="s">
        <v>43</v>
      </c>
      <c r="D72" s="85" t="s">
        <v>43</v>
      </c>
      <c r="E72" s="85" t="s">
        <v>43</v>
      </c>
      <c r="F72" s="85" t="s">
        <v>43</v>
      </c>
      <c r="G72" s="85" t="s">
        <v>43</v>
      </c>
      <c r="H72" s="85" t="s">
        <v>43</v>
      </c>
      <c r="I72" s="85" t="s">
        <v>43</v>
      </c>
      <c r="J72" s="237" t="s">
        <v>231</v>
      </c>
      <c r="K72" s="130" t="s">
        <v>592</v>
      </c>
      <c r="L72" s="131" t="s">
        <v>592</v>
      </c>
      <c r="M72" s="222" t="s">
        <v>592</v>
      </c>
      <c r="N72" s="130" t="s">
        <v>592</v>
      </c>
      <c r="O72" s="131" t="s">
        <v>592</v>
      </c>
      <c r="P72" s="222" t="s">
        <v>592</v>
      </c>
      <c r="Q72" s="131">
        <f>35+27+23+16+16+32</f>
        <v>149</v>
      </c>
      <c r="R72" s="131">
        <f>78+47+27+20+30+11+5+16+22+25</f>
        <v>281</v>
      </c>
      <c r="S72" s="142">
        <f t="shared" si="4"/>
        <v>430</v>
      </c>
      <c r="T72" s="73" t="s">
        <v>554</v>
      </c>
      <c r="U72" s="236">
        <v>59</v>
      </c>
    </row>
    <row r="73" spans="1:21" ht="30" customHeight="1">
      <c r="A73" s="90" t="s">
        <v>43</v>
      </c>
      <c r="B73" s="86" t="s">
        <v>43</v>
      </c>
      <c r="C73" s="86" t="s">
        <v>43</v>
      </c>
      <c r="D73" s="86" t="s">
        <v>43</v>
      </c>
      <c r="E73" s="86" t="s">
        <v>43</v>
      </c>
      <c r="F73" s="86" t="s">
        <v>43</v>
      </c>
      <c r="G73" s="86" t="s">
        <v>43</v>
      </c>
      <c r="H73" s="86" t="s">
        <v>43</v>
      </c>
      <c r="I73" s="86" t="s">
        <v>43</v>
      </c>
      <c r="J73" s="239" t="s">
        <v>232</v>
      </c>
      <c r="K73" s="133" t="s">
        <v>592</v>
      </c>
      <c r="L73" s="134" t="s">
        <v>592</v>
      </c>
      <c r="M73" s="135" t="s">
        <v>592</v>
      </c>
      <c r="N73" s="133" t="s">
        <v>592</v>
      </c>
      <c r="O73" s="134" t="s">
        <v>592</v>
      </c>
      <c r="P73" s="135" t="s">
        <v>592</v>
      </c>
      <c r="Q73" s="134">
        <f>29+10+59+50+34+1+32</f>
        <v>215</v>
      </c>
      <c r="R73" s="134">
        <f>69+75+23+15+75+47+106+82+26+61+41</f>
        <v>620</v>
      </c>
      <c r="S73" s="141">
        <f t="shared" si="4"/>
        <v>835</v>
      </c>
      <c r="T73" s="259" t="s">
        <v>555</v>
      </c>
      <c r="U73" s="148">
        <v>60</v>
      </c>
    </row>
    <row r="74" spans="1:21" ht="30" customHeight="1">
      <c r="A74" s="88" t="s">
        <v>43</v>
      </c>
      <c r="B74" s="85" t="s">
        <v>43</v>
      </c>
      <c r="C74" s="85" t="s">
        <v>43</v>
      </c>
      <c r="D74" s="85" t="s">
        <v>43</v>
      </c>
      <c r="E74" s="85" t="s">
        <v>43</v>
      </c>
      <c r="F74" s="85" t="s">
        <v>43</v>
      </c>
      <c r="G74" s="85" t="s">
        <v>43</v>
      </c>
      <c r="H74" s="85" t="s">
        <v>43</v>
      </c>
      <c r="I74" s="85" t="s">
        <v>43</v>
      </c>
      <c r="J74" s="261" t="s">
        <v>233</v>
      </c>
      <c r="K74" s="130" t="s">
        <v>592</v>
      </c>
      <c r="L74" s="131" t="s">
        <v>592</v>
      </c>
      <c r="M74" s="222" t="s">
        <v>592</v>
      </c>
      <c r="N74" s="130" t="s">
        <v>592</v>
      </c>
      <c r="O74" s="131" t="s">
        <v>592</v>
      </c>
      <c r="P74" s="222" t="s">
        <v>592</v>
      </c>
      <c r="Q74" s="131">
        <f>116+72+63+33+19+31+22+15+3+30</f>
        <v>404</v>
      </c>
      <c r="R74" s="131">
        <f>40+42+28+39+70+42+51+35+71+41</f>
        <v>459</v>
      </c>
      <c r="S74" s="142">
        <f t="shared" si="4"/>
        <v>863</v>
      </c>
      <c r="T74" s="260" t="s">
        <v>556</v>
      </c>
      <c r="U74" s="236">
        <v>61</v>
      </c>
    </row>
    <row r="75" spans="1:21" ht="33.75" customHeight="1">
      <c r="A75" s="90" t="s">
        <v>43</v>
      </c>
      <c r="B75" s="86" t="s">
        <v>43</v>
      </c>
      <c r="C75" s="86" t="s">
        <v>43</v>
      </c>
      <c r="D75" s="86" t="s">
        <v>43</v>
      </c>
      <c r="E75" s="86" t="s">
        <v>43</v>
      </c>
      <c r="F75" s="86" t="s">
        <v>43</v>
      </c>
      <c r="G75" s="86" t="s">
        <v>43</v>
      </c>
      <c r="H75" s="86" t="s">
        <v>43</v>
      </c>
      <c r="I75" s="86" t="s">
        <v>43</v>
      </c>
      <c r="J75" s="258" t="s">
        <v>234</v>
      </c>
      <c r="K75" s="133" t="s">
        <v>592</v>
      </c>
      <c r="L75" s="134" t="s">
        <v>592</v>
      </c>
      <c r="M75" s="135" t="s">
        <v>592</v>
      </c>
      <c r="N75" s="133" t="s">
        <v>592</v>
      </c>
      <c r="O75" s="134" t="s">
        <v>592</v>
      </c>
      <c r="P75" s="135" t="s">
        <v>592</v>
      </c>
      <c r="Q75" s="134">
        <f>6+18+18+1</f>
        <v>43</v>
      </c>
      <c r="R75" s="134">
        <f>34+10+30+42+21</f>
        <v>137</v>
      </c>
      <c r="S75" s="141">
        <f t="shared" si="4"/>
        <v>180</v>
      </c>
      <c r="T75" s="259" t="s">
        <v>557</v>
      </c>
      <c r="U75" s="148">
        <v>62</v>
      </c>
    </row>
    <row r="76" spans="1:21" ht="30" customHeight="1">
      <c r="A76" s="88" t="s">
        <v>43</v>
      </c>
      <c r="B76" s="85" t="s">
        <v>43</v>
      </c>
      <c r="C76" s="85" t="s">
        <v>43</v>
      </c>
      <c r="D76" s="85" t="s">
        <v>43</v>
      </c>
      <c r="E76" s="85" t="s">
        <v>43</v>
      </c>
      <c r="F76" s="85" t="s">
        <v>43</v>
      </c>
      <c r="G76" s="85" t="s">
        <v>43</v>
      </c>
      <c r="H76" s="85" t="s">
        <v>43</v>
      </c>
      <c r="I76" s="85" t="s">
        <v>43</v>
      </c>
      <c r="J76" s="261" t="s">
        <v>235</v>
      </c>
      <c r="K76" s="130" t="s">
        <v>592</v>
      </c>
      <c r="L76" s="131" t="s">
        <v>592</v>
      </c>
      <c r="M76" s="222" t="s">
        <v>592</v>
      </c>
      <c r="N76" s="130" t="s">
        <v>592</v>
      </c>
      <c r="O76" s="131" t="s">
        <v>592</v>
      </c>
      <c r="P76" s="222" t="s">
        <v>592</v>
      </c>
      <c r="Q76" s="131">
        <f>146+27+14+138+87+2+5+7+2+9+13+5</f>
        <v>455</v>
      </c>
      <c r="R76" s="131">
        <f>60+28+16+61+19+12+3+16+28+10+29+32+34+32</f>
        <v>380</v>
      </c>
      <c r="S76" s="142">
        <f t="shared" si="4"/>
        <v>835</v>
      </c>
      <c r="T76" s="260" t="s">
        <v>558</v>
      </c>
      <c r="U76" s="236">
        <v>63</v>
      </c>
    </row>
    <row r="77" spans="1:21" ht="30" customHeight="1">
      <c r="A77" s="90" t="s">
        <v>43</v>
      </c>
      <c r="B77" s="86" t="s">
        <v>43</v>
      </c>
      <c r="C77" s="86" t="s">
        <v>43</v>
      </c>
      <c r="D77" s="86" t="s">
        <v>43</v>
      </c>
      <c r="E77" s="86" t="s">
        <v>43</v>
      </c>
      <c r="F77" s="86" t="s">
        <v>43</v>
      </c>
      <c r="G77" s="86" t="s">
        <v>43</v>
      </c>
      <c r="H77" s="86" t="s">
        <v>43</v>
      </c>
      <c r="I77" s="86" t="s">
        <v>43</v>
      </c>
      <c r="J77" s="258" t="s">
        <v>236</v>
      </c>
      <c r="K77" s="133" t="s">
        <v>592</v>
      </c>
      <c r="L77" s="134" t="s">
        <v>592</v>
      </c>
      <c r="M77" s="135" t="s">
        <v>592</v>
      </c>
      <c r="N77" s="133" t="s">
        <v>592</v>
      </c>
      <c r="O77" s="134" t="s">
        <v>592</v>
      </c>
      <c r="P77" s="135" t="s">
        <v>592</v>
      </c>
      <c r="Q77" s="134">
        <f>515+115+74+27+108+50+28+50+61+50</f>
        <v>1078</v>
      </c>
      <c r="R77" s="134">
        <f>26+46+48</f>
        <v>120</v>
      </c>
      <c r="S77" s="141">
        <f t="shared" si="4"/>
        <v>1198</v>
      </c>
      <c r="T77" s="259" t="s">
        <v>559</v>
      </c>
      <c r="U77" s="148">
        <v>64</v>
      </c>
    </row>
    <row r="78" spans="1:21" ht="30" customHeight="1">
      <c r="A78" s="88" t="s">
        <v>43</v>
      </c>
      <c r="B78" s="85" t="s">
        <v>43</v>
      </c>
      <c r="C78" s="85" t="s">
        <v>43</v>
      </c>
      <c r="D78" s="85" t="s">
        <v>43</v>
      </c>
      <c r="E78" s="85" t="s">
        <v>43</v>
      </c>
      <c r="F78" s="85" t="s">
        <v>43</v>
      </c>
      <c r="G78" s="85" t="s">
        <v>43</v>
      </c>
      <c r="H78" s="85" t="s">
        <v>43</v>
      </c>
      <c r="I78" s="85" t="s">
        <v>43</v>
      </c>
      <c r="J78" s="261" t="s">
        <v>237</v>
      </c>
      <c r="K78" s="130" t="s">
        <v>592</v>
      </c>
      <c r="L78" s="131" t="s">
        <v>592</v>
      </c>
      <c r="M78" s="222" t="s">
        <v>592</v>
      </c>
      <c r="N78" s="130" t="s">
        <v>592</v>
      </c>
      <c r="O78" s="131" t="s">
        <v>592</v>
      </c>
      <c r="P78" s="222" t="s">
        <v>592</v>
      </c>
      <c r="Q78" s="131">
        <f>91+77+27+27+15+5</f>
        <v>242</v>
      </c>
      <c r="R78" s="131">
        <f>107+53+37+13+77</f>
        <v>287</v>
      </c>
      <c r="S78" s="142">
        <f t="shared" si="4"/>
        <v>529</v>
      </c>
      <c r="T78" s="260" t="s">
        <v>560</v>
      </c>
      <c r="U78" s="236">
        <v>65</v>
      </c>
    </row>
    <row r="79" spans="1:21" ht="30" customHeight="1">
      <c r="A79" s="90" t="s">
        <v>43</v>
      </c>
      <c r="B79" s="86" t="s">
        <v>43</v>
      </c>
      <c r="C79" s="86" t="s">
        <v>43</v>
      </c>
      <c r="D79" s="86" t="s">
        <v>43</v>
      </c>
      <c r="E79" s="86" t="s">
        <v>43</v>
      </c>
      <c r="F79" s="86" t="s">
        <v>43</v>
      </c>
      <c r="G79" s="86" t="s">
        <v>43</v>
      </c>
      <c r="H79" s="86" t="s">
        <v>43</v>
      </c>
      <c r="I79" s="86" t="s">
        <v>43</v>
      </c>
      <c r="J79" s="258" t="s">
        <v>238</v>
      </c>
      <c r="K79" s="133" t="s">
        <v>592</v>
      </c>
      <c r="L79" s="134" t="s">
        <v>592</v>
      </c>
      <c r="M79" s="135" t="s">
        <v>592</v>
      </c>
      <c r="N79" s="133" t="s">
        <v>592</v>
      </c>
      <c r="O79" s="134" t="s">
        <v>592</v>
      </c>
      <c r="P79" s="135" t="s">
        <v>592</v>
      </c>
      <c r="Q79" s="134">
        <f>18+66+42+15+15+6</f>
        <v>162</v>
      </c>
      <c r="R79" s="134">
        <f>12+114+34+14+3</f>
        <v>177</v>
      </c>
      <c r="S79" s="141">
        <f t="shared" si="4"/>
        <v>339</v>
      </c>
      <c r="T79" s="248" t="s">
        <v>561</v>
      </c>
      <c r="U79" s="148">
        <v>66</v>
      </c>
    </row>
    <row r="80" spans="1:21" ht="27" customHeight="1">
      <c r="A80" s="88" t="s">
        <v>43</v>
      </c>
      <c r="B80" s="85" t="s">
        <v>43</v>
      </c>
      <c r="C80" s="85" t="s">
        <v>43</v>
      </c>
      <c r="D80" s="85" t="s">
        <v>43</v>
      </c>
      <c r="E80" s="85" t="s">
        <v>43</v>
      </c>
      <c r="F80" s="85" t="s">
        <v>43</v>
      </c>
      <c r="G80" s="85" t="s">
        <v>43</v>
      </c>
      <c r="H80" s="85" t="s">
        <v>43</v>
      </c>
      <c r="I80" s="85" t="s">
        <v>43</v>
      </c>
      <c r="J80" s="261" t="s">
        <v>239</v>
      </c>
      <c r="K80" s="130" t="s">
        <v>592</v>
      </c>
      <c r="L80" s="131" t="s">
        <v>592</v>
      </c>
      <c r="M80" s="222" t="s">
        <v>592</v>
      </c>
      <c r="N80" s="130" t="s">
        <v>592</v>
      </c>
      <c r="O80" s="131" t="s">
        <v>592</v>
      </c>
      <c r="P80" s="222" t="s">
        <v>592</v>
      </c>
      <c r="Q80" s="131">
        <f>659+95+70+247+84+113+129+80+30</f>
        <v>1507</v>
      </c>
      <c r="R80" s="131">
        <f>126+3+90+30+170+81+50+58</f>
        <v>608</v>
      </c>
      <c r="S80" s="142">
        <f t="shared" si="4"/>
        <v>2115</v>
      </c>
      <c r="T80" s="260" t="s">
        <v>562</v>
      </c>
      <c r="U80" s="236">
        <v>67</v>
      </c>
    </row>
    <row r="81" spans="1:29" ht="30" customHeight="1">
      <c r="A81" s="90" t="s">
        <v>43</v>
      </c>
      <c r="B81" s="86" t="s">
        <v>43</v>
      </c>
      <c r="C81" s="86" t="s">
        <v>43</v>
      </c>
      <c r="D81" s="86" t="s">
        <v>43</v>
      </c>
      <c r="E81" s="86" t="s">
        <v>43</v>
      </c>
      <c r="F81" s="86" t="s">
        <v>43</v>
      </c>
      <c r="G81" s="86" t="s">
        <v>43</v>
      </c>
      <c r="H81" s="86" t="s">
        <v>43</v>
      </c>
      <c r="I81" s="86" t="s">
        <v>43</v>
      </c>
      <c r="J81" s="258" t="s">
        <v>240</v>
      </c>
      <c r="K81" s="133" t="s">
        <v>592</v>
      </c>
      <c r="L81" s="134" t="s">
        <v>592</v>
      </c>
      <c r="M81" s="135" t="s">
        <v>592</v>
      </c>
      <c r="N81" s="133" t="s">
        <v>592</v>
      </c>
      <c r="O81" s="134" t="s">
        <v>592</v>
      </c>
      <c r="P81" s="135" t="s">
        <v>592</v>
      </c>
      <c r="Q81" s="134">
        <f>24+51+22+25+23+8</f>
        <v>153</v>
      </c>
      <c r="R81" s="134">
        <f>44+76+16+14+10+15</f>
        <v>175</v>
      </c>
      <c r="S81" s="141">
        <f t="shared" si="4"/>
        <v>328</v>
      </c>
      <c r="T81" s="248" t="s">
        <v>563</v>
      </c>
      <c r="U81" s="148">
        <v>68</v>
      </c>
    </row>
    <row r="82" spans="1:29" ht="25.5" customHeight="1">
      <c r="A82" s="88" t="s">
        <v>43</v>
      </c>
      <c r="B82" s="85" t="s">
        <v>43</v>
      </c>
      <c r="C82" s="85" t="s">
        <v>43</v>
      </c>
      <c r="D82" s="85" t="s">
        <v>43</v>
      </c>
      <c r="E82" s="85" t="s">
        <v>43</v>
      </c>
      <c r="F82" s="85" t="s">
        <v>43</v>
      </c>
      <c r="G82" s="85" t="s">
        <v>43</v>
      </c>
      <c r="H82" s="85" t="s">
        <v>43</v>
      </c>
      <c r="I82" s="85" t="s">
        <v>43</v>
      </c>
      <c r="J82" s="261" t="s">
        <v>241</v>
      </c>
      <c r="K82" s="130" t="s">
        <v>592</v>
      </c>
      <c r="L82" s="131" t="s">
        <v>592</v>
      </c>
      <c r="M82" s="222" t="s">
        <v>592</v>
      </c>
      <c r="N82" s="130" t="s">
        <v>592</v>
      </c>
      <c r="O82" s="131" t="s">
        <v>592</v>
      </c>
      <c r="P82" s="222" t="s">
        <v>592</v>
      </c>
      <c r="Q82" s="131">
        <f>50+48+23+15+4+14+22+23</f>
        <v>199</v>
      </c>
      <c r="R82" s="131">
        <f>161+68+8+116+59+44+64</f>
        <v>520</v>
      </c>
      <c r="S82" s="142">
        <f t="shared" si="4"/>
        <v>719</v>
      </c>
      <c r="T82" s="73" t="s">
        <v>564</v>
      </c>
      <c r="U82" s="236">
        <v>69</v>
      </c>
    </row>
    <row r="83" spans="1:29" ht="34.5" customHeight="1">
      <c r="A83" s="90" t="s">
        <v>43</v>
      </c>
      <c r="B83" s="86" t="s">
        <v>43</v>
      </c>
      <c r="C83" s="86" t="s">
        <v>43</v>
      </c>
      <c r="D83" s="86" t="s">
        <v>43</v>
      </c>
      <c r="E83" s="86" t="s">
        <v>43</v>
      </c>
      <c r="F83" s="86" t="s">
        <v>43</v>
      </c>
      <c r="G83" s="86" t="s">
        <v>43</v>
      </c>
      <c r="H83" s="86" t="s">
        <v>43</v>
      </c>
      <c r="I83" s="86" t="s">
        <v>43</v>
      </c>
      <c r="J83" s="258" t="s">
        <v>242</v>
      </c>
      <c r="K83" s="133" t="s">
        <v>592</v>
      </c>
      <c r="L83" s="134" t="s">
        <v>592</v>
      </c>
      <c r="M83" s="135" t="s">
        <v>592</v>
      </c>
      <c r="N83" s="133" t="s">
        <v>592</v>
      </c>
      <c r="O83" s="134" t="s">
        <v>592</v>
      </c>
      <c r="P83" s="135" t="s">
        <v>592</v>
      </c>
      <c r="Q83" s="134">
        <f>63+8+22+16+41+33+29+13+16</f>
        <v>241</v>
      </c>
      <c r="R83" s="134">
        <f>28+5+8+17+18+18+6+6+2</f>
        <v>108</v>
      </c>
      <c r="S83" s="141">
        <f t="shared" si="4"/>
        <v>349</v>
      </c>
      <c r="T83" s="248" t="s">
        <v>565</v>
      </c>
      <c r="U83" s="148">
        <v>70</v>
      </c>
    </row>
    <row r="84" spans="1:29" ht="31.5" customHeight="1">
      <c r="A84" s="88" t="s">
        <v>43</v>
      </c>
      <c r="B84" s="85" t="s">
        <v>43</v>
      </c>
      <c r="C84" s="85" t="s">
        <v>43</v>
      </c>
      <c r="D84" s="85" t="s">
        <v>43</v>
      </c>
      <c r="E84" s="85" t="s">
        <v>43</v>
      </c>
      <c r="F84" s="85" t="s">
        <v>43</v>
      </c>
      <c r="G84" s="85" t="s">
        <v>43</v>
      </c>
      <c r="H84" s="85" t="s">
        <v>43</v>
      </c>
      <c r="I84" s="85" t="s">
        <v>43</v>
      </c>
      <c r="J84" s="261" t="s">
        <v>243</v>
      </c>
      <c r="K84" s="130" t="s">
        <v>592</v>
      </c>
      <c r="L84" s="131" t="s">
        <v>592</v>
      </c>
      <c r="M84" s="222" t="s">
        <v>592</v>
      </c>
      <c r="N84" s="130" t="s">
        <v>592</v>
      </c>
      <c r="O84" s="131" t="s">
        <v>592</v>
      </c>
      <c r="P84" s="222" t="s">
        <v>592</v>
      </c>
      <c r="Q84" s="131">
        <f>4+12</f>
        <v>16</v>
      </c>
      <c r="R84" s="131">
        <f>8+24+7</f>
        <v>39</v>
      </c>
      <c r="S84" s="142">
        <f t="shared" si="4"/>
        <v>55</v>
      </c>
      <c r="T84" s="260" t="s">
        <v>566</v>
      </c>
      <c r="U84" s="236">
        <v>71</v>
      </c>
    </row>
    <row r="85" spans="1:29" ht="30" customHeight="1">
      <c r="A85" s="90" t="s">
        <v>43</v>
      </c>
      <c r="B85" s="86" t="s">
        <v>43</v>
      </c>
      <c r="C85" s="86" t="s">
        <v>43</v>
      </c>
      <c r="D85" s="86" t="s">
        <v>43</v>
      </c>
      <c r="E85" s="86" t="s">
        <v>43</v>
      </c>
      <c r="F85" s="86" t="s">
        <v>43</v>
      </c>
      <c r="G85" s="86" t="s">
        <v>43</v>
      </c>
      <c r="H85" s="86" t="s">
        <v>43</v>
      </c>
      <c r="I85" s="86" t="s">
        <v>43</v>
      </c>
      <c r="J85" s="273" t="s">
        <v>244</v>
      </c>
      <c r="K85" s="229" t="s">
        <v>592</v>
      </c>
      <c r="L85" s="194" t="s">
        <v>592</v>
      </c>
      <c r="M85" s="195" t="s">
        <v>592</v>
      </c>
      <c r="N85" s="229" t="s">
        <v>592</v>
      </c>
      <c r="O85" s="194" t="s">
        <v>592</v>
      </c>
      <c r="P85" s="195" t="s">
        <v>592</v>
      </c>
      <c r="Q85" s="194">
        <f>35+240+2+14+63+13+60</f>
        <v>427</v>
      </c>
      <c r="R85" s="194">
        <f>29+26+13+37+12+35</f>
        <v>152</v>
      </c>
      <c r="S85" s="193">
        <f t="shared" si="4"/>
        <v>579</v>
      </c>
      <c r="T85" s="274" t="s">
        <v>580</v>
      </c>
      <c r="U85" s="170">
        <v>72</v>
      </c>
      <c r="X85" s="8"/>
    </row>
    <row r="86" spans="1:29" ht="16">
      <c r="A86" s="90" t="s">
        <v>43</v>
      </c>
      <c r="B86" s="86" t="s">
        <v>43</v>
      </c>
      <c r="C86" s="86" t="s">
        <v>43</v>
      </c>
      <c r="D86" s="86" t="s">
        <v>43</v>
      </c>
      <c r="E86" s="86" t="s">
        <v>43</v>
      </c>
      <c r="F86" s="86" t="s">
        <v>43</v>
      </c>
      <c r="G86" s="86" t="s">
        <v>43</v>
      </c>
      <c r="H86" s="86" t="s">
        <v>43</v>
      </c>
      <c r="I86" s="86" t="s">
        <v>43</v>
      </c>
      <c r="J86" s="200" t="s">
        <v>197</v>
      </c>
      <c r="K86" s="1352"/>
      <c r="L86" s="1352"/>
      <c r="M86" s="1352"/>
      <c r="N86" s="1352"/>
      <c r="O86" s="1352"/>
      <c r="P86" s="1352"/>
      <c r="Q86" s="1326" t="s">
        <v>570</v>
      </c>
      <c r="R86" s="1326"/>
      <c r="S86" s="1326"/>
      <c r="T86" s="1326"/>
      <c r="U86" s="1326"/>
    </row>
    <row r="87" spans="1:29" ht="18.75" customHeight="1">
      <c r="A87" s="90" t="s">
        <v>43</v>
      </c>
      <c r="B87" s="86" t="s">
        <v>43</v>
      </c>
      <c r="C87" s="86" t="s">
        <v>43</v>
      </c>
      <c r="D87" s="86" t="s">
        <v>43</v>
      </c>
      <c r="E87" s="86" t="s">
        <v>43</v>
      </c>
      <c r="F87" s="86" t="s">
        <v>43</v>
      </c>
      <c r="G87" s="86" t="s">
        <v>43</v>
      </c>
      <c r="H87" s="86" t="s">
        <v>43</v>
      </c>
      <c r="I87" s="86" t="s">
        <v>43</v>
      </c>
      <c r="J87" s="1276" t="s">
        <v>170</v>
      </c>
      <c r="K87" s="1366" t="s">
        <v>343</v>
      </c>
      <c r="L87" s="1367"/>
      <c r="M87" s="1367"/>
      <c r="N87" s="1367"/>
      <c r="O87" s="1367"/>
      <c r="P87" s="1367"/>
      <c r="Q87" s="1367"/>
      <c r="R87" s="1367"/>
      <c r="S87" s="1368"/>
      <c r="T87" s="1276" t="s">
        <v>72</v>
      </c>
      <c r="U87" s="1369" t="s">
        <v>568</v>
      </c>
    </row>
    <row r="88" spans="1:29" ht="17.25" customHeight="1">
      <c r="A88" s="88" t="s">
        <v>43</v>
      </c>
      <c r="B88" s="85" t="s">
        <v>43</v>
      </c>
      <c r="C88" s="85" t="s">
        <v>43</v>
      </c>
      <c r="D88" s="85" t="s">
        <v>43</v>
      </c>
      <c r="E88" s="85" t="s">
        <v>43</v>
      </c>
      <c r="F88" s="85" t="s">
        <v>43</v>
      </c>
      <c r="G88" s="85" t="s">
        <v>43</v>
      </c>
      <c r="H88" s="85" t="s">
        <v>43</v>
      </c>
      <c r="I88" s="85" t="s">
        <v>43</v>
      </c>
      <c r="J88" s="1365"/>
      <c r="K88" s="1262" t="s">
        <v>78</v>
      </c>
      <c r="L88" s="1372"/>
      <c r="M88" s="1373"/>
      <c r="N88" s="1374" t="s">
        <v>567</v>
      </c>
      <c r="O88" s="1375"/>
      <c r="P88" s="1376"/>
      <c r="Q88" s="1262" t="s">
        <v>253</v>
      </c>
      <c r="R88" s="1372"/>
      <c r="S88" s="1373"/>
      <c r="T88" s="1365"/>
      <c r="U88" s="1370"/>
    </row>
    <row r="89" spans="1:29" ht="18" customHeight="1">
      <c r="A89" s="90" t="s">
        <v>43</v>
      </c>
      <c r="B89" s="86" t="s">
        <v>43</v>
      </c>
      <c r="C89" s="86" t="s">
        <v>43</v>
      </c>
      <c r="D89" s="86" t="s">
        <v>43</v>
      </c>
      <c r="E89" s="86" t="s">
        <v>43</v>
      </c>
      <c r="F89" s="86" t="s">
        <v>43</v>
      </c>
      <c r="G89" s="86" t="s">
        <v>43</v>
      </c>
      <c r="H89" s="86" t="s">
        <v>43</v>
      </c>
      <c r="I89" s="86" t="s">
        <v>43</v>
      </c>
      <c r="J89" s="1365"/>
      <c r="K89" s="1262" t="s">
        <v>168</v>
      </c>
      <c r="L89" s="1372"/>
      <c r="M89" s="1373"/>
      <c r="N89" s="1374" t="s">
        <v>171</v>
      </c>
      <c r="O89" s="1375"/>
      <c r="P89" s="1376"/>
      <c r="Q89" s="1262" t="s">
        <v>137</v>
      </c>
      <c r="R89" s="1372"/>
      <c r="S89" s="1373"/>
      <c r="T89" s="1365"/>
      <c r="U89" s="1370"/>
    </row>
    <row r="90" spans="1:29" ht="28">
      <c r="A90" s="88" t="s">
        <v>43</v>
      </c>
      <c r="B90" s="85" t="s">
        <v>43</v>
      </c>
      <c r="C90" s="85" t="s">
        <v>43</v>
      </c>
      <c r="D90" s="85" t="s">
        <v>43</v>
      </c>
      <c r="E90" s="85" t="s">
        <v>43</v>
      </c>
      <c r="F90" s="85" t="s">
        <v>43</v>
      </c>
      <c r="G90" s="85" t="s">
        <v>43</v>
      </c>
      <c r="H90" s="85" t="s">
        <v>43</v>
      </c>
      <c r="I90" s="85" t="s">
        <v>43</v>
      </c>
      <c r="J90" s="1277"/>
      <c r="K90" s="305" t="s">
        <v>493</v>
      </c>
      <c r="L90" s="305" t="s">
        <v>494</v>
      </c>
      <c r="M90" s="305" t="s">
        <v>492</v>
      </c>
      <c r="N90" s="305" t="s">
        <v>493</v>
      </c>
      <c r="O90" s="305" t="s">
        <v>494</v>
      </c>
      <c r="P90" s="305" t="s">
        <v>492</v>
      </c>
      <c r="Q90" s="305" t="s">
        <v>493</v>
      </c>
      <c r="R90" s="305" t="s">
        <v>494</v>
      </c>
      <c r="S90" s="305" t="s">
        <v>492</v>
      </c>
      <c r="T90" s="1277"/>
      <c r="U90" s="1371"/>
      <c r="AC90" s="4"/>
    </row>
    <row r="91" spans="1:29" ht="45" customHeight="1">
      <c r="A91" s="88" t="s">
        <v>43</v>
      </c>
      <c r="B91" s="85" t="s">
        <v>43</v>
      </c>
      <c r="C91" s="85" t="s">
        <v>43</v>
      </c>
      <c r="D91" s="85" t="s">
        <v>43</v>
      </c>
      <c r="E91" s="85" t="s">
        <v>43</v>
      </c>
      <c r="F91" s="85" t="s">
        <v>43</v>
      </c>
      <c r="G91" s="85" t="s">
        <v>43</v>
      </c>
      <c r="H91" s="85" t="s">
        <v>43</v>
      </c>
      <c r="I91" s="85" t="s">
        <v>43</v>
      </c>
      <c r="J91" s="261" t="s">
        <v>245</v>
      </c>
      <c r="K91" s="130" t="s">
        <v>592</v>
      </c>
      <c r="L91" s="131" t="s">
        <v>592</v>
      </c>
      <c r="M91" s="198" t="s">
        <v>592</v>
      </c>
      <c r="N91" s="130" t="s">
        <v>592</v>
      </c>
      <c r="O91" s="131" t="s">
        <v>592</v>
      </c>
      <c r="P91" s="198" t="s">
        <v>592</v>
      </c>
      <c r="Q91" s="131">
        <f>77+33</f>
        <v>110</v>
      </c>
      <c r="R91" s="131">
        <f>78+46</f>
        <v>124</v>
      </c>
      <c r="S91" s="142">
        <f t="shared" ref="S91:S98" si="5">SUM(Q91:R91)</f>
        <v>234</v>
      </c>
      <c r="T91" s="260" t="s">
        <v>571</v>
      </c>
      <c r="U91" s="236">
        <v>73</v>
      </c>
    </row>
    <row r="92" spans="1:29" ht="45" customHeight="1">
      <c r="A92" s="90" t="s">
        <v>43</v>
      </c>
      <c r="B92" s="86" t="s">
        <v>43</v>
      </c>
      <c r="C92" s="86" t="s">
        <v>43</v>
      </c>
      <c r="D92" s="86" t="s">
        <v>43</v>
      </c>
      <c r="E92" s="86" t="s">
        <v>43</v>
      </c>
      <c r="F92" s="86" t="s">
        <v>43</v>
      </c>
      <c r="G92" s="86" t="s">
        <v>43</v>
      </c>
      <c r="H92" s="86" t="s">
        <v>43</v>
      </c>
      <c r="I92" s="86" t="s">
        <v>43</v>
      </c>
      <c r="J92" s="258" t="s">
        <v>246</v>
      </c>
      <c r="K92" s="133" t="s">
        <v>592</v>
      </c>
      <c r="L92" s="134" t="s">
        <v>592</v>
      </c>
      <c r="M92" s="197" t="s">
        <v>592</v>
      </c>
      <c r="N92" s="133" t="s">
        <v>592</v>
      </c>
      <c r="O92" s="134" t="s">
        <v>592</v>
      </c>
      <c r="P92" s="197" t="s">
        <v>592</v>
      </c>
      <c r="Q92" s="134">
        <f>60+82</f>
        <v>142</v>
      </c>
      <c r="R92" s="134">
        <f>75+39+75</f>
        <v>189</v>
      </c>
      <c r="S92" s="141">
        <f t="shared" si="5"/>
        <v>331</v>
      </c>
      <c r="T92" s="259" t="s">
        <v>572</v>
      </c>
      <c r="U92" s="148">
        <v>74</v>
      </c>
    </row>
    <row r="93" spans="1:29" ht="45" customHeight="1">
      <c r="A93" s="88" t="s">
        <v>43</v>
      </c>
      <c r="B93" s="85" t="s">
        <v>43</v>
      </c>
      <c r="C93" s="85" t="s">
        <v>43</v>
      </c>
      <c r="D93" s="85" t="s">
        <v>43</v>
      </c>
      <c r="E93" s="85" t="s">
        <v>43</v>
      </c>
      <c r="F93" s="85" t="s">
        <v>43</v>
      </c>
      <c r="G93" s="85" t="s">
        <v>43</v>
      </c>
      <c r="H93" s="85" t="s">
        <v>43</v>
      </c>
      <c r="I93" s="85" t="s">
        <v>43</v>
      </c>
      <c r="J93" s="261" t="s">
        <v>247</v>
      </c>
      <c r="K93" s="130" t="s">
        <v>592</v>
      </c>
      <c r="L93" s="131" t="s">
        <v>592</v>
      </c>
      <c r="M93" s="198" t="s">
        <v>592</v>
      </c>
      <c r="N93" s="130" t="s">
        <v>592</v>
      </c>
      <c r="O93" s="131" t="s">
        <v>592</v>
      </c>
      <c r="P93" s="198" t="s">
        <v>592</v>
      </c>
      <c r="Q93" s="139">
        <f>54+10+20+33</f>
        <v>117</v>
      </c>
      <c r="R93" s="139">
        <f>32+93+10+19+13+23</f>
        <v>190</v>
      </c>
      <c r="S93" s="142">
        <f t="shared" si="5"/>
        <v>307</v>
      </c>
      <c r="T93" s="260" t="s">
        <v>573</v>
      </c>
      <c r="U93" s="236">
        <v>75</v>
      </c>
    </row>
    <row r="94" spans="1:29" ht="45" customHeight="1">
      <c r="A94" s="94" t="s">
        <v>43</v>
      </c>
      <c r="B94" s="92" t="s">
        <v>43</v>
      </c>
      <c r="C94" s="92" t="s">
        <v>43</v>
      </c>
      <c r="D94" s="92" t="s">
        <v>43</v>
      </c>
      <c r="E94" s="92" t="s">
        <v>43</v>
      </c>
      <c r="F94" s="92" t="s">
        <v>43</v>
      </c>
      <c r="G94" s="92" t="s">
        <v>43</v>
      </c>
      <c r="H94" s="92" t="s">
        <v>43</v>
      </c>
      <c r="I94" s="92" t="s">
        <v>43</v>
      </c>
      <c r="J94" s="258" t="s">
        <v>248</v>
      </c>
      <c r="K94" s="133" t="s">
        <v>592</v>
      </c>
      <c r="L94" s="134" t="s">
        <v>592</v>
      </c>
      <c r="M94" s="197" t="s">
        <v>592</v>
      </c>
      <c r="N94" s="133" t="s">
        <v>592</v>
      </c>
      <c r="O94" s="134" t="s">
        <v>592</v>
      </c>
      <c r="P94" s="197" t="s">
        <v>592</v>
      </c>
      <c r="Q94" s="134">
        <f>34+12</f>
        <v>46</v>
      </c>
      <c r="R94" s="134">
        <f>71+55+19+10+25</f>
        <v>180</v>
      </c>
      <c r="S94" s="141">
        <f t="shared" si="5"/>
        <v>226</v>
      </c>
      <c r="T94" s="259" t="s">
        <v>574</v>
      </c>
      <c r="U94" s="148">
        <v>76</v>
      </c>
    </row>
    <row r="95" spans="1:29" ht="45" customHeight="1">
      <c r="J95" s="261" t="s">
        <v>249</v>
      </c>
      <c r="K95" s="130" t="s">
        <v>592</v>
      </c>
      <c r="L95" s="131" t="s">
        <v>592</v>
      </c>
      <c r="M95" s="198" t="s">
        <v>592</v>
      </c>
      <c r="N95" s="130" t="s">
        <v>592</v>
      </c>
      <c r="O95" s="131" t="s">
        <v>592</v>
      </c>
      <c r="P95" s="198" t="s">
        <v>592</v>
      </c>
      <c r="Q95" s="131">
        <f>52</f>
        <v>52</v>
      </c>
      <c r="R95" s="131">
        <f>41+8</f>
        <v>49</v>
      </c>
      <c r="S95" s="142">
        <f t="shared" si="5"/>
        <v>101</v>
      </c>
      <c r="T95" s="260" t="s">
        <v>575</v>
      </c>
      <c r="U95" s="236">
        <v>77</v>
      </c>
    </row>
    <row r="96" spans="1:29" ht="45" customHeight="1">
      <c r="J96" s="258" t="s">
        <v>250</v>
      </c>
      <c r="K96" s="133" t="s">
        <v>592</v>
      </c>
      <c r="L96" s="134" t="s">
        <v>592</v>
      </c>
      <c r="M96" s="197" t="s">
        <v>592</v>
      </c>
      <c r="N96" s="133" t="s">
        <v>592</v>
      </c>
      <c r="O96" s="134" t="s">
        <v>592</v>
      </c>
      <c r="P96" s="197" t="s">
        <v>592</v>
      </c>
      <c r="Q96" s="134">
        <f>137+24+7+66+60+14+48+17+16+57</f>
        <v>446</v>
      </c>
      <c r="R96" s="134">
        <f>13+30+23+18+19+58+7+29+23+35</f>
        <v>255</v>
      </c>
      <c r="S96" s="141">
        <f t="shared" si="5"/>
        <v>701</v>
      </c>
      <c r="T96" s="259" t="s">
        <v>576</v>
      </c>
      <c r="U96" s="148">
        <v>78</v>
      </c>
    </row>
    <row r="97" spans="10:24" ht="45" customHeight="1">
      <c r="J97" s="237" t="s">
        <v>251</v>
      </c>
      <c r="K97" s="130" t="s">
        <v>592</v>
      </c>
      <c r="L97" s="131" t="s">
        <v>592</v>
      </c>
      <c r="M97" s="198" t="s">
        <v>592</v>
      </c>
      <c r="N97" s="130" t="s">
        <v>592</v>
      </c>
      <c r="O97" s="131" t="s">
        <v>592</v>
      </c>
      <c r="P97" s="198" t="s">
        <v>592</v>
      </c>
      <c r="Q97" s="131">
        <f>217+30+8+2</f>
        <v>257</v>
      </c>
      <c r="R97" s="131">
        <f>98+73+47+13+27</f>
        <v>258</v>
      </c>
      <c r="S97" s="142">
        <f t="shared" si="5"/>
        <v>515</v>
      </c>
      <c r="T97" s="260" t="s">
        <v>577</v>
      </c>
      <c r="U97" s="236">
        <v>79</v>
      </c>
    </row>
    <row r="98" spans="10:24" ht="45" customHeight="1">
      <c r="J98" s="275" t="s">
        <v>252</v>
      </c>
      <c r="K98" s="229" t="s">
        <v>592</v>
      </c>
      <c r="L98" s="194" t="s">
        <v>592</v>
      </c>
      <c r="M98" s="199" t="s">
        <v>592</v>
      </c>
      <c r="N98" s="229" t="s">
        <v>592</v>
      </c>
      <c r="O98" s="194" t="s">
        <v>592</v>
      </c>
      <c r="P98" s="199" t="s">
        <v>592</v>
      </c>
      <c r="Q98" s="194">
        <f>133+8+27</f>
        <v>168</v>
      </c>
      <c r="R98" s="194">
        <f>24+20+14</f>
        <v>58</v>
      </c>
      <c r="S98" s="193">
        <f t="shared" si="5"/>
        <v>226</v>
      </c>
      <c r="T98" s="274" t="s">
        <v>578</v>
      </c>
      <c r="U98" s="170">
        <v>80</v>
      </c>
    </row>
    <row r="99" spans="10:24" ht="23.25" customHeight="1">
      <c r="J99" s="1341" t="s">
        <v>160</v>
      </c>
      <c r="K99" s="1341"/>
      <c r="L99" s="1341"/>
      <c r="M99" s="1341"/>
      <c r="N99" s="211"/>
      <c r="O99" s="211"/>
      <c r="Q99" s="211"/>
      <c r="R99" s="211"/>
      <c r="S99" s="1258" t="s">
        <v>579</v>
      </c>
      <c r="T99" s="1258"/>
      <c r="U99" s="1258"/>
    </row>
    <row r="100" spans="10:24" ht="21" customHeight="1">
      <c r="V100" s="209"/>
      <c r="W100" s="209"/>
      <c r="X100" s="209"/>
    </row>
    <row r="107" spans="10:24">
      <c r="J107" s="1360" t="s">
        <v>340</v>
      </c>
      <c r="K107" s="1360"/>
      <c r="L107" s="1360"/>
      <c r="M107" s="1360"/>
      <c r="N107" s="1360"/>
      <c r="O107" s="1360"/>
      <c r="P107" s="1360"/>
      <c r="Q107" s="1360"/>
      <c r="R107" s="1360"/>
      <c r="S107" s="1360"/>
      <c r="T107" s="1360"/>
      <c r="U107" s="1360"/>
    </row>
    <row r="108" spans="10:24">
      <c r="J108" s="1305" t="s">
        <v>341</v>
      </c>
      <c r="K108" s="1305"/>
      <c r="L108" s="1305"/>
      <c r="M108" s="1305"/>
      <c r="N108" s="1305"/>
      <c r="O108" s="1305"/>
      <c r="P108" s="1305"/>
      <c r="Q108" s="1305"/>
      <c r="R108" s="1305"/>
      <c r="S108" s="1305"/>
      <c r="T108" s="1305"/>
    </row>
  </sheetData>
  <mergeCells count="49">
    <mergeCell ref="J108:T108"/>
    <mergeCell ref="S99:U99"/>
    <mergeCell ref="J107:U107"/>
    <mergeCell ref="J1:U1"/>
    <mergeCell ref="J3:U3"/>
    <mergeCell ref="J99:M99"/>
    <mergeCell ref="K48:P48"/>
    <mergeCell ref="Q48:U48"/>
    <mergeCell ref="K50:M50"/>
    <mergeCell ref="N50:P50"/>
    <mergeCell ref="Q50:S50"/>
    <mergeCell ref="U49:U52"/>
    <mergeCell ref="K86:P86"/>
    <mergeCell ref="Q86:U86"/>
    <mergeCell ref="N6:P6"/>
    <mergeCell ref="Q6:S6"/>
    <mergeCell ref="A53:I53"/>
    <mergeCell ref="A56:C56"/>
    <mergeCell ref="D56:F56"/>
    <mergeCell ref="G56:I56"/>
    <mergeCell ref="A2:U2"/>
    <mergeCell ref="A9:C9"/>
    <mergeCell ref="D9:F9"/>
    <mergeCell ref="G9:I9"/>
    <mergeCell ref="A8:I8"/>
    <mergeCell ref="K5:M5"/>
    <mergeCell ref="N5:P5"/>
    <mergeCell ref="Q5:S5"/>
    <mergeCell ref="T4:T7"/>
    <mergeCell ref="J4:J7"/>
    <mergeCell ref="K4:S4"/>
    <mergeCell ref="U4:U7"/>
    <mergeCell ref="K6:M6"/>
    <mergeCell ref="J49:J52"/>
    <mergeCell ref="T49:T52"/>
    <mergeCell ref="K49:S49"/>
    <mergeCell ref="K51:M51"/>
    <mergeCell ref="N51:P51"/>
    <mergeCell ref="Q51:S51"/>
    <mergeCell ref="J87:J90"/>
    <mergeCell ref="K87:S87"/>
    <mergeCell ref="T87:T90"/>
    <mergeCell ref="U87:U90"/>
    <mergeCell ref="K88:M88"/>
    <mergeCell ref="N88:P88"/>
    <mergeCell ref="Q88:S88"/>
    <mergeCell ref="K89:M89"/>
    <mergeCell ref="N89:P89"/>
    <mergeCell ref="Q89:S89"/>
  </mergeCells>
  <pageMargins left="0.10433070899999999" right="0.10433070899999999" top="0.31496062992126" bottom="0.55118110236220497" header="0.196850393700787" footer="0.39370078740157499"/>
  <pageSetup paperSize="9" scale="70" orientation="portrait" verticalDpi="300" r:id="rId1"/>
  <headerFooter>
    <oddFooter>&amp;R&amp;"Times New Roman,Bold"               &amp;"B Nazanin,Regular"&amp;10سالنامۀ احصائیوی سال 1400</oddFooter>
  </headerFooter>
  <rowBreaks count="2" manualBreakCount="2">
    <brk id="47" min="9" max="20" man="1"/>
    <brk id="85" min="9" max="20" man="1"/>
  </row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0"/>
  </sheetPr>
  <dimension ref="A1:Z158"/>
  <sheetViews>
    <sheetView view="pageBreakPreview" topLeftCell="D3" zoomScale="112" zoomScaleNormal="100" zoomScaleSheetLayoutView="112" workbookViewId="0">
      <selection activeCell="D3" sqref="D3:L3"/>
    </sheetView>
  </sheetViews>
  <sheetFormatPr baseColWidth="10" defaultColWidth="8.83203125" defaultRowHeight="15"/>
  <cols>
    <col min="1" max="1" width="9.1640625" hidden="1" customWidth="1"/>
    <col min="2" max="2" width="5.6640625" hidden="1" customWidth="1"/>
    <col min="3" max="3" width="0" hidden="1" customWidth="1"/>
    <col min="4" max="4" width="3.5" style="100" customWidth="1"/>
    <col min="5" max="5" width="11.1640625" style="70" customWidth="1"/>
    <col min="6" max="6" width="18.6640625" style="70" customWidth="1"/>
    <col min="7" max="7" width="10.83203125" style="125" customWidth="1"/>
    <col min="8" max="8" width="12.33203125" style="125" customWidth="1"/>
    <col min="9" max="9" width="8.6640625" style="125" customWidth="1"/>
    <col min="10" max="10" width="17.6640625" style="177" customWidth="1"/>
    <col min="11" max="11" width="10.6640625" style="178" customWidth="1"/>
    <col min="12" max="12" width="4.33203125" style="177" customWidth="1"/>
    <col min="14" max="14" width="11.5" bestFit="1" customWidth="1"/>
  </cols>
  <sheetData>
    <row r="1" spans="1:16" ht="29.25" hidden="1" customHeight="1">
      <c r="A1" s="353"/>
      <c r="B1" s="353"/>
      <c r="C1" s="353"/>
      <c r="D1" s="593"/>
      <c r="E1" s="1431" t="s">
        <v>2242</v>
      </c>
      <c r="F1" s="1431"/>
      <c r="G1" s="1431"/>
      <c r="H1" s="1431"/>
      <c r="I1" s="1431"/>
      <c r="J1" s="1431"/>
      <c r="K1" s="1431"/>
      <c r="L1" s="1431"/>
    </row>
    <row r="2" spans="1:16" ht="20.25" hidden="1" customHeight="1">
      <c r="A2" s="344" t="s">
        <v>86</v>
      </c>
      <c r="B2" s="344"/>
      <c r="C2" s="344"/>
      <c r="D2" s="524"/>
      <c r="E2" s="1431" t="s">
        <v>2243</v>
      </c>
      <c r="F2" s="1431"/>
      <c r="G2" s="1431"/>
      <c r="H2" s="1431"/>
      <c r="I2" s="1431"/>
      <c r="J2" s="1431"/>
      <c r="K2" s="1431"/>
      <c r="L2" s="1431"/>
    </row>
    <row r="3" spans="1:16" ht="27" customHeight="1">
      <c r="A3" s="125"/>
      <c r="B3" s="125"/>
      <c r="C3" s="125"/>
      <c r="D3" s="1302" t="s">
        <v>2244</v>
      </c>
      <c r="E3" s="1302"/>
      <c r="F3" s="1302"/>
      <c r="G3" s="1302"/>
      <c r="H3" s="1302"/>
      <c r="I3" s="1302"/>
      <c r="J3" s="1302"/>
      <c r="K3" s="1302"/>
      <c r="L3" s="1302"/>
    </row>
    <row r="4" spans="1:16" ht="17" customHeight="1">
      <c r="D4" s="1343" t="s">
        <v>621</v>
      </c>
      <c r="E4" s="1405" t="s">
        <v>139</v>
      </c>
      <c r="F4" s="1406" t="s">
        <v>2151</v>
      </c>
      <c r="G4" s="1407" t="s">
        <v>1212</v>
      </c>
      <c r="H4" s="1367"/>
      <c r="I4" s="1368"/>
      <c r="J4" s="1432" t="s">
        <v>706</v>
      </c>
      <c r="K4" s="1434" t="s">
        <v>17</v>
      </c>
      <c r="L4" s="1409" t="s">
        <v>727</v>
      </c>
    </row>
    <row r="5" spans="1:16" ht="17" customHeight="1">
      <c r="A5" s="1435">
        <v>1400</v>
      </c>
      <c r="B5" s="1435"/>
      <c r="C5" s="1436"/>
      <c r="D5" s="1266"/>
      <c r="E5" s="1405"/>
      <c r="F5" s="1406"/>
      <c r="G5" s="1211" t="s">
        <v>704</v>
      </c>
      <c r="H5" s="1211" t="s">
        <v>1213</v>
      </c>
      <c r="I5" s="1237" t="s">
        <v>703</v>
      </c>
      <c r="J5" s="1433"/>
      <c r="K5" s="1434"/>
      <c r="L5" s="1409"/>
    </row>
    <row r="6" spans="1:16" ht="17" customHeight="1">
      <c r="A6" s="597"/>
      <c r="B6" s="597"/>
      <c r="C6" s="598"/>
      <c r="D6" s="1266"/>
      <c r="E6" s="1405"/>
      <c r="F6" s="1406"/>
      <c r="G6" s="1234" t="s">
        <v>73</v>
      </c>
      <c r="H6" s="1234" t="s">
        <v>702</v>
      </c>
      <c r="I6" s="1231" t="s">
        <v>701</v>
      </c>
      <c r="J6" s="1433" t="s">
        <v>705</v>
      </c>
      <c r="K6" s="1434"/>
      <c r="L6" s="1409"/>
      <c r="O6" s="4"/>
    </row>
    <row r="7" spans="1:16" ht="17" customHeight="1">
      <c r="A7" s="91" t="s">
        <v>73</v>
      </c>
      <c r="B7" s="91" t="s">
        <v>74</v>
      </c>
      <c r="C7" s="176" t="s">
        <v>75</v>
      </c>
      <c r="D7" s="1267"/>
      <c r="E7" s="1405"/>
      <c r="F7" s="1406"/>
      <c r="G7" s="1213" t="s">
        <v>168</v>
      </c>
      <c r="H7" s="1213" t="s">
        <v>137</v>
      </c>
      <c r="I7" s="894" t="s">
        <v>165</v>
      </c>
      <c r="J7" s="1437"/>
      <c r="K7" s="1434"/>
      <c r="L7" s="1409"/>
    </row>
    <row r="8" spans="1:16" ht="17" customHeight="1">
      <c r="A8" s="106"/>
      <c r="D8" s="1438"/>
      <c r="E8" s="1440" t="s">
        <v>70</v>
      </c>
      <c r="F8" s="517" t="s">
        <v>70</v>
      </c>
      <c r="G8" s="290">
        <f>G12+G16+G20+G24+G28+G32+G36+G40+G44+G54+G58+G62+G66+G70+G74+G78+G82+G86+G90+G100+G104+G108+G112+G116+G120+G124+G128+G132+G136+G140+G148</f>
        <v>44959</v>
      </c>
      <c r="H8" s="414">
        <f t="shared" ref="H8:I8" si="0">H12+H16+H20+H24+H28+H32+H36+H40+H44+H54+H58+H62+H66+H70+H74+H78+H82+H86+H90+H100+H104+H108+H112+H116+H120+H124+H128+H132+H136+H140+H148</f>
        <v>1061225</v>
      </c>
      <c r="I8" s="492">
        <f t="shared" si="0"/>
        <v>3022</v>
      </c>
      <c r="J8" s="898" t="s">
        <v>671</v>
      </c>
      <c r="K8" s="1441" t="s">
        <v>671</v>
      </c>
      <c r="L8" s="1438"/>
    </row>
    <row r="9" spans="1:16" s="639" customFormat="1" ht="17" customHeight="1">
      <c r="A9" s="750"/>
      <c r="D9" s="1439"/>
      <c r="E9" s="1440"/>
      <c r="F9" s="517" t="s">
        <v>71</v>
      </c>
      <c r="G9" s="849">
        <f>G13+G17+G21+G25+G29+G33+G37+G41+G45+G55+G59+G63+G67+G71+G75+G79+G83+G87+G91+G101+G105+G109+G113+G117+G121+G125+G129+G133+G137+G141+G149</f>
        <v>11789</v>
      </c>
      <c r="H9" s="491">
        <f t="shared" ref="H9:I9" si="1">H13+H17+H21+H25+H29+H33+H37+H41+H45+H55+H59+H63+H67+H71+H75+H79+H83+H87+H91+H101+H105+H109+H113+H117+H121+H125+H129+H133+H137+H141+H149</f>
        <v>772994</v>
      </c>
      <c r="I9" s="492">
        <f t="shared" si="1"/>
        <v>1253</v>
      </c>
      <c r="J9" s="493" t="s">
        <v>1519</v>
      </c>
      <c r="K9" s="1442"/>
      <c r="L9" s="1439"/>
      <c r="N9" s="787"/>
    </row>
    <row r="10" spans="1:16" ht="17" customHeight="1">
      <c r="A10" s="107"/>
      <c r="D10" s="1439"/>
      <c r="E10" s="1440"/>
      <c r="F10" s="517" t="s">
        <v>92</v>
      </c>
      <c r="G10" s="290">
        <f>G14+G18+G22+G26+G30+G34+G38+G42+G46+G56+G60+G64+G68+G72+G76+G80+G84+G88+G92+G102+G106+G110+G114+G118+G122+G126+G130+G134+G138+G142+G150</f>
        <v>8498</v>
      </c>
      <c r="H10" s="414">
        <f t="shared" ref="H10:I10" si="2">H14+H18+H22+H26+H30+H34+H38+H42+H46+H56+H60+H64+H68+H72+H76+H80+H84+H88+H92+H102+H106+H110+H114+H118+H122+H126+H130+H134+H138+H142+H150</f>
        <v>206302</v>
      </c>
      <c r="I10" s="492">
        <f t="shared" si="2"/>
        <v>620</v>
      </c>
      <c r="J10" s="493" t="s">
        <v>1520</v>
      </c>
      <c r="K10" s="1442"/>
      <c r="L10" s="1439"/>
      <c r="O10" s="4"/>
    </row>
    <row r="11" spans="1:16" s="639" customFormat="1" ht="17" customHeight="1">
      <c r="A11" s="750"/>
      <c r="D11" s="1439"/>
      <c r="E11" s="1440"/>
      <c r="F11" s="899" t="s">
        <v>93</v>
      </c>
      <c r="G11" s="290">
        <f>G15+G19+G23+G27+G31+G35+G39+G43+G47+G57+G61+G65+G69+G73+G77+G81+G85+G89+G93+G103+G107+G111+G115+G119+G123+G127+G131+G135+G139+G143+G151</f>
        <v>24672</v>
      </c>
      <c r="H11" s="414">
        <f t="shared" ref="H11:I11" si="3">H15+H19+H23+H27+H31+H35+H39+H43+H47+H57+H61+H65+H69+H73+H77+H81+H85+H89+H93+H103+H107+H111+H115+H119+H123+H127+H131+H135+H139+H143+H151</f>
        <v>81929</v>
      </c>
      <c r="I11" s="494">
        <f t="shared" si="3"/>
        <v>1149</v>
      </c>
      <c r="J11" s="493" t="s">
        <v>1521</v>
      </c>
      <c r="K11" s="1442"/>
      <c r="L11" s="1439"/>
    </row>
    <row r="12" spans="1:16" ht="17" customHeight="1">
      <c r="A12" s="107"/>
      <c r="D12" s="1394">
        <v>1</v>
      </c>
      <c r="E12" s="1413" t="s">
        <v>135</v>
      </c>
      <c r="F12" s="1088" t="s">
        <v>70</v>
      </c>
      <c r="G12" s="184">
        <f>G13+G14+G15</f>
        <v>22686</v>
      </c>
      <c r="H12" s="334">
        <f>H13+H14+H15</f>
        <v>526321</v>
      </c>
      <c r="I12" s="253">
        <f>I13+I14+I15</f>
        <v>1492</v>
      </c>
      <c r="J12" s="1089" t="s">
        <v>671</v>
      </c>
      <c r="K12" s="1420" t="s">
        <v>58</v>
      </c>
      <c r="L12" s="1389">
        <v>1</v>
      </c>
    </row>
    <row r="13" spans="1:16" s="639" customFormat="1" ht="17" customHeight="1">
      <c r="A13" s="750"/>
      <c r="D13" s="1394"/>
      <c r="E13" s="1413"/>
      <c r="F13" s="784" t="s">
        <v>71</v>
      </c>
      <c r="G13" s="185">
        <f>2637+879</f>
        <v>3516</v>
      </c>
      <c r="H13" s="212">
        <f>334988+42365</f>
        <v>377353</v>
      </c>
      <c r="I13" s="136">
        <f>322+85</f>
        <v>407</v>
      </c>
      <c r="J13" s="777" t="s">
        <v>1519</v>
      </c>
      <c r="K13" s="1420"/>
      <c r="L13" s="1389"/>
      <c r="P13" s="692"/>
    </row>
    <row r="14" spans="1:16" ht="17" customHeight="1">
      <c r="A14" s="107"/>
      <c r="D14" s="1394"/>
      <c r="E14" s="1413"/>
      <c r="F14" s="784" t="s">
        <v>92</v>
      </c>
      <c r="G14" s="185">
        <f>4366+473</f>
        <v>4839</v>
      </c>
      <c r="H14" s="212">
        <f>97056+12292</f>
        <v>109348</v>
      </c>
      <c r="I14" s="136">
        <f>348+35</f>
        <v>383</v>
      </c>
      <c r="J14" s="777" t="s">
        <v>1520</v>
      </c>
      <c r="K14" s="1420"/>
      <c r="L14" s="1389"/>
    </row>
    <row r="15" spans="1:16" s="639" customFormat="1" ht="17" customHeight="1">
      <c r="A15" s="750"/>
      <c r="D15" s="1394"/>
      <c r="E15" s="1413"/>
      <c r="F15" s="900" t="s">
        <v>93</v>
      </c>
      <c r="G15" s="185">
        <f>13499+832</f>
        <v>14331</v>
      </c>
      <c r="H15" s="212">
        <f>35560+4060</f>
        <v>39620</v>
      </c>
      <c r="I15" s="136">
        <f>665+37</f>
        <v>702</v>
      </c>
      <c r="J15" s="777" t="s">
        <v>1521</v>
      </c>
      <c r="K15" s="1420"/>
      <c r="L15" s="1389"/>
      <c r="N15" s="788"/>
    </row>
    <row r="16" spans="1:16" ht="17" customHeight="1">
      <c r="A16" s="107"/>
      <c r="D16" s="1396">
        <v>2</v>
      </c>
      <c r="E16" s="1403" t="s">
        <v>166</v>
      </c>
      <c r="F16" s="517" t="s">
        <v>70</v>
      </c>
      <c r="G16" s="290">
        <f>G17+G18+G19</f>
        <v>142</v>
      </c>
      <c r="H16" s="414">
        <f>H17+H18+H19</f>
        <v>3243</v>
      </c>
      <c r="I16" s="492">
        <f>I17+I18+I19</f>
        <v>19</v>
      </c>
      <c r="J16" s="898" t="s">
        <v>671</v>
      </c>
      <c r="K16" s="1423" t="s">
        <v>730</v>
      </c>
      <c r="L16" s="1392">
        <v>2</v>
      </c>
      <c r="N16" s="354"/>
      <c r="O16" s="4"/>
      <c r="P16" s="3"/>
    </row>
    <row r="17" spans="1:16" s="639" customFormat="1" ht="17" customHeight="1">
      <c r="A17" s="750"/>
      <c r="D17" s="1396"/>
      <c r="E17" s="1403"/>
      <c r="F17" s="254" t="s">
        <v>71</v>
      </c>
      <c r="G17" s="186">
        <v>109</v>
      </c>
      <c r="H17" s="214">
        <v>2865</v>
      </c>
      <c r="I17" s="143">
        <v>17</v>
      </c>
      <c r="J17" s="250" t="s">
        <v>1519</v>
      </c>
      <c r="K17" s="1423"/>
      <c r="L17" s="1392"/>
      <c r="N17" s="788"/>
    </row>
    <row r="18" spans="1:16" ht="17" customHeight="1">
      <c r="A18" s="107"/>
      <c r="D18" s="1396"/>
      <c r="E18" s="1403"/>
      <c r="F18" s="254" t="s">
        <v>92</v>
      </c>
      <c r="G18" s="186">
        <v>10</v>
      </c>
      <c r="H18" s="214">
        <v>296</v>
      </c>
      <c r="I18" s="143">
        <v>1</v>
      </c>
      <c r="J18" s="250" t="s">
        <v>1520</v>
      </c>
      <c r="K18" s="1423"/>
      <c r="L18" s="1392"/>
      <c r="N18" s="354"/>
      <c r="O18" s="3"/>
      <c r="P18" s="3"/>
    </row>
    <row r="19" spans="1:16" s="639" customFormat="1" ht="17" customHeight="1">
      <c r="A19" s="750"/>
      <c r="D19" s="1396"/>
      <c r="E19" s="1403"/>
      <c r="F19" s="901" t="s">
        <v>93</v>
      </c>
      <c r="G19" s="186">
        <v>23</v>
      </c>
      <c r="H19" s="214">
        <v>82</v>
      </c>
      <c r="I19" s="143">
        <v>1</v>
      </c>
      <c r="J19" s="250" t="s">
        <v>1521</v>
      </c>
      <c r="K19" s="1423"/>
      <c r="L19" s="1392"/>
      <c r="N19" s="788"/>
      <c r="O19" s="642"/>
    </row>
    <row r="20" spans="1:16" ht="17" customHeight="1">
      <c r="A20" s="107"/>
      <c r="D20" s="1394">
        <v>3</v>
      </c>
      <c r="E20" s="1413" t="s">
        <v>103</v>
      </c>
      <c r="F20" s="1088" t="s">
        <v>70</v>
      </c>
      <c r="G20" s="184">
        <f>G21+G22+G23</f>
        <v>193</v>
      </c>
      <c r="H20" s="334">
        <f>H21+H22+H23</f>
        <v>4268</v>
      </c>
      <c r="I20" s="253">
        <f>I21+I22+I23</f>
        <v>18</v>
      </c>
      <c r="J20" s="1089" t="s">
        <v>671</v>
      </c>
      <c r="K20" s="1420" t="s">
        <v>67</v>
      </c>
      <c r="L20" s="1389">
        <v>3</v>
      </c>
      <c r="N20" s="68"/>
      <c r="O20" s="3"/>
      <c r="P20" s="3"/>
    </row>
    <row r="21" spans="1:16" s="639" customFormat="1" ht="17" customHeight="1">
      <c r="A21" s="750"/>
      <c r="D21" s="1394"/>
      <c r="E21" s="1413"/>
      <c r="F21" s="784" t="s">
        <v>71</v>
      </c>
      <c r="G21" s="185">
        <v>27</v>
      </c>
      <c r="H21" s="212">
        <v>3104</v>
      </c>
      <c r="I21" s="136">
        <v>6</v>
      </c>
      <c r="J21" s="777" t="s">
        <v>1519</v>
      </c>
      <c r="K21" s="1420"/>
      <c r="L21" s="1389"/>
    </row>
    <row r="22" spans="1:16" ht="17" customHeight="1">
      <c r="A22" s="107"/>
      <c r="D22" s="1394"/>
      <c r="E22" s="1413"/>
      <c r="F22" s="784" t="s">
        <v>92</v>
      </c>
      <c r="G22" s="185">
        <v>24</v>
      </c>
      <c r="H22" s="212">
        <v>816</v>
      </c>
      <c r="I22" s="136">
        <v>3</v>
      </c>
      <c r="J22" s="777" t="s">
        <v>1520</v>
      </c>
      <c r="K22" s="1420"/>
      <c r="L22" s="1389"/>
    </row>
    <row r="23" spans="1:16" s="639" customFormat="1" ht="17" customHeight="1">
      <c r="A23" s="750"/>
      <c r="D23" s="1394"/>
      <c r="E23" s="1413"/>
      <c r="F23" s="900" t="s">
        <v>93</v>
      </c>
      <c r="G23" s="185">
        <v>142</v>
      </c>
      <c r="H23" s="212">
        <v>348</v>
      </c>
      <c r="I23" s="136">
        <v>9</v>
      </c>
      <c r="J23" s="777" t="s">
        <v>1521</v>
      </c>
      <c r="K23" s="1420"/>
      <c r="L23" s="1389"/>
      <c r="O23" s="642"/>
      <c r="P23" s="642"/>
    </row>
    <row r="24" spans="1:16" ht="17" customHeight="1">
      <c r="A24" s="107"/>
      <c r="D24" s="1396">
        <v>4</v>
      </c>
      <c r="E24" s="1403" t="s">
        <v>652</v>
      </c>
      <c r="F24" s="517" t="s">
        <v>70</v>
      </c>
      <c r="G24" s="290">
        <f>G25+G26+G27</f>
        <v>76</v>
      </c>
      <c r="H24" s="414">
        <f>H25+H26+H27</f>
        <v>1979</v>
      </c>
      <c r="I24" s="492">
        <f>I25+I26+I27</f>
        <v>6</v>
      </c>
      <c r="J24" s="898" t="s">
        <v>671</v>
      </c>
      <c r="K24" s="1423" t="s">
        <v>1255</v>
      </c>
      <c r="L24" s="1392">
        <v>4</v>
      </c>
    </row>
    <row r="25" spans="1:16" s="639" customFormat="1" ht="17" customHeight="1">
      <c r="A25" s="750"/>
      <c r="D25" s="1396"/>
      <c r="E25" s="1403"/>
      <c r="F25" s="254" t="s">
        <v>71</v>
      </c>
      <c r="G25" s="186">
        <v>21</v>
      </c>
      <c r="H25" s="214">
        <v>1261</v>
      </c>
      <c r="I25" s="143">
        <v>3</v>
      </c>
      <c r="J25" s="250" t="s">
        <v>1519</v>
      </c>
      <c r="K25" s="1423"/>
      <c r="L25" s="1392"/>
    </row>
    <row r="26" spans="1:16" ht="17" customHeight="1">
      <c r="A26" s="107"/>
      <c r="D26" s="1396"/>
      <c r="E26" s="1403"/>
      <c r="F26" s="254" t="s">
        <v>92</v>
      </c>
      <c r="G26" s="186">
        <v>0</v>
      </c>
      <c r="H26" s="214">
        <v>474</v>
      </c>
      <c r="I26" s="143">
        <v>0</v>
      </c>
      <c r="J26" s="250" t="s">
        <v>1520</v>
      </c>
      <c r="K26" s="1423"/>
      <c r="L26" s="1392"/>
    </row>
    <row r="27" spans="1:16" s="639" customFormat="1" ht="17" customHeight="1">
      <c r="A27" s="750"/>
      <c r="D27" s="1396"/>
      <c r="E27" s="1403"/>
      <c r="F27" s="901" t="s">
        <v>93</v>
      </c>
      <c r="G27" s="186">
        <v>55</v>
      </c>
      <c r="H27" s="214">
        <v>244</v>
      </c>
      <c r="I27" s="143">
        <v>3</v>
      </c>
      <c r="J27" s="250" t="s">
        <v>1521</v>
      </c>
      <c r="K27" s="1423"/>
      <c r="L27" s="1392"/>
    </row>
    <row r="28" spans="1:16" ht="17" customHeight="1">
      <c r="A28" s="107"/>
      <c r="D28" s="1394">
        <v>5</v>
      </c>
      <c r="E28" s="1413" t="s">
        <v>104</v>
      </c>
      <c r="F28" s="1088" t="s">
        <v>70</v>
      </c>
      <c r="G28" s="184">
        <f>G29+G30+G31</f>
        <v>377</v>
      </c>
      <c r="H28" s="334">
        <f>H29+H30+H31</f>
        <v>12079</v>
      </c>
      <c r="I28" s="253">
        <f>I29+I30+I31</f>
        <v>25</v>
      </c>
      <c r="J28" s="1089" t="s">
        <v>671</v>
      </c>
      <c r="K28" s="1420" t="s">
        <v>68</v>
      </c>
      <c r="L28" s="1389">
        <v>5</v>
      </c>
    </row>
    <row r="29" spans="1:16" s="639" customFormat="1" ht="17" customHeight="1">
      <c r="A29" s="750"/>
      <c r="D29" s="1394"/>
      <c r="E29" s="1413"/>
      <c r="F29" s="784" t="s">
        <v>71</v>
      </c>
      <c r="G29" s="185">
        <v>66</v>
      </c>
      <c r="H29" s="212">
        <v>7641</v>
      </c>
      <c r="I29" s="136">
        <v>8</v>
      </c>
      <c r="J29" s="777" t="s">
        <v>1519</v>
      </c>
      <c r="K29" s="1420"/>
      <c r="L29" s="1389"/>
    </row>
    <row r="30" spans="1:16" ht="17" customHeight="1">
      <c r="A30" s="107"/>
      <c r="D30" s="1394"/>
      <c r="E30" s="1413"/>
      <c r="F30" s="784" t="s">
        <v>92</v>
      </c>
      <c r="G30" s="185">
        <v>60</v>
      </c>
      <c r="H30" s="212">
        <v>2734</v>
      </c>
      <c r="I30" s="136">
        <v>4</v>
      </c>
      <c r="J30" s="777" t="s">
        <v>1520</v>
      </c>
      <c r="K30" s="1420"/>
      <c r="L30" s="1389"/>
    </row>
    <row r="31" spans="1:16" s="639" customFormat="1" ht="17" customHeight="1">
      <c r="A31" s="750"/>
      <c r="D31" s="1394"/>
      <c r="E31" s="1413"/>
      <c r="F31" s="900" t="s">
        <v>93</v>
      </c>
      <c r="G31" s="185">
        <v>251</v>
      </c>
      <c r="H31" s="212">
        <v>1704</v>
      </c>
      <c r="I31" s="136">
        <v>13</v>
      </c>
      <c r="J31" s="777" t="s">
        <v>1521</v>
      </c>
      <c r="K31" s="1420"/>
      <c r="L31" s="1389"/>
    </row>
    <row r="32" spans="1:16" ht="17" customHeight="1">
      <c r="A32" s="107"/>
      <c r="D32" s="1396">
        <v>6</v>
      </c>
      <c r="E32" s="1403" t="s">
        <v>143</v>
      </c>
      <c r="F32" s="517" t="s">
        <v>70</v>
      </c>
      <c r="G32" s="290">
        <f>G33+G34+G35</f>
        <v>3633</v>
      </c>
      <c r="H32" s="414">
        <f>H33+H34+H35</f>
        <v>83197</v>
      </c>
      <c r="I32" s="492">
        <f>I33+I34+I35</f>
        <v>290</v>
      </c>
      <c r="J32" s="898" t="s">
        <v>671</v>
      </c>
      <c r="K32" s="1423" t="s">
        <v>28</v>
      </c>
      <c r="L32" s="1392">
        <v>6</v>
      </c>
    </row>
    <row r="33" spans="1:19" s="639" customFormat="1" ht="17" customHeight="1">
      <c r="A33" s="750"/>
      <c r="D33" s="1396"/>
      <c r="E33" s="1403"/>
      <c r="F33" s="254" t="s">
        <v>71</v>
      </c>
      <c r="G33" s="186">
        <v>2628</v>
      </c>
      <c r="H33" s="214">
        <v>64330</v>
      </c>
      <c r="I33" s="143">
        <f>206+37</f>
        <v>243</v>
      </c>
      <c r="J33" s="250" t="s">
        <v>1519</v>
      </c>
      <c r="K33" s="1423"/>
      <c r="L33" s="1392"/>
    </row>
    <row r="34" spans="1:19" ht="17" customHeight="1">
      <c r="A34" s="107"/>
      <c r="D34" s="1396"/>
      <c r="E34" s="1403"/>
      <c r="F34" s="254" t="s">
        <v>92</v>
      </c>
      <c r="G34" s="186">
        <v>422</v>
      </c>
      <c r="H34" s="214">
        <v>13553</v>
      </c>
      <c r="I34" s="143">
        <v>22</v>
      </c>
      <c r="J34" s="250" t="s">
        <v>1520</v>
      </c>
      <c r="K34" s="1423"/>
      <c r="L34" s="1392"/>
    </row>
    <row r="35" spans="1:19" s="639" customFormat="1" ht="17" customHeight="1">
      <c r="A35" s="750"/>
      <c r="D35" s="1396"/>
      <c r="E35" s="1403"/>
      <c r="F35" s="901" t="s">
        <v>93</v>
      </c>
      <c r="G35" s="186">
        <v>583</v>
      </c>
      <c r="H35" s="214">
        <v>5314</v>
      </c>
      <c r="I35" s="143">
        <v>25</v>
      </c>
      <c r="J35" s="250" t="s">
        <v>1521</v>
      </c>
      <c r="K35" s="1423"/>
      <c r="L35" s="1392"/>
    </row>
    <row r="36" spans="1:19" ht="17" customHeight="1">
      <c r="A36" s="107"/>
      <c r="D36" s="1394">
        <v>7</v>
      </c>
      <c r="E36" s="1413" t="s">
        <v>144</v>
      </c>
      <c r="F36" s="1088" t="s">
        <v>70</v>
      </c>
      <c r="G36" s="184">
        <f>G37+G38+G39</f>
        <v>424</v>
      </c>
      <c r="H36" s="334">
        <f>H37+H38+H39</f>
        <v>14631</v>
      </c>
      <c r="I36" s="253">
        <f>I37+I38+I39</f>
        <v>43</v>
      </c>
      <c r="J36" s="1089" t="s">
        <v>671</v>
      </c>
      <c r="K36" s="1420" t="s">
        <v>29</v>
      </c>
      <c r="L36" s="1389">
        <v>7</v>
      </c>
      <c r="N36" s="69"/>
      <c r="O36" s="69"/>
      <c r="P36" s="69"/>
      <c r="Q36" s="404"/>
      <c r="R36" s="1429"/>
      <c r="S36" s="1430"/>
    </row>
    <row r="37" spans="1:19" s="639" customFormat="1" ht="17" customHeight="1">
      <c r="A37" s="750"/>
      <c r="D37" s="1394"/>
      <c r="E37" s="1413"/>
      <c r="F37" s="784" t="s">
        <v>71</v>
      </c>
      <c r="G37" s="185">
        <v>210</v>
      </c>
      <c r="H37" s="212">
        <v>11990</v>
      </c>
      <c r="I37" s="136">
        <v>32</v>
      </c>
      <c r="J37" s="777" t="s">
        <v>1519</v>
      </c>
      <c r="K37" s="1420"/>
      <c r="L37" s="1389"/>
      <c r="N37" s="69"/>
      <c r="O37" s="69"/>
      <c r="P37" s="69"/>
      <c r="Q37" s="405"/>
      <c r="R37" s="1429"/>
      <c r="S37" s="1430"/>
    </row>
    <row r="38" spans="1:19" ht="17" customHeight="1">
      <c r="A38" s="107"/>
      <c r="D38" s="1394"/>
      <c r="E38" s="1413"/>
      <c r="F38" s="784" t="s">
        <v>92</v>
      </c>
      <c r="G38" s="185">
        <v>73</v>
      </c>
      <c r="H38" s="212">
        <v>1923</v>
      </c>
      <c r="I38" s="136">
        <v>6</v>
      </c>
      <c r="J38" s="777" t="s">
        <v>1520</v>
      </c>
      <c r="K38" s="1420"/>
      <c r="L38" s="1389"/>
      <c r="N38" s="69"/>
      <c r="O38" s="69"/>
      <c r="P38" s="69"/>
      <c r="Q38" s="405"/>
      <c r="R38" s="1429"/>
      <c r="S38" s="1430"/>
    </row>
    <row r="39" spans="1:19" s="639" customFormat="1" ht="17" customHeight="1">
      <c r="A39" s="750"/>
      <c r="D39" s="1394"/>
      <c r="E39" s="1413"/>
      <c r="F39" s="900" t="s">
        <v>93</v>
      </c>
      <c r="G39" s="185">
        <v>141</v>
      </c>
      <c r="H39" s="212">
        <v>718</v>
      </c>
      <c r="I39" s="136">
        <v>5</v>
      </c>
      <c r="J39" s="777" t="s">
        <v>1521</v>
      </c>
      <c r="K39" s="1420"/>
      <c r="L39" s="1389"/>
      <c r="N39" s="69"/>
      <c r="O39" s="69"/>
      <c r="P39" s="69"/>
      <c r="Q39" s="405"/>
      <c r="R39" s="1429"/>
      <c r="S39" s="1430"/>
    </row>
    <row r="40" spans="1:19" ht="17" customHeight="1">
      <c r="A40" s="107"/>
      <c r="D40" s="1396">
        <v>8</v>
      </c>
      <c r="E40" s="1403" t="s">
        <v>145</v>
      </c>
      <c r="F40" s="517" t="s">
        <v>70</v>
      </c>
      <c r="G40" s="290">
        <f>G41+G42+G43</f>
        <v>521</v>
      </c>
      <c r="H40" s="414">
        <f>H41+H42+H43</f>
        <v>13344</v>
      </c>
      <c r="I40" s="492">
        <f>I41+I42+I43</f>
        <v>37</v>
      </c>
      <c r="J40" s="898" t="s">
        <v>671</v>
      </c>
      <c r="K40" s="1423" t="s">
        <v>20</v>
      </c>
      <c r="L40" s="1392">
        <v>8</v>
      </c>
    </row>
    <row r="41" spans="1:19" s="639" customFormat="1" ht="17" customHeight="1">
      <c r="A41" s="750"/>
      <c r="D41" s="1396"/>
      <c r="E41" s="1403"/>
      <c r="F41" s="254" t="s">
        <v>71</v>
      </c>
      <c r="G41" s="186">
        <v>196</v>
      </c>
      <c r="H41" s="214">
        <v>10714</v>
      </c>
      <c r="I41" s="143">
        <v>22</v>
      </c>
      <c r="J41" s="250" t="s">
        <v>1519</v>
      </c>
      <c r="K41" s="1423"/>
      <c r="L41" s="1392"/>
    </row>
    <row r="42" spans="1:19" ht="17" customHeight="1">
      <c r="A42" s="107"/>
      <c r="D42" s="1396"/>
      <c r="E42" s="1403"/>
      <c r="F42" s="254" t="s">
        <v>92</v>
      </c>
      <c r="G42" s="186">
        <v>95</v>
      </c>
      <c r="H42" s="214">
        <v>2129</v>
      </c>
      <c r="I42" s="143">
        <v>8</v>
      </c>
      <c r="J42" s="250" t="s">
        <v>1520</v>
      </c>
      <c r="K42" s="1423"/>
      <c r="L42" s="1392"/>
    </row>
    <row r="43" spans="1:19" s="639" customFormat="1" ht="17" customHeight="1">
      <c r="A43" s="750"/>
      <c r="D43" s="1396"/>
      <c r="E43" s="1403"/>
      <c r="F43" s="901" t="s">
        <v>93</v>
      </c>
      <c r="G43" s="186">
        <v>230</v>
      </c>
      <c r="H43" s="214">
        <v>501</v>
      </c>
      <c r="I43" s="143">
        <v>7</v>
      </c>
      <c r="J43" s="250" t="s">
        <v>1521</v>
      </c>
      <c r="K43" s="1423"/>
      <c r="L43" s="1392"/>
    </row>
    <row r="44" spans="1:19" ht="17" customHeight="1">
      <c r="A44" s="107"/>
      <c r="D44" s="1394">
        <v>9</v>
      </c>
      <c r="E44" s="1413" t="s">
        <v>109</v>
      </c>
      <c r="F44" s="1088" t="s">
        <v>70</v>
      </c>
      <c r="G44" s="184">
        <f>G45+G46+G47</f>
        <v>238</v>
      </c>
      <c r="H44" s="334">
        <f>H45+H46+H47</f>
        <v>5763</v>
      </c>
      <c r="I44" s="253">
        <f>I45+I46+I47</f>
        <v>25</v>
      </c>
      <c r="J44" s="1089" t="s">
        <v>671</v>
      </c>
      <c r="K44" s="1420" t="s">
        <v>21</v>
      </c>
      <c r="L44" s="1389">
        <v>9</v>
      </c>
    </row>
    <row r="45" spans="1:19" s="639" customFormat="1" ht="17" customHeight="1">
      <c r="A45" s="750"/>
      <c r="D45" s="1394"/>
      <c r="E45" s="1413"/>
      <c r="F45" s="784" t="s">
        <v>71</v>
      </c>
      <c r="G45" s="185">
        <v>89</v>
      </c>
      <c r="H45" s="212">
        <v>4256</v>
      </c>
      <c r="I45" s="136">
        <v>17</v>
      </c>
      <c r="J45" s="777" t="s">
        <v>1519</v>
      </c>
      <c r="K45" s="1420"/>
      <c r="L45" s="1389"/>
    </row>
    <row r="46" spans="1:19" ht="17" customHeight="1">
      <c r="A46" s="107"/>
      <c r="D46" s="1394"/>
      <c r="E46" s="1413"/>
      <c r="F46" s="784" t="s">
        <v>92</v>
      </c>
      <c r="G46" s="185">
        <v>7</v>
      </c>
      <c r="H46" s="212">
        <v>1071</v>
      </c>
      <c r="I46" s="136">
        <v>1</v>
      </c>
      <c r="J46" s="777" t="s">
        <v>1520</v>
      </c>
      <c r="K46" s="1420"/>
      <c r="L46" s="1389"/>
    </row>
    <row r="47" spans="1:19" s="639" customFormat="1" ht="17" customHeight="1">
      <c r="A47" s="750"/>
      <c r="D47" s="1412"/>
      <c r="E47" s="1414"/>
      <c r="F47" s="902" t="s">
        <v>93</v>
      </c>
      <c r="G47" s="187">
        <v>142</v>
      </c>
      <c r="H47" s="188">
        <v>436</v>
      </c>
      <c r="I47" s="189">
        <v>7</v>
      </c>
      <c r="J47" s="1104" t="s">
        <v>1521</v>
      </c>
      <c r="K47" s="1428"/>
      <c r="L47" s="1417"/>
    </row>
    <row r="48" spans="1:19" s="639" customFormat="1" ht="17" hidden="1" customHeight="1">
      <c r="A48" s="750"/>
      <c r="D48" s="1419" t="s">
        <v>752</v>
      </c>
      <c r="E48" s="1419"/>
      <c r="F48" s="1419"/>
      <c r="G48" s="214"/>
      <c r="H48" s="214"/>
      <c r="I48" s="214"/>
      <c r="J48" s="1418" t="s">
        <v>1305</v>
      </c>
      <c r="K48" s="1418"/>
      <c r="L48" s="1418"/>
    </row>
    <row r="49" spans="1:12" ht="17" hidden="1" customHeight="1">
      <c r="A49" s="107"/>
      <c r="D49" s="1419"/>
      <c r="E49" s="1419"/>
      <c r="F49" s="1419"/>
      <c r="G49" s="518"/>
      <c r="H49" s="518"/>
      <c r="I49" s="1418" t="s">
        <v>1292</v>
      </c>
      <c r="J49" s="1418"/>
      <c r="K49" s="1418"/>
      <c r="L49" s="1418"/>
    </row>
    <row r="50" spans="1:12" ht="15" hidden="1" customHeight="1">
      <c r="A50" s="107"/>
      <c r="D50" s="1343" t="s">
        <v>621</v>
      </c>
      <c r="E50" s="1405" t="s">
        <v>139</v>
      </c>
      <c r="F50" s="1406" t="s">
        <v>2151</v>
      </c>
      <c r="G50" s="1407" t="s">
        <v>1212</v>
      </c>
      <c r="H50" s="1367"/>
      <c r="I50" s="1368"/>
      <c r="J50" s="1408" t="s">
        <v>706</v>
      </c>
      <c r="K50" s="1405" t="s">
        <v>17</v>
      </c>
      <c r="L50" s="1409" t="s">
        <v>727</v>
      </c>
    </row>
    <row r="51" spans="1:12" hidden="1">
      <c r="A51" s="107"/>
      <c r="D51" s="1266"/>
      <c r="E51" s="1405"/>
      <c r="F51" s="1406"/>
      <c r="G51" s="1211" t="s">
        <v>704</v>
      </c>
      <c r="H51" s="1211" t="s">
        <v>1213</v>
      </c>
      <c r="I51" s="865" t="s">
        <v>703</v>
      </c>
      <c r="J51" s="1401"/>
      <c r="K51" s="1405"/>
      <c r="L51" s="1409"/>
    </row>
    <row r="52" spans="1:12" hidden="1">
      <c r="A52" s="107"/>
      <c r="D52" s="1266"/>
      <c r="E52" s="1405"/>
      <c r="F52" s="1406"/>
      <c r="G52" s="1212" t="s">
        <v>73</v>
      </c>
      <c r="H52" s="1212" t="s">
        <v>702</v>
      </c>
      <c r="I52" s="865" t="s">
        <v>701</v>
      </c>
      <c r="J52" s="1401" t="s">
        <v>705</v>
      </c>
      <c r="K52" s="1405"/>
      <c r="L52" s="1409"/>
    </row>
    <row r="53" spans="1:12" ht="19.5" hidden="1" customHeight="1">
      <c r="A53" s="107"/>
      <c r="D53" s="1267"/>
      <c r="E53" s="1405"/>
      <c r="F53" s="1406"/>
      <c r="G53" s="1213" t="s">
        <v>168</v>
      </c>
      <c r="H53" s="1213" t="s">
        <v>137</v>
      </c>
      <c r="I53" s="894" t="s">
        <v>165</v>
      </c>
      <c r="J53" s="1402"/>
      <c r="K53" s="1405"/>
      <c r="L53" s="1409"/>
    </row>
    <row r="54" spans="1:12" ht="26.25" customHeight="1">
      <c r="A54" s="107"/>
      <c r="C54" s="307"/>
      <c r="D54" s="1396">
        <v>10</v>
      </c>
      <c r="E54" s="1403" t="s">
        <v>110</v>
      </c>
      <c r="F54" s="517" t="s">
        <v>70</v>
      </c>
      <c r="G54" s="290">
        <f>G55+G56+G57</f>
        <v>1430</v>
      </c>
      <c r="H54" s="414">
        <f>H55+H56+H57</f>
        <v>40889</v>
      </c>
      <c r="I54" s="492">
        <f>I55+I56+I57</f>
        <v>99</v>
      </c>
      <c r="J54" s="898" t="s">
        <v>671</v>
      </c>
      <c r="K54" s="1423" t="s">
        <v>31</v>
      </c>
      <c r="L54" s="1392">
        <v>10</v>
      </c>
    </row>
    <row r="55" spans="1:12" s="639" customFormat="1" ht="18.75" customHeight="1">
      <c r="A55" s="750"/>
      <c r="C55" s="1426" t="s">
        <v>139</v>
      </c>
      <c r="D55" s="1396"/>
      <c r="E55" s="1403"/>
      <c r="F55" s="254" t="s">
        <v>71</v>
      </c>
      <c r="G55" s="186">
        <v>276</v>
      </c>
      <c r="H55" s="214">
        <v>29898</v>
      </c>
      <c r="I55" s="143">
        <v>32</v>
      </c>
      <c r="J55" s="250" t="s">
        <v>1519</v>
      </c>
      <c r="K55" s="1423"/>
      <c r="L55" s="1392"/>
    </row>
    <row r="56" spans="1:12" ht="18.75" customHeight="1">
      <c r="A56" s="107"/>
      <c r="C56" s="1427"/>
      <c r="D56" s="1396"/>
      <c r="E56" s="1403"/>
      <c r="F56" s="254" t="s">
        <v>92</v>
      </c>
      <c r="G56" s="186">
        <v>178</v>
      </c>
      <c r="H56" s="214">
        <v>7538</v>
      </c>
      <c r="I56" s="143">
        <v>18</v>
      </c>
      <c r="J56" s="250" t="s">
        <v>1520</v>
      </c>
      <c r="K56" s="1423"/>
      <c r="L56" s="1392"/>
    </row>
    <row r="57" spans="1:12" s="639" customFormat="1" ht="17" customHeight="1">
      <c r="A57" s="750"/>
      <c r="D57" s="1396"/>
      <c r="E57" s="1403"/>
      <c r="F57" s="901" t="s">
        <v>93</v>
      </c>
      <c r="G57" s="186">
        <v>976</v>
      </c>
      <c r="H57" s="214">
        <v>3453</v>
      </c>
      <c r="I57" s="143">
        <v>49</v>
      </c>
      <c r="J57" s="250" t="s">
        <v>1521</v>
      </c>
      <c r="K57" s="1423"/>
      <c r="L57" s="1392"/>
    </row>
    <row r="58" spans="1:12" ht="17" customHeight="1">
      <c r="A58" s="107"/>
      <c r="D58" s="1394">
        <v>11</v>
      </c>
      <c r="E58" s="1413" t="s">
        <v>129</v>
      </c>
      <c r="F58" s="1088" t="s">
        <v>70</v>
      </c>
      <c r="G58" s="184">
        <f>G59+G60+G61</f>
        <v>57</v>
      </c>
      <c r="H58" s="334">
        <f>H59+H60+H61</f>
        <v>1337</v>
      </c>
      <c r="I58" s="253">
        <f>I59+I60+I61</f>
        <v>6</v>
      </c>
      <c r="J58" s="1089" t="s">
        <v>671</v>
      </c>
      <c r="K58" s="1420" t="s">
        <v>24</v>
      </c>
      <c r="L58" s="1389">
        <v>11</v>
      </c>
    </row>
    <row r="59" spans="1:12" s="639" customFormat="1" ht="17" customHeight="1">
      <c r="A59" s="750"/>
      <c r="D59" s="1394"/>
      <c r="E59" s="1413"/>
      <c r="F59" s="784" t="s">
        <v>71</v>
      </c>
      <c r="G59" s="185">
        <v>0</v>
      </c>
      <c r="H59" s="212">
        <v>1027</v>
      </c>
      <c r="I59" s="136">
        <v>3</v>
      </c>
      <c r="J59" s="777" t="s">
        <v>1519</v>
      </c>
      <c r="K59" s="1420"/>
      <c r="L59" s="1389"/>
    </row>
    <row r="60" spans="1:12" ht="17" customHeight="1">
      <c r="A60" s="107"/>
      <c r="D60" s="1394"/>
      <c r="E60" s="1413"/>
      <c r="F60" s="784" t="s">
        <v>92</v>
      </c>
      <c r="G60" s="185">
        <v>14</v>
      </c>
      <c r="H60" s="212">
        <v>255</v>
      </c>
      <c r="I60" s="136">
        <v>1</v>
      </c>
      <c r="J60" s="777" t="s">
        <v>1520</v>
      </c>
      <c r="K60" s="1420"/>
      <c r="L60" s="1389"/>
    </row>
    <row r="61" spans="1:12" s="639" customFormat="1" ht="17" customHeight="1">
      <c r="A61" s="750"/>
      <c r="D61" s="1394"/>
      <c r="E61" s="1413"/>
      <c r="F61" s="900" t="s">
        <v>93</v>
      </c>
      <c r="G61" s="185">
        <v>43</v>
      </c>
      <c r="H61" s="212">
        <v>55</v>
      </c>
      <c r="I61" s="136">
        <v>2</v>
      </c>
      <c r="J61" s="777" t="s">
        <v>1521</v>
      </c>
      <c r="K61" s="1420"/>
      <c r="L61" s="1389"/>
    </row>
    <row r="62" spans="1:12" ht="17" customHeight="1">
      <c r="A62" s="107"/>
      <c r="D62" s="1396">
        <v>12</v>
      </c>
      <c r="E62" s="1397" t="s">
        <v>112</v>
      </c>
      <c r="F62" s="1090" t="s">
        <v>70</v>
      </c>
      <c r="G62" s="290">
        <f>G63+G64+G65</f>
        <v>550</v>
      </c>
      <c r="H62" s="414">
        <f>H63+H64+H65</f>
        <v>23246</v>
      </c>
      <c r="I62" s="492">
        <f>I63+I64+I65</f>
        <v>40</v>
      </c>
      <c r="J62" s="898" t="s">
        <v>671</v>
      </c>
      <c r="K62" s="1423" t="s">
        <v>33</v>
      </c>
      <c r="L62" s="1392">
        <v>12</v>
      </c>
    </row>
    <row r="63" spans="1:12" s="639" customFormat="1" ht="17" customHeight="1">
      <c r="A63" s="750"/>
      <c r="D63" s="1396"/>
      <c r="E63" s="1397"/>
      <c r="F63" s="249" t="s">
        <v>71</v>
      </c>
      <c r="G63" s="186">
        <v>231</v>
      </c>
      <c r="H63" s="214">
        <v>15743</v>
      </c>
      <c r="I63" s="143">
        <v>21</v>
      </c>
      <c r="J63" s="250" t="s">
        <v>1519</v>
      </c>
      <c r="K63" s="1423"/>
      <c r="L63" s="1392"/>
    </row>
    <row r="64" spans="1:12" ht="17" customHeight="1">
      <c r="A64" s="107"/>
      <c r="D64" s="1396"/>
      <c r="E64" s="1397"/>
      <c r="F64" s="249" t="s">
        <v>92</v>
      </c>
      <c r="G64" s="186">
        <v>92</v>
      </c>
      <c r="H64" s="214">
        <v>5002</v>
      </c>
      <c r="I64" s="143">
        <v>7</v>
      </c>
      <c r="J64" s="250" t="s">
        <v>1520</v>
      </c>
      <c r="K64" s="1423"/>
      <c r="L64" s="1392"/>
    </row>
    <row r="65" spans="1:26" s="639" customFormat="1" ht="17" customHeight="1">
      <c r="A65" s="750"/>
      <c r="D65" s="1396"/>
      <c r="E65" s="1397"/>
      <c r="F65" s="903" t="s">
        <v>93</v>
      </c>
      <c r="G65" s="186">
        <v>227</v>
      </c>
      <c r="H65" s="214">
        <v>2501</v>
      </c>
      <c r="I65" s="143">
        <v>12</v>
      </c>
      <c r="J65" s="250" t="s">
        <v>1521</v>
      </c>
      <c r="K65" s="1423"/>
      <c r="L65" s="1392"/>
    </row>
    <row r="66" spans="1:26" ht="17" customHeight="1">
      <c r="A66" s="107"/>
      <c r="D66" s="1394">
        <v>13</v>
      </c>
      <c r="E66" s="1387" t="s">
        <v>111</v>
      </c>
      <c r="F66" s="1091" t="s">
        <v>70</v>
      </c>
      <c r="G66" s="184">
        <f>G67+G68+G69</f>
        <v>48</v>
      </c>
      <c r="H66" s="334">
        <f>H67+H68+H69</f>
        <v>1132</v>
      </c>
      <c r="I66" s="253">
        <f>I67+I68+I69</f>
        <v>9</v>
      </c>
      <c r="J66" s="1089" t="s">
        <v>671</v>
      </c>
      <c r="K66" s="1420" t="s">
        <v>32</v>
      </c>
      <c r="L66" s="1389">
        <v>13</v>
      </c>
    </row>
    <row r="67" spans="1:26" s="639" customFormat="1" ht="17" customHeight="1">
      <c r="A67" s="750"/>
      <c r="D67" s="1394"/>
      <c r="E67" s="1387"/>
      <c r="F67" s="773" t="s">
        <v>71</v>
      </c>
      <c r="G67" s="185">
        <v>19</v>
      </c>
      <c r="H67" s="212">
        <v>955</v>
      </c>
      <c r="I67" s="136">
        <v>5</v>
      </c>
      <c r="J67" s="777" t="s">
        <v>1519</v>
      </c>
      <c r="K67" s="1420"/>
      <c r="L67" s="1389"/>
    </row>
    <row r="68" spans="1:26" ht="17" customHeight="1">
      <c r="A68" s="107"/>
      <c r="D68" s="1394"/>
      <c r="E68" s="1387"/>
      <c r="F68" s="773" t="s">
        <v>92</v>
      </c>
      <c r="G68" s="185">
        <v>0</v>
      </c>
      <c r="H68" s="212">
        <v>137</v>
      </c>
      <c r="I68" s="136">
        <v>0</v>
      </c>
      <c r="J68" s="777" t="s">
        <v>1520</v>
      </c>
      <c r="K68" s="1420"/>
      <c r="L68" s="1389"/>
    </row>
    <row r="69" spans="1:26" s="639" customFormat="1" ht="17" customHeight="1">
      <c r="A69" s="750"/>
      <c r="D69" s="1394"/>
      <c r="E69" s="1387"/>
      <c r="F69" s="904" t="s">
        <v>93</v>
      </c>
      <c r="G69" s="185">
        <v>29</v>
      </c>
      <c r="H69" s="212">
        <v>40</v>
      </c>
      <c r="I69" s="136">
        <v>4</v>
      </c>
      <c r="J69" s="777" t="s">
        <v>1521</v>
      </c>
      <c r="K69" s="1420"/>
      <c r="L69" s="1389"/>
    </row>
    <row r="70" spans="1:26" ht="17" customHeight="1">
      <c r="A70" s="107"/>
      <c r="D70" s="1396">
        <v>14</v>
      </c>
      <c r="E70" s="1397" t="s">
        <v>113</v>
      </c>
      <c r="F70" s="517" t="s">
        <v>70</v>
      </c>
      <c r="G70" s="290">
        <f>G71+G72+G73</f>
        <v>1985</v>
      </c>
      <c r="H70" s="414">
        <f>H71+H72+H73</f>
        <v>62292</v>
      </c>
      <c r="I70" s="492">
        <f>I71+I72+I73</f>
        <v>136</v>
      </c>
      <c r="J70" s="898" t="s">
        <v>671</v>
      </c>
      <c r="K70" s="1423" t="s">
        <v>34</v>
      </c>
      <c r="L70" s="1392">
        <v>14</v>
      </c>
    </row>
    <row r="71" spans="1:26" s="639" customFormat="1" ht="17" customHeight="1">
      <c r="A71" s="789"/>
      <c r="B71" s="790"/>
      <c r="C71" s="790"/>
      <c r="D71" s="1396"/>
      <c r="E71" s="1397"/>
      <c r="F71" s="254" t="s">
        <v>71</v>
      </c>
      <c r="G71" s="186">
        <v>131</v>
      </c>
      <c r="H71" s="214">
        <v>39801</v>
      </c>
      <c r="I71" s="143">
        <v>23</v>
      </c>
      <c r="J71" s="250" t="s">
        <v>1519</v>
      </c>
      <c r="K71" s="1423"/>
      <c r="L71" s="1392"/>
    </row>
    <row r="72" spans="1:26" ht="17" customHeight="1">
      <c r="D72" s="1396"/>
      <c r="E72" s="1397"/>
      <c r="F72" s="254" t="s">
        <v>92</v>
      </c>
      <c r="G72" s="186">
        <v>298</v>
      </c>
      <c r="H72" s="214">
        <v>15407</v>
      </c>
      <c r="I72" s="143">
        <v>31</v>
      </c>
      <c r="J72" s="250" t="s">
        <v>1520</v>
      </c>
      <c r="K72" s="1423"/>
      <c r="L72" s="1392"/>
    </row>
    <row r="73" spans="1:26" s="639" customFormat="1" ht="17" customHeight="1">
      <c r="A73" s="1424">
        <v>1398</v>
      </c>
      <c r="B73" s="1424"/>
      <c r="C73" s="1425"/>
      <c r="D73" s="1396"/>
      <c r="E73" s="1397"/>
      <c r="F73" s="903" t="s">
        <v>93</v>
      </c>
      <c r="G73" s="186">
        <v>1556</v>
      </c>
      <c r="H73" s="214">
        <v>7084</v>
      </c>
      <c r="I73" s="143">
        <v>82</v>
      </c>
      <c r="J73" s="250" t="s">
        <v>1521</v>
      </c>
      <c r="K73" s="1423"/>
      <c r="L73" s="1392"/>
    </row>
    <row r="74" spans="1:26" ht="17" customHeight="1">
      <c r="A74" s="218" t="s">
        <v>73</v>
      </c>
      <c r="B74" s="218" t="s">
        <v>74</v>
      </c>
      <c r="C74" s="308" t="s">
        <v>75</v>
      </c>
      <c r="D74" s="1394">
        <v>15</v>
      </c>
      <c r="E74" s="1413" t="s">
        <v>763</v>
      </c>
      <c r="F74" s="1088" t="s">
        <v>70</v>
      </c>
      <c r="G74" s="184">
        <f>G75+G76+G77</f>
        <v>255</v>
      </c>
      <c r="H74" s="334">
        <f>H75+H76+H77</f>
        <v>6952</v>
      </c>
      <c r="I74" s="253">
        <f>I75+I76+I77</f>
        <v>26</v>
      </c>
      <c r="J74" s="1089" t="s">
        <v>671</v>
      </c>
      <c r="K74" s="1388" t="s">
        <v>729</v>
      </c>
      <c r="L74" s="1389">
        <v>15</v>
      </c>
    </row>
    <row r="75" spans="1:26" s="639" customFormat="1" ht="17" customHeight="1">
      <c r="A75" s="791"/>
      <c r="B75" s="663"/>
      <c r="C75" s="663"/>
      <c r="D75" s="1394"/>
      <c r="E75" s="1413"/>
      <c r="F75" s="784" t="s">
        <v>71</v>
      </c>
      <c r="G75" s="185">
        <v>153</v>
      </c>
      <c r="H75" s="212">
        <v>5762</v>
      </c>
      <c r="I75" s="136">
        <v>21</v>
      </c>
      <c r="J75" s="777" t="s">
        <v>1519</v>
      </c>
      <c r="K75" s="1388"/>
      <c r="L75" s="1389"/>
    </row>
    <row r="76" spans="1:26" ht="17" customHeight="1">
      <c r="A76" s="219"/>
      <c r="B76" s="33"/>
      <c r="C76" s="33"/>
      <c r="D76" s="1394"/>
      <c r="E76" s="1413"/>
      <c r="F76" s="784" t="s">
        <v>92</v>
      </c>
      <c r="G76" s="185">
        <v>102</v>
      </c>
      <c r="H76" s="212">
        <v>1044</v>
      </c>
      <c r="I76" s="136">
        <v>5</v>
      </c>
      <c r="J76" s="777" t="s">
        <v>1520</v>
      </c>
      <c r="K76" s="1388"/>
      <c r="L76" s="1389"/>
    </row>
    <row r="77" spans="1:26" s="639" customFormat="1" ht="17" customHeight="1">
      <c r="A77" s="791"/>
      <c r="B77" s="663"/>
      <c r="C77" s="663"/>
      <c r="D77" s="1394"/>
      <c r="E77" s="1413"/>
      <c r="F77" s="905" t="s">
        <v>93</v>
      </c>
      <c r="G77" s="185">
        <v>0</v>
      </c>
      <c r="H77" s="212">
        <v>146</v>
      </c>
      <c r="I77" s="136">
        <v>0</v>
      </c>
      <c r="J77" s="777" t="s">
        <v>1521</v>
      </c>
      <c r="K77" s="1388"/>
      <c r="L77" s="1389"/>
    </row>
    <row r="78" spans="1:26" ht="17" customHeight="1">
      <c r="A78" s="106"/>
      <c r="D78" s="1396">
        <v>16</v>
      </c>
      <c r="E78" s="1397" t="s">
        <v>147</v>
      </c>
      <c r="F78" s="517" t="s">
        <v>70</v>
      </c>
      <c r="G78" s="290">
        <f>G79+G80+G81</f>
        <v>227</v>
      </c>
      <c r="H78" s="414">
        <f>H79+H80+H81</f>
        <v>4374</v>
      </c>
      <c r="I78" s="492">
        <f>I79+I80+I81</f>
        <v>17</v>
      </c>
      <c r="J78" s="898" t="s">
        <v>671</v>
      </c>
      <c r="K78" s="1390" t="s">
        <v>36</v>
      </c>
      <c r="L78" s="1392">
        <v>16</v>
      </c>
      <c r="N78" s="1421"/>
      <c r="O78" s="406"/>
      <c r="P78" s="63"/>
      <c r="Q78" s="67"/>
      <c r="R78" s="67"/>
      <c r="S78" s="67"/>
      <c r="T78" s="67"/>
      <c r="U78" s="67"/>
      <c r="V78" s="67"/>
      <c r="W78" s="67"/>
      <c r="X78" s="67"/>
      <c r="Y78" s="407"/>
      <c r="Z78" s="408"/>
    </row>
    <row r="79" spans="1:26" s="639" customFormat="1" ht="17" customHeight="1">
      <c r="A79" s="750"/>
      <c r="D79" s="1396"/>
      <c r="E79" s="1397"/>
      <c r="F79" s="254" t="s">
        <v>71</v>
      </c>
      <c r="G79" s="186">
        <v>91</v>
      </c>
      <c r="H79" s="214">
        <v>3503</v>
      </c>
      <c r="I79" s="143">
        <v>8</v>
      </c>
      <c r="J79" s="250" t="s">
        <v>1519</v>
      </c>
      <c r="K79" s="1390"/>
      <c r="L79" s="1392"/>
      <c r="N79" s="1421"/>
      <c r="O79" s="792"/>
      <c r="P79" s="766"/>
      <c r="Q79" s="778"/>
      <c r="R79" s="778"/>
      <c r="S79" s="778"/>
      <c r="T79" s="778"/>
      <c r="U79" s="778"/>
      <c r="V79" s="778"/>
      <c r="W79" s="778"/>
      <c r="X79" s="778"/>
      <c r="Y79" s="793"/>
      <c r="Z79" s="766"/>
    </row>
    <row r="80" spans="1:26" ht="17" customHeight="1">
      <c r="A80" s="107"/>
      <c r="D80" s="1396"/>
      <c r="E80" s="1397"/>
      <c r="F80" s="254" t="s">
        <v>92</v>
      </c>
      <c r="G80" s="186">
        <v>46</v>
      </c>
      <c r="H80" s="214">
        <v>672</v>
      </c>
      <c r="I80" s="143">
        <v>4</v>
      </c>
      <c r="J80" s="250" t="s">
        <v>1520</v>
      </c>
      <c r="K80" s="1390"/>
      <c r="L80" s="1392"/>
      <c r="N80" s="1421"/>
      <c r="O80" s="406"/>
      <c r="P80" s="63"/>
      <c r="Q80" s="67"/>
      <c r="R80" s="67"/>
      <c r="S80" s="67"/>
      <c r="T80" s="67"/>
      <c r="U80" s="67"/>
      <c r="V80" s="67"/>
      <c r="W80" s="67"/>
      <c r="X80" s="67"/>
      <c r="Y80" s="409"/>
      <c r="Z80" s="408"/>
    </row>
    <row r="81" spans="1:26" s="639" customFormat="1" ht="17" customHeight="1">
      <c r="A81" s="750"/>
      <c r="D81" s="1396"/>
      <c r="E81" s="1397"/>
      <c r="F81" s="906" t="s">
        <v>93</v>
      </c>
      <c r="G81" s="186">
        <v>90</v>
      </c>
      <c r="H81" s="214">
        <v>199</v>
      </c>
      <c r="I81" s="143">
        <v>5</v>
      </c>
      <c r="J81" s="250" t="s">
        <v>1521</v>
      </c>
      <c r="K81" s="1390"/>
      <c r="L81" s="1392"/>
      <c r="N81" s="1421"/>
      <c r="O81" s="794"/>
      <c r="P81" s="766"/>
      <c r="Q81" s="778"/>
      <c r="R81" s="778"/>
      <c r="S81" s="778"/>
      <c r="T81" s="778"/>
      <c r="U81" s="778"/>
      <c r="V81" s="778"/>
      <c r="W81" s="778"/>
      <c r="X81" s="778"/>
      <c r="Y81" s="793"/>
      <c r="Z81" s="766"/>
    </row>
    <row r="82" spans="1:26" ht="21" customHeight="1">
      <c r="A82" s="107"/>
      <c r="D82" s="1394">
        <v>17</v>
      </c>
      <c r="E82" s="1413" t="s">
        <v>148</v>
      </c>
      <c r="F82" s="1088" t="s">
        <v>70</v>
      </c>
      <c r="G82" s="184">
        <f>G83+G84+G85</f>
        <v>548</v>
      </c>
      <c r="H82" s="334">
        <f>H83+H84+H85</f>
        <v>13464</v>
      </c>
      <c r="I82" s="253">
        <f>I83+I84+I85</f>
        <v>32</v>
      </c>
      <c r="J82" s="1089" t="s">
        <v>671</v>
      </c>
      <c r="K82" s="1422" t="s">
        <v>37</v>
      </c>
      <c r="L82" s="1389">
        <v>17</v>
      </c>
    </row>
    <row r="83" spans="1:26" s="639" customFormat="1" ht="17" customHeight="1">
      <c r="A83" s="750"/>
      <c r="D83" s="1394"/>
      <c r="E83" s="1413"/>
      <c r="F83" s="784" t="s">
        <v>71</v>
      </c>
      <c r="G83" s="185">
        <v>124</v>
      </c>
      <c r="H83" s="212">
        <v>10685</v>
      </c>
      <c r="I83" s="136">
        <v>13</v>
      </c>
      <c r="J83" s="777" t="s">
        <v>1519</v>
      </c>
      <c r="K83" s="1422"/>
      <c r="L83" s="1389"/>
    </row>
    <row r="84" spans="1:26" ht="17" customHeight="1">
      <c r="A84" s="107"/>
      <c r="D84" s="1394"/>
      <c r="E84" s="1413"/>
      <c r="F84" s="784" t="s">
        <v>92</v>
      </c>
      <c r="G84" s="185">
        <v>136</v>
      </c>
      <c r="H84" s="212">
        <v>1998</v>
      </c>
      <c r="I84" s="136">
        <v>7</v>
      </c>
      <c r="J84" s="777" t="s">
        <v>1520</v>
      </c>
      <c r="K84" s="1422"/>
      <c r="L84" s="1389"/>
    </row>
    <row r="85" spans="1:26" s="639" customFormat="1" ht="19.5" customHeight="1">
      <c r="A85" s="750"/>
      <c r="D85" s="1394"/>
      <c r="E85" s="1413"/>
      <c r="F85" s="905" t="s">
        <v>93</v>
      </c>
      <c r="G85" s="185">
        <v>288</v>
      </c>
      <c r="H85" s="212">
        <v>781</v>
      </c>
      <c r="I85" s="136">
        <v>12</v>
      </c>
      <c r="J85" s="777" t="s">
        <v>1521</v>
      </c>
      <c r="K85" s="1422"/>
      <c r="L85" s="1389"/>
    </row>
    <row r="86" spans="1:26" ht="20.25" customHeight="1">
      <c r="A86" s="107"/>
      <c r="D86" s="1396">
        <v>18</v>
      </c>
      <c r="E86" s="1403" t="s">
        <v>149</v>
      </c>
      <c r="F86" s="517" t="s">
        <v>70</v>
      </c>
      <c r="G86" s="290">
        <f>G87+G88+G89</f>
        <v>667</v>
      </c>
      <c r="H86" s="414">
        <f>H87+H88+H89</f>
        <v>18160</v>
      </c>
      <c r="I86" s="492">
        <f>I87+I88+I89</f>
        <v>49</v>
      </c>
      <c r="J86" s="898" t="s">
        <v>671</v>
      </c>
      <c r="K86" s="1411" t="s">
        <v>38</v>
      </c>
      <c r="L86" s="1392">
        <v>18</v>
      </c>
    </row>
    <row r="87" spans="1:26" s="639" customFormat="1" ht="19.5" customHeight="1">
      <c r="A87" s="750"/>
      <c r="D87" s="1396"/>
      <c r="E87" s="1403"/>
      <c r="F87" s="254" t="s">
        <v>71</v>
      </c>
      <c r="G87" s="186">
        <v>423</v>
      </c>
      <c r="H87" s="214">
        <v>15272</v>
      </c>
      <c r="I87" s="143">
        <v>42</v>
      </c>
      <c r="J87" s="250" t="s">
        <v>1519</v>
      </c>
      <c r="K87" s="1411"/>
      <c r="L87" s="1392"/>
    </row>
    <row r="88" spans="1:26" ht="18" customHeight="1">
      <c r="A88" s="107"/>
      <c r="D88" s="1396"/>
      <c r="E88" s="1403"/>
      <c r="F88" s="254" t="s">
        <v>92</v>
      </c>
      <c r="G88" s="186">
        <v>70</v>
      </c>
      <c r="H88" s="214">
        <v>2220</v>
      </c>
      <c r="I88" s="143">
        <v>3</v>
      </c>
      <c r="J88" s="250" t="s">
        <v>1520</v>
      </c>
      <c r="K88" s="1411"/>
      <c r="L88" s="1392"/>
    </row>
    <row r="89" spans="1:26" s="639" customFormat="1" ht="17" customHeight="1">
      <c r="A89" s="750"/>
      <c r="D89" s="1396"/>
      <c r="E89" s="1403"/>
      <c r="F89" s="906" t="s">
        <v>93</v>
      </c>
      <c r="G89" s="186">
        <v>174</v>
      </c>
      <c r="H89" s="214">
        <v>668</v>
      </c>
      <c r="I89" s="143">
        <v>4</v>
      </c>
      <c r="J89" s="250" t="s">
        <v>1521</v>
      </c>
      <c r="K89" s="1411"/>
      <c r="L89" s="1392"/>
    </row>
    <row r="90" spans="1:26" ht="19.5" customHeight="1">
      <c r="A90" s="107"/>
      <c r="D90" s="1394">
        <v>19</v>
      </c>
      <c r="E90" s="1413" t="s">
        <v>150</v>
      </c>
      <c r="F90" s="1088" t="s">
        <v>70</v>
      </c>
      <c r="G90" s="184">
        <f>G91+G92+G93</f>
        <v>175</v>
      </c>
      <c r="H90" s="334">
        <f>H91+H92+H93</f>
        <v>3353</v>
      </c>
      <c r="I90" s="253">
        <f>I91+I92+I93</f>
        <v>12</v>
      </c>
      <c r="J90" s="1089" t="s">
        <v>671</v>
      </c>
      <c r="K90" s="1415" t="s">
        <v>39</v>
      </c>
      <c r="L90" s="1389">
        <v>19</v>
      </c>
    </row>
    <row r="91" spans="1:26" s="639" customFormat="1" ht="18.75" customHeight="1">
      <c r="A91" s="750"/>
      <c r="D91" s="1394"/>
      <c r="E91" s="1413"/>
      <c r="F91" s="784" t="s">
        <v>71</v>
      </c>
      <c r="G91" s="185">
        <v>62</v>
      </c>
      <c r="H91" s="212">
        <v>2936</v>
      </c>
      <c r="I91" s="136">
        <v>8</v>
      </c>
      <c r="J91" s="777" t="s">
        <v>1519</v>
      </c>
      <c r="K91" s="1415"/>
      <c r="L91" s="1389"/>
    </row>
    <row r="92" spans="1:26" ht="19.5" customHeight="1">
      <c r="A92" s="107"/>
      <c r="D92" s="1394"/>
      <c r="E92" s="1413"/>
      <c r="F92" s="784" t="s">
        <v>92</v>
      </c>
      <c r="G92" s="185">
        <v>40</v>
      </c>
      <c r="H92" s="212">
        <v>330</v>
      </c>
      <c r="I92" s="136">
        <v>2</v>
      </c>
      <c r="J92" s="777" t="s">
        <v>1520</v>
      </c>
      <c r="K92" s="1415"/>
      <c r="L92" s="1389"/>
    </row>
    <row r="93" spans="1:26" s="639" customFormat="1" ht="17" customHeight="1">
      <c r="A93" s="750"/>
      <c r="D93" s="1412"/>
      <c r="E93" s="1414"/>
      <c r="F93" s="907" t="s">
        <v>93</v>
      </c>
      <c r="G93" s="187">
        <v>73</v>
      </c>
      <c r="H93" s="188">
        <v>87</v>
      </c>
      <c r="I93" s="189">
        <v>2</v>
      </c>
      <c r="J93" s="1104" t="s">
        <v>1521</v>
      </c>
      <c r="K93" s="1416"/>
      <c r="L93" s="1417"/>
    </row>
    <row r="94" spans="1:26" ht="18.75" hidden="1" customHeight="1">
      <c r="A94" s="107"/>
      <c r="D94" s="1419" t="s">
        <v>752</v>
      </c>
      <c r="E94" s="1419"/>
      <c r="F94" s="1419"/>
      <c r="G94" s="214"/>
      <c r="H94" s="214"/>
      <c r="I94" s="214"/>
      <c r="J94" s="1418" t="s">
        <v>1305</v>
      </c>
      <c r="K94" s="1418"/>
      <c r="L94" s="1418"/>
    </row>
    <row r="95" spans="1:26" ht="18.75" hidden="1" customHeight="1">
      <c r="A95" s="107"/>
      <c r="D95" s="1419"/>
      <c r="E95" s="1419"/>
      <c r="F95" s="1419"/>
      <c r="G95" s="518"/>
      <c r="H95" s="518"/>
      <c r="I95" s="1418" t="s">
        <v>1292</v>
      </c>
      <c r="J95" s="1418"/>
      <c r="K95" s="1418"/>
      <c r="L95" s="1418"/>
    </row>
    <row r="96" spans="1:26" ht="15" hidden="1" customHeight="1">
      <c r="A96" s="107"/>
      <c r="D96" s="1343" t="s">
        <v>621</v>
      </c>
      <c r="E96" s="1405" t="s">
        <v>139</v>
      </c>
      <c r="F96" s="1406" t="s">
        <v>2151</v>
      </c>
      <c r="G96" s="1407" t="s">
        <v>1212</v>
      </c>
      <c r="H96" s="1367"/>
      <c r="I96" s="1368"/>
      <c r="J96" s="1408" t="s">
        <v>706</v>
      </c>
      <c r="K96" s="1405" t="s">
        <v>17</v>
      </c>
      <c r="L96" s="1409" t="s">
        <v>727</v>
      </c>
    </row>
    <row r="97" spans="1:19" ht="16" hidden="1">
      <c r="A97" s="107"/>
      <c r="D97" s="1266"/>
      <c r="E97" s="1405"/>
      <c r="F97" s="1406"/>
      <c r="G97" s="1211" t="s">
        <v>704</v>
      </c>
      <c r="H97" s="1211" t="s">
        <v>1213</v>
      </c>
      <c r="I97" s="865" t="s">
        <v>703</v>
      </c>
      <c r="J97" s="1401"/>
      <c r="K97" s="1405"/>
      <c r="L97" s="1409"/>
      <c r="N97" s="70"/>
      <c r="O97" s="70"/>
      <c r="P97" s="410"/>
      <c r="Q97" s="411"/>
      <c r="R97" s="1410"/>
      <c r="S97" s="1314"/>
    </row>
    <row r="98" spans="1:19" ht="16" hidden="1">
      <c r="A98" s="107"/>
      <c r="D98" s="1266"/>
      <c r="E98" s="1405"/>
      <c r="F98" s="1406"/>
      <c r="G98" s="1212" t="s">
        <v>73</v>
      </c>
      <c r="H98" s="1212" t="s">
        <v>702</v>
      </c>
      <c r="I98" s="865" t="s">
        <v>701</v>
      </c>
      <c r="J98" s="1401" t="s">
        <v>705</v>
      </c>
      <c r="K98" s="1405"/>
      <c r="L98" s="1409"/>
      <c r="N98" s="70"/>
      <c r="O98" s="70"/>
      <c r="P98" s="410"/>
      <c r="Q98" s="411"/>
      <c r="R98" s="1410"/>
      <c r="S98" s="1314"/>
    </row>
    <row r="99" spans="1:19" ht="16" hidden="1">
      <c r="A99" s="107"/>
      <c r="D99" s="1267"/>
      <c r="E99" s="1405"/>
      <c r="F99" s="1406"/>
      <c r="G99" s="1213" t="s">
        <v>168</v>
      </c>
      <c r="H99" s="1213" t="s">
        <v>137</v>
      </c>
      <c r="I99" s="894" t="s">
        <v>165</v>
      </c>
      <c r="J99" s="1402"/>
      <c r="K99" s="1405"/>
      <c r="L99" s="1409"/>
      <c r="N99" s="70"/>
      <c r="O99" s="70"/>
      <c r="P99" s="410"/>
      <c r="Q99" s="411"/>
      <c r="R99" s="1410"/>
      <c r="S99" s="1314"/>
    </row>
    <row r="100" spans="1:19" ht="13" customHeight="1">
      <c r="A100" s="107"/>
      <c r="D100" s="1396">
        <v>20</v>
      </c>
      <c r="E100" s="1403" t="s">
        <v>151</v>
      </c>
      <c r="F100" s="517" t="s">
        <v>70</v>
      </c>
      <c r="G100" s="290">
        <f>G101+G102+G103</f>
        <v>2701</v>
      </c>
      <c r="H100" s="414">
        <f>H101+H102+H103</f>
        <v>50150</v>
      </c>
      <c r="I100" s="492">
        <f>I101+I102+I103</f>
        <v>157</v>
      </c>
      <c r="J100" s="898" t="s">
        <v>671</v>
      </c>
      <c r="K100" s="1404" t="s">
        <v>40</v>
      </c>
      <c r="L100" s="1392">
        <v>20</v>
      </c>
      <c r="N100" s="70"/>
      <c r="O100" s="70"/>
      <c r="P100" s="410"/>
      <c r="Q100" s="412"/>
      <c r="R100" s="1410"/>
      <c r="S100" s="1314"/>
    </row>
    <row r="101" spans="1:19" s="639" customFormat="1" ht="13" customHeight="1">
      <c r="A101" s="750"/>
      <c r="D101" s="1396"/>
      <c r="E101" s="1403"/>
      <c r="F101" s="254" t="s">
        <v>71</v>
      </c>
      <c r="G101" s="186">
        <v>459</v>
      </c>
      <c r="H101" s="214">
        <v>39674</v>
      </c>
      <c r="I101" s="143">
        <v>54</v>
      </c>
      <c r="J101" s="250" t="s">
        <v>1519</v>
      </c>
      <c r="K101" s="1404"/>
      <c r="L101" s="1392"/>
      <c r="N101" s="795"/>
      <c r="O101" s="795"/>
      <c r="P101" s="69"/>
      <c r="Q101" s="405"/>
      <c r="R101" s="1410"/>
      <c r="S101" s="1314"/>
    </row>
    <row r="102" spans="1:19" ht="13" customHeight="1">
      <c r="A102" s="107"/>
      <c r="D102" s="1396"/>
      <c r="E102" s="1403"/>
      <c r="F102" s="254" t="s">
        <v>92</v>
      </c>
      <c r="G102" s="186">
        <v>574</v>
      </c>
      <c r="H102" s="214">
        <v>8103</v>
      </c>
      <c r="I102" s="143">
        <v>36</v>
      </c>
      <c r="J102" s="250" t="s">
        <v>1520</v>
      </c>
      <c r="K102" s="1404"/>
      <c r="L102" s="1392"/>
      <c r="N102" s="70"/>
      <c r="O102" s="70"/>
      <c r="P102" s="410"/>
      <c r="Q102" s="412"/>
      <c r="R102" s="1410"/>
      <c r="S102" s="1314"/>
    </row>
    <row r="103" spans="1:19" s="639" customFormat="1" ht="13" customHeight="1">
      <c r="A103" s="750"/>
      <c r="D103" s="1396"/>
      <c r="E103" s="1403"/>
      <c r="F103" s="906" t="s">
        <v>93</v>
      </c>
      <c r="G103" s="186">
        <v>1668</v>
      </c>
      <c r="H103" s="214">
        <v>2373</v>
      </c>
      <c r="I103" s="143">
        <v>67</v>
      </c>
      <c r="J103" s="250" t="s">
        <v>1521</v>
      </c>
      <c r="K103" s="1404"/>
      <c r="L103" s="1392"/>
    </row>
    <row r="104" spans="1:19" ht="13" customHeight="1">
      <c r="A104" s="107"/>
      <c r="D104" s="1394">
        <v>21</v>
      </c>
      <c r="E104" s="1387" t="s">
        <v>167</v>
      </c>
      <c r="F104" s="1088" t="s">
        <v>70</v>
      </c>
      <c r="G104" s="184">
        <f>G105+G106+G107</f>
        <v>88</v>
      </c>
      <c r="H104" s="334">
        <f>H105+H106+H107</f>
        <v>2407</v>
      </c>
      <c r="I104" s="253">
        <f>I105+I106+I107</f>
        <v>3</v>
      </c>
      <c r="J104" s="1089" t="s">
        <v>671</v>
      </c>
      <c r="K104" s="1388" t="s">
        <v>41</v>
      </c>
      <c r="L104" s="1389">
        <v>21</v>
      </c>
    </row>
    <row r="105" spans="1:19" s="639" customFormat="1" ht="13" customHeight="1">
      <c r="A105" s="750"/>
      <c r="D105" s="1394"/>
      <c r="E105" s="1387"/>
      <c r="F105" s="784" t="s">
        <v>71</v>
      </c>
      <c r="G105" s="185">
        <v>10</v>
      </c>
      <c r="H105" s="212">
        <v>1776</v>
      </c>
      <c r="I105" s="136">
        <v>1</v>
      </c>
      <c r="J105" s="777" t="s">
        <v>1519</v>
      </c>
      <c r="K105" s="1388"/>
      <c r="L105" s="1389"/>
    </row>
    <row r="106" spans="1:19" ht="13" customHeight="1">
      <c r="A106" s="107"/>
      <c r="D106" s="1394"/>
      <c r="E106" s="1387"/>
      <c r="F106" s="784" t="s">
        <v>92</v>
      </c>
      <c r="G106" s="185">
        <v>0</v>
      </c>
      <c r="H106" s="212">
        <v>447</v>
      </c>
      <c r="I106" s="136">
        <v>0</v>
      </c>
      <c r="J106" s="777" t="s">
        <v>1520</v>
      </c>
      <c r="K106" s="1388"/>
      <c r="L106" s="1389"/>
    </row>
    <row r="107" spans="1:19" s="639" customFormat="1" ht="13" customHeight="1">
      <c r="A107" s="750"/>
      <c r="D107" s="1394"/>
      <c r="E107" s="1387"/>
      <c r="F107" s="905" t="s">
        <v>93</v>
      </c>
      <c r="G107" s="185">
        <v>78</v>
      </c>
      <c r="H107" s="212">
        <v>184</v>
      </c>
      <c r="I107" s="136">
        <v>2</v>
      </c>
      <c r="J107" s="777" t="s">
        <v>1521</v>
      </c>
      <c r="K107" s="1388"/>
      <c r="L107" s="1389"/>
    </row>
    <row r="108" spans="1:19" ht="12" customHeight="1">
      <c r="A108" s="107"/>
      <c r="D108" s="1396">
        <v>22</v>
      </c>
      <c r="E108" s="1397" t="s">
        <v>153</v>
      </c>
      <c r="F108" s="517" t="s">
        <v>70</v>
      </c>
      <c r="G108" s="290">
        <f>G110+G111+G109</f>
        <v>49</v>
      </c>
      <c r="H108" s="414">
        <f>H110+H111+H109</f>
        <v>1865</v>
      </c>
      <c r="I108" s="492">
        <f>I110+I111+I109</f>
        <v>6</v>
      </c>
      <c r="J108" s="898" t="s">
        <v>671</v>
      </c>
      <c r="K108" s="1390" t="s">
        <v>44</v>
      </c>
      <c r="L108" s="1392">
        <v>22</v>
      </c>
    </row>
    <row r="109" spans="1:19" s="639" customFormat="1" ht="13" customHeight="1">
      <c r="A109" s="750"/>
      <c r="D109" s="1396"/>
      <c r="E109" s="1397"/>
      <c r="F109" s="254" t="s">
        <v>71</v>
      </c>
      <c r="G109" s="186">
        <v>10</v>
      </c>
      <c r="H109" s="214">
        <v>1628</v>
      </c>
      <c r="I109" s="143">
        <v>4</v>
      </c>
      <c r="J109" s="250" t="s">
        <v>1519</v>
      </c>
      <c r="K109" s="1390"/>
      <c r="L109" s="1392"/>
    </row>
    <row r="110" spans="1:19" ht="13.5" customHeight="1">
      <c r="A110" s="107"/>
      <c r="D110" s="1396"/>
      <c r="E110" s="1397"/>
      <c r="F110" s="254" t="s">
        <v>92</v>
      </c>
      <c r="G110" s="186">
        <v>19</v>
      </c>
      <c r="H110" s="214">
        <v>206</v>
      </c>
      <c r="I110" s="143">
        <v>1</v>
      </c>
      <c r="J110" s="250" t="s">
        <v>1520</v>
      </c>
      <c r="K110" s="1390"/>
      <c r="L110" s="1392"/>
    </row>
    <row r="111" spans="1:19" s="639" customFormat="1" ht="13" customHeight="1">
      <c r="A111" s="750"/>
      <c r="D111" s="1396"/>
      <c r="E111" s="1397"/>
      <c r="F111" s="906" t="s">
        <v>93</v>
      </c>
      <c r="G111" s="186">
        <v>20</v>
      </c>
      <c r="H111" s="214">
        <v>31</v>
      </c>
      <c r="I111" s="143">
        <v>1</v>
      </c>
      <c r="J111" s="250" t="s">
        <v>1521</v>
      </c>
      <c r="K111" s="1390"/>
      <c r="L111" s="1392"/>
    </row>
    <row r="112" spans="1:19" ht="13" customHeight="1">
      <c r="A112" s="107"/>
      <c r="D112" s="1394">
        <v>23</v>
      </c>
      <c r="E112" s="1387" t="s">
        <v>154</v>
      </c>
      <c r="F112" s="1088" t="s">
        <v>70</v>
      </c>
      <c r="G112" s="184">
        <f>G113+G114+G115</f>
        <v>718</v>
      </c>
      <c r="H112" s="334">
        <f>H113+H114+H115</f>
        <v>16894</v>
      </c>
      <c r="I112" s="253">
        <f>I113+I114+I115</f>
        <v>85</v>
      </c>
      <c r="J112" s="1089" t="s">
        <v>671</v>
      </c>
      <c r="K112" s="1388" t="s">
        <v>45</v>
      </c>
      <c r="L112" s="1389">
        <v>23</v>
      </c>
    </row>
    <row r="113" spans="1:12" s="639" customFormat="1" ht="13" customHeight="1">
      <c r="A113" s="750"/>
      <c r="D113" s="1394"/>
      <c r="E113" s="1387"/>
      <c r="F113" s="784" t="s">
        <v>71</v>
      </c>
      <c r="G113" s="185">
        <v>280</v>
      </c>
      <c r="H113" s="212">
        <v>12515</v>
      </c>
      <c r="I113" s="136">
        <v>50</v>
      </c>
      <c r="J113" s="777" t="s">
        <v>1519</v>
      </c>
      <c r="K113" s="1388"/>
      <c r="L113" s="1389"/>
    </row>
    <row r="114" spans="1:12" ht="13" customHeight="1">
      <c r="A114" s="107"/>
      <c r="D114" s="1394"/>
      <c r="E114" s="1387"/>
      <c r="F114" s="784" t="s">
        <v>92</v>
      </c>
      <c r="G114" s="185">
        <v>157</v>
      </c>
      <c r="H114" s="212">
        <v>3056</v>
      </c>
      <c r="I114" s="136">
        <v>15</v>
      </c>
      <c r="J114" s="777" t="s">
        <v>1520</v>
      </c>
      <c r="K114" s="1388"/>
      <c r="L114" s="1389"/>
    </row>
    <row r="115" spans="1:12" s="639" customFormat="1" ht="13" customHeight="1">
      <c r="A115" s="750"/>
      <c r="D115" s="1394"/>
      <c r="E115" s="1387"/>
      <c r="F115" s="905" t="s">
        <v>93</v>
      </c>
      <c r="G115" s="185">
        <v>281</v>
      </c>
      <c r="H115" s="212">
        <v>1323</v>
      </c>
      <c r="I115" s="136">
        <v>20</v>
      </c>
      <c r="J115" s="777" t="s">
        <v>1521</v>
      </c>
      <c r="K115" s="1388"/>
      <c r="L115" s="1389"/>
    </row>
    <row r="116" spans="1:12" ht="13" customHeight="1">
      <c r="A116" s="107"/>
      <c r="D116" s="1396">
        <v>24</v>
      </c>
      <c r="E116" s="1397" t="s">
        <v>155</v>
      </c>
      <c r="F116" s="517" t="s">
        <v>70</v>
      </c>
      <c r="G116" s="290">
        <f>G117+G118+G119</f>
        <v>490</v>
      </c>
      <c r="H116" s="414">
        <f>H117+H118+H119</f>
        <v>5799</v>
      </c>
      <c r="I116" s="492">
        <f>I117+I118+I119</f>
        <v>14</v>
      </c>
      <c r="J116" s="898" t="s">
        <v>671</v>
      </c>
      <c r="K116" s="1390" t="s">
        <v>46</v>
      </c>
      <c r="L116" s="1392">
        <v>24</v>
      </c>
    </row>
    <row r="117" spans="1:12" s="639" customFormat="1" ht="13" customHeight="1">
      <c r="A117" s="750"/>
      <c r="D117" s="1396"/>
      <c r="E117" s="1397"/>
      <c r="F117" s="254" t="s">
        <v>71</v>
      </c>
      <c r="G117" s="186">
        <v>28</v>
      </c>
      <c r="H117" s="214">
        <v>4437</v>
      </c>
      <c r="I117" s="143">
        <v>2</v>
      </c>
      <c r="J117" s="250" t="s">
        <v>1519</v>
      </c>
      <c r="K117" s="1390"/>
      <c r="L117" s="1392"/>
    </row>
    <row r="118" spans="1:12" ht="13" customHeight="1">
      <c r="A118" s="107"/>
      <c r="D118" s="1396"/>
      <c r="E118" s="1397"/>
      <c r="F118" s="254" t="s">
        <v>92</v>
      </c>
      <c r="G118" s="186">
        <v>82</v>
      </c>
      <c r="H118" s="214">
        <v>1027</v>
      </c>
      <c r="I118" s="143">
        <v>2</v>
      </c>
      <c r="J118" s="250" t="s">
        <v>1520</v>
      </c>
      <c r="K118" s="1390"/>
      <c r="L118" s="1392"/>
    </row>
    <row r="119" spans="1:12" s="639" customFormat="1" ht="13" customHeight="1">
      <c r="A119" s="750"/>
      <c r="D119" s="1396"/>
      <c r="E119" s="1397"/>
      <c r="F119" s="906" t="s">
        <v>93</v>
      </c>
      <c r="G119" s="186">
        <v>380</v>
      </c>
      <c r="H119" s="214">
        <v>335</v>
      </c>
      <c r="I119" s="143">
        <v>10</v>
      </c>
      <c r="J119" s="250" t="s">
        <v>1521</v>
      </c>
      <c r="K119" s="1390"/>
      <c r="L119" s="1392"/>
    </row>
    <row r="120" spans="1:12" ht="13" customHeight="1">
      <c r="A120" s="107"/>
      <c r="D120" s="1394">
        <v>25</v>
      </c>
      <c r="E120" s="1387" t="s">
        <v>156</v>
      </c>
      <c r="F120" s="1091" t="s">
        <v>70</v>
      </c>
      <c r="G120" s="184">
        <f>G121+G122+G123</f>
        <v>251</v>
      </c>
      <c r="H120" s="334">
        <f>H121+H122+H123</f>
        <v>4892</v>
      </c>
      <c r="I120" s="253">
        <f>I121+I122+I123</f>
        <v>14</v>
      </c>
      <c r="J120" s="1089" t="s">
        <v>671</v>
      </c>
      <c r="K120" s="1388" t="s">
        <v>47</v>
      </c>
      <c r="L120" s="1389">
        <v>25</v>
      </c>
    </row>
    <row r="121" spans="1:12" s="639" customFormat="1" ht="13" customHeight="1">
      <c r="A121" s="750"/>
      <c r="D121" s="1394"/>
      <c r="E121" s="1387"/>
      <c r="F121" s="773" t="s">
        <v>71</v>
      </c>
      <c r="G121" s="185">
        <v>163</v>
      </c>
      <c r="H121" s="212">
        <v>3864</v>
      </c>
      <c r="I121" s="136">
        <v>9</v>
      </c>
      <c r="J121" s="777" t="s">
        <v>1519</v>
      </c>
      <c r="K121" s="1388"/>
      <c r="L121" s="1389"/>
    </row>
    <row r="122" spans="1:12" ht="13" customHeight="1">
      <c r="A122" s="107"/>
      <c r="D122" s="1394"/>
      <c r="E122" s="1387"/>
      <c r="F122" s="773" t="s">
        <v>92</v>
      </c>
      <c r="G122" s="185">
        <v>0</v>
      </c>
      <c r="H122" s="212">
        <v>690</v>
      </c>
      <c r="I122" s="136">
        <v>0</v>
      </c>
      <c r="J122" s="777" t="s">
        <v>1520</v>
      </c>
      <c r="K122" s="1388"/>
      <c r="L122" s="1389"/>
    </row>
    <row r="123" spans="1:12" s="639" customFormat="1" ht="13" customHeight="1">
      <c r="A123" s="750"/>
      <c r="D123" s="1394"/>
      <c r="E123" s="1387"/>
      <c r="F123" s="904" t="s">
        <v>93</v>
      </c>
      <c r="G123" s="185">
        <v>88</v>
      </c>
      <c r="H123" s="212">
        <v>338</v>
      </c>
      <c r="I123" s="136">
        <v>5</v>
      </c>
      <c r="J123" s="777" t="s">
        <v>1521</v>
      </c>
      <c r="K123" s="1388"/>
      <c r="L123" s="1389"/>
    </row>
    <row r="124" spans="1:12" ht="17.25" customHeight="1">
      <c r="A124" s="107"/>
      <c r="D124" s="1396">
        <v>26</v>
      </c>
      <c r="E124" s="1397" t="s">
        <v>157</v>
      </c>
      <c r="F124" s="1090" t="s">
        <v>70</v>
      </c>
      <c r="G124" s="290">
        <f>G126+G127+G125</f>
        <v>680</v>
      </c>
      <c r="H124" s="414">
        <f>H126+H127+H125</f>
        <v>17123</v>
      </c>
      <c r="I124" s="492">
        <f>I126+I127+I125</f>
        <v>46</v>
      </c>
      <c r="J124" s="898" t="s">
        <v>671</v>
      </c>
      <c r="K124" s="1390" t="s">
        <v>48</v>
      </c>
      <c r="L124" s="1392">
        <v>26</v>
      </c>
    </row>
    <row r="125" spans="1:12" s="639" customFormat="1" ht="13" customHeight="1">
      <c r="A125" s="750"/>
      <c r="D125" s="1396"/>
      <c r="E125" s="1397"/>
      <c r="F125" s="249" t="s">
        <v>71</v>
      </c>
      <c r="G125" s="186">
        <v>180</v>
      </c>
      <c r="H125" s="214">
        <v>12792</v>
      </c>
      <c r="I125" s="143">
        <v>28</v>
      </c>
      <c r="J125" s="250" t="s">
        <v>1519</v>
      </c>
      <c r="K125" s="1390"/>
      <c r="L125" s="1392"/>
    </row>
    <row r="126" spans="1:12" ht="13" customHeight="1">
      <c r="A126" s="107"/>
      <c r="D126" s="1396"/>
      <c r="E126" s="1397"/>
      <c r="F126" s="249" t="s">
        <v>92</v>
      </c>
      <c r="G126" s="186">
        <v>190</v>
      </c>
      <c r="H126" s="214">
        <v>3143</v>
      </c>
      <c r="I126" s="143">
        <v>8</v>
      </c>
      <c r="J126" s="250" t="s">
        <v>1520</v>
      </c>
      <c r="K126" s="1390"/>
      <c r="L126" s="1392"/>
    </row>
    <row r="127" spans="1:12" s="639" customFormat="1" ht="13" customHeight="1">
      <c r="A127" s="750"/>
      <c r="D127" s="1396"/>
      <c r="E127" s="1397"/>
      <c r="F127" s="903" t="s">
        <v>93</v>
      </c>
      <c r="G127" s="186">
        <v>310</v>
      </c>
      <c r="H127" s="214">
        <v>1188</v>
      </c>
      <c r="I127" s="143">
        <v>10</v>
      </c>
      <c r="J127" s="250" t="s">
        <v>1521</v>
      </c>
      <c r="K127" s="1390"/>
      <c r="L127" s="1392"/>
    </row>
    <row r="128" spans="1:12" ht="12" customHeight="1">
      <c r="A128" s="107"/>
      <c r="D128" s="1394">
        <v>27</v>
      </c>
      <c r="E128" s="1387" t="s">
        <v>130</v>
      </c>
      <c r="F128" s="1088" t="s">
        <v>70</v>
      </c>
      <c r="G128" s="184">
        <f>G130+G131+G129</f>
        <v>4645</v>
      </c>
      <c r="H128" s="334">
        <f>H130+H131+H129</f>
        <v>99040</v>
      </c>
      <c r="I128" s="253">
        <f>I130+I131+I129</f>
        <v>261</v>
      </c>
      <c r="J128" s="1089" t="s">
        <v>671</v>
      </c>
      <c r="K128" s="1388" t="s">
        <v>25</v>
      </c>
      <c r="L128" s="1389">
        <v>27</v>
      </c>
    </row>
    <row r="129" spans="1:12" s="639" customFormat="1" ht="14.25" customHeight="1">
      <c r="A129" s="750"/>
      <c r="D129" s="1394"/>
      <c r="E129" s="1387"/>
      <c r="F129" s="784" t="s">
        <v>71</v>
      </c>
      <c r="G129" s="185">
        <v>2153</v>
      </c>
      <c r="H129" s="212">
        <v>71103</v>
      </c>
      <c r="I129" s="136">
        <v>157</v>
      </c>
      <c r="J129" s="777" t="s">
        <v>1519</v>
      </c>
      <c r="K129" s="1388"/>
      <c r="L129" s="1389"/>
    </row>
    <row r="130" spans="1:12" ht="16.5" customHeight="1">
      <c r="A130" s="107"/>
      <c r="D130" s="1394"/>
      <c r="E130" s="1387"/>
      <c r="F130" s="784" t="s">
        <v>92</v>
      </c>
      <c r="G130" s="185">
        <v>751</v>
      </c>
      <c r="H130" s="212">
        <v>18244</v>
      </c>
      <c r="I130" s="136">
        <v>39</v>
      </c>
      <c r="J130" s="777" t="s">
        <v>1520</v>
      </c>
      <c r="K130" s="1388"/>
      <c r="L130" s="1389"/>
    </row>
    <row r="131" spans="1:12" s="639" customFormat="1" ht="14.25" customHeight="1">
      <c r="A131" s="750"/>
      <c r="D131" s="1394"/>
      <c r="E131" s="1387"/>
      <c r="F131" s="904" t="s">
        <v>93</v>
      </c>
      <c r="G131" s="185">
        <v>1741</v>
      </c>
      <c r="H131" s="212">
        <v>9693</v>
      </c>
      <c r="I131" s="136">
        <v>65</v>
      </c>
      <c r="J131" s="777" t="s">
        <v>1521</v>
      </c>
      <c r="K131" s="1388"/>
      <c r="L131" s="1389"/>
    </row>
    <row r="132" spans="1:12" ht="14.25" customHeight="1">
      <c r="A132" s="107"/>
      <c r="D132" s="1396">
        <v>28</v>
      </c>
      <c r="E132" s="1397" t="s">
        <v>121</v>
      </c>
      <c r="F132" s="517" t="s">
        <v>70</v>
      </c>
      <c r="G132" s="290">
        <f>G134+G135+G133</f>
        <v>27</v>
      </c>
      <c r="H132" s="414">
        <f>H134+H135+H133</f>
        <v>900</v>
      </c>
      <c r="I132" s="492">
        <f>I134+I135+I133</f>
        <v>4</v>
      </c>
      <c r="J132" s="898" t="s">
        <v>671</v>
      </c>
      <c r="K132" s="1390" t="s">
        <v>22</v>
      </c>
      <c r="L132" s="1392">
        <v>28</v>
      </c>
    </row>
    <row r="133" spans="1:12" s="639" customFormat="1" ht="13" customHeight="1">
      <c r="A133" s="750"/>
      <c r="D133" s="1396"/>
      <c r="E133" s="1397"/>
      <c r="F133" s="254" t="s">
        <v>71</v>
      </c>
      <c r="G133" s="186">
        <v>0</v>
      </c>
      <c r="H133" s="214">
        <v>623</v>
      </c>
      <c r="I133" s="143">
        <v>2</v>
      </c>
      <c r="J133" s="250" t="s">
        <v>1519</v>
      </c>
      <c r="K133" s="1390"/>
      <c r="L133" s="1392"/>
    </row>
    <row r="134" spans="1:12" ht="13" customHeight="1">
      <c r="A134" s="107"/>
      <c r="D134" s="1396"/>
      <c r="E134" s="1397"/>
      <c r="F134" s="254" t="s">
        <v>92</v>
      </c>
      <c r="G134" s="186">
        <v>0</v>
      </c>
      <c r="H134" s="214">
        <v>196</v>
      </c>
      <c r="I134" s="143">
        <v>0</v>
      </c>
      <c r="J134" s="250" t="s">
        <v>1520</v>
      </c>
      <c r="K134" s="1390"/>
      <c r="L134" s="1392"/>
    </row>
    <row r="135" spans="1:12" s="639" customFormat="1" ht="13" customHeight="1">
      <c r="A135" s="750"/>
      <c r="D135" s="1396"/>
      <c r="E135" s="1397"/>
      <c r="F135" s="906" t="s">
        <v>93</v>
      </c>
      <c r="G135" s="186">
        <v>27</v>
      </c>
      <c r="H135" s="214">
        <v>81</v>
      </c>
      <c r="I135" s="143">
        <v>2</v>
      </c>
      <c r="J135" s="250" t="s">
        <v>1521</v>
      </c>
      <c r="K135" s="1390"/>
      <c r="L135" s="1392"/>
    </row>
    <row r="136" spans="1:12" ht="15" customHeight="1">
      <c r="A136" s="107"/>
      <c r="D136" s="1394">
        <v>29</v>
      </c>
      <c r="E136" s="1387" t="s">
        <v>122</v>
      </c>
      <c r="F136" s="1088" t="s">
        <v>70</v>
      </c>
      <c r="G136" s="184">
        <f>G137+G138+G139</f>
        <v>48</v>
      </c>
      <c r="H136" s="334">
        <f>H137+H138+H139</f>
        <v>1271</v>
      </c>
      <c r="I136" s="253">
        <f>I137+I138+I139</f>
        <v>5</v>
      </c>
      <c r="J136" s="1089" t="s">
        <v>671</v>
      </c>
      <c r="K136" s="1388" t="s">
        <v>23</v>
      </c>
      <c r="L136" s="1389">
        <v>29</v>
      </c>
    </row>
    <row r="137" spans="1:12" s="639" customFormat="1" ht="13" customHeight="1">
      <c r="A137" s="750"/>
      <c r="D137" s="1394"/>
      <c r="E137" s="1387"/>
      <c r="F137" s="784" t="s">
        <v>71</v>
      </c>
      <c r="G137" s="185">
        <v>6</v>
      </c>
      <c r="H137" s="212">
        <v>673</v>
      </c>
      <c r="I137" s="136">
        <v>1</v>
      </c>
      <c r="J137" s="777" t="s">
        <v>1519</v>
      </c>
      <c r="K137" s="1388"/>
      <c r="L137" s="1389"/>
    </row>
    <row r="138" spans="1:12" ht="13" customHeight="1">
      <c r="A138" s="107"/>
      <c r="D138" s="1394"/>
      <c r="E138" s="1387"/>
      <c r="F138" s="784" t="s">
        <v>92</v>
      </c>
      <c r="G138" s="185">
        <v>17</v>
      </c>
      <c r="H138" s="212">
        <v>338</v>
      </c>
      <c r="I138" s="136">
        <v>2</v>
      </c>
      <c r="J138" s="777" t="s">
        <v>1520</v>
      </c>
      <c r="K138" s="1388"/>
      <c r="L138" s="1389"/>
    </row>
    <row r="139" spans="1:12" s="639" customFormat="1" ht="13" customHeight="1">
      <c r="A139" s="750"/>
      <c r="D139" s="1394"/>
      <c r="E139" s="1387"/>
      <c r="F139" s="905" t="s">
        <v>93</v>
      </c>
      <c r="G139" s="185">
        <v>25</v>
      </c>
      <c r="H139" s="212">
        <v>260</v>
      </c>
      <c r="I139" s="136">
        <v>2</v>
      </c>
      <c r="J139" s="777" t="s">
        <v>1521</v>
      </c>
      <c r="K139" s="1388"/>
      <c r="L139" s="1389"/>
    </row>
    <row r="140" spans="1:12" ht="18.75" customHeight="1">
      <c r="A140" s="107"/>
      <c r="D140" s="1396">
        <v>30</v>
      </c>
      <c r="E140" s="1397" t="s">
        <v>131</v>
      </c>
      <c r="F140" s="517" t="s">
        <v>70</v>
      </c>
      <c r="G140" s="290">
        <f>G142+G143+G141</f>
        <v>665</v>
      </c>
      <c r="H140" s="414">
        <f>H142+H143+H141</f>
        <v>12462</v>
      </c>
      <c r="I140" s="492">
        <f>I142+I143+I141</f>
        <v>24</v>
      </c>
      <c r="J140" s="898" t="s">
        <v>671</v>
      </c>
      <c r="K140" s="1390" t="s">
        <v>49</v>
      </c>
      <c r="L140" s="1392">
        <v>30</v>
      </c>
    </row>
    <row r="141" spans="1:12" s="639" customFormat="1" ht="13" customHeight="1">
      <c r="A141" s="750"/>
      <c r="D141" s="1396"/>
      <c r="E141" s="1397"/>
      <c r="F141" s="254" t="s">
        <v>71</v>
      </c>
      <c r="G141" s="186">
        <v>115</v>
      </c>
      <c r="H141" s="214">
        <v>8469</v>
      </c>
      <c r="I141" s="143">
        <v>8</v>
      </c>
      <c r="J141" s="250" t="s">
        <v>1519</v>
      </c>
      <c r="K141" s="1390"/>
      <c r="L141" s="1392"/>
    </row>
    <row r="142" spans="1:12" ht="13" customHeight="1">
      <c r="A142" s="107"/>
      <c r="D142" s="1396"/>
      <c r="E142" s="1397"/>
      <c r="F142" s="254" t="s">
        <v>92</v>
      </c>
      <c r="G142" s="186">
        <v>91</v>
      </c>
      <c r="H142" s="214">
        <v>2493</v>
      </c>
      <c r="I142" s="143">
        <v>4</v>
      </c>
      <c r="J142" s="250" t="s">
        <v>1520</v>
      </c>
      <c r="K142" s="1390"/>
      <c r="L142" s="1392"/>
    </row>
    <row r="143" spans="1:12" s="639" customFormat="1" ht="15" customHeight="1">
      <c r="A143" s="789"/>
      <c r="B143" s="790"/>
      <c r="C143" s="796"/>
      <c r="D143" s="1396"/>
      <c r="E143" s="1397"/>
      <c r="F143" s="906" t="s">
        <v>93</v>
      </c>
      <c r="G143" s="186">
        <v>459</v>
      </c>
      <c r="H143" s="214">
        <v>1500</v>
      </c>
      <c r="I143" s="143">
        <v>12</v>
      </c>
      <c r="J143" s="250" t="s">
        <v>1521</v>
      </c>
      <c r="K143" s="1390"/>
      <c r="L143" s="1392"/>
    </row>
    <row r="144" spans="1:12" ht="15.75" customHeight="1">
      <c r="D144" s="1394">
        <v>31</v>
      </c>
      <c r="E144" s="1387" t="s">
        <v>590</v>
      </c>
      <c r="F144" s="1092" t="s">
        <v>70</v>
      </c>
      <c r="G144" s="184" t="s">
        <v>54</v>
      </c>
      <c r="H144" s="334" t="s">
        <v>54</v>
      </c>
      <c r="I144" s="253" t="s">
        <v>54</v>
      </c>
      <c r="J144" s="1089" t="s">
        <v>671</v>
      </c>
      <c r="K144" s="1388" t="s">
        <v>30</v>
      </c>
      <c r="L144" s="1389">
        <v>31</v>
      </c>
    </row>
    <row r="145" spans="4:12" s="639" customFormat="1" ht="12.75" customHeight="1">
      <c r="D145" s="1394"/>
      <c r="E145" s="1387"/>
      <c r="F145" s="905" t="s">
        <v>71</v>
      </c>
      <c r="G145" s="185" t="s">
        <v>54</v>
      </c>
      <c r="H145" s="212" t="s">
        <v>54</v>
      </c>
      <c r="I145" s="136" t="s">
        <v>54</v>
      </c>
      <c r="J145" s="777" t="s">
        <v>1519</v>
      </c>
      <c r="K145" s="1388"/>
      <c r="L145" s="1389"/>
    </row>
    <row r="146" spans="4:12" ht="12.75" customHeight="1">
      <c r="D146" s="1394"/>
      <c r="E146" s="1387"/>
      <c r="F146" s="905" t="s">
        <v>92</v>
      </c>
      <c r="G146" s="185" t="s">
        <v>54</v>
      </c>
      <c r="H146" s="212" t="s">
        <v>54</v>
      </c>
      <c r="I146" s="136" t="s">
        <v>54</v>
      </c>
      <c r="J146" s="777" t="s">
        <v>1520</v>
      </c>
      <c r="K146" s="1388"/>
      <c r="L146" s="1389"/>
    </row>
    <row r="147" spans="4:12" s="639" customFormat="1" ht="14.25" customHeight="1">
      <c r="D147" s="1394"/>
      <c r="E147" s="1387"/>
      <c r="F147" s="905" t="s">
        <v>93</v>
      </c>
      <c r="G147" s="185" t="s">
        <v>54</v>
      </c>
      <c r="H147" s="212" t="s">
        <v>54</v>
      </c>
      <c r="I147" s="136" t="s">
        <v>54</v>
      </c>
      <c r="J147" s="777" t="s">
        <v>1521</v>
      </c>
      <c r="K147" s="1388"/>
      <c r="L147" s="1389"/>
    </row>
    <row r="148" spans="4:12" ht="18.75" customHeight="1">
      <c r="D148" s="1396">
        <v>32</v>
      </c>
      <c r="E148" s="1397" t="s">
        <v>158</v>
      </c>
      <c r="F148" s="517" t="s">
        <v>70</v>
      </c>
      <c r="G148" s="290">
        <f>G149+G150+G151</f>
        <v>365</v>
      </c>
      <c r="H148" s="414">
        <f>H149+H150+H151</f>
        <v>8398</v>
      </c>
      <c r="I148" s="492">
        <f>I149+I150+I151</f>
        <v>22</v>
      </c>
      <c r="J148" s="898" t="s">
        <v>671</v>
      </c>
      <c r="K148" s="1390" t="s">
        <v>50</v>
      </c>
      <c r="L148" s="1392">
        <v>32</v>
      </c>
    </row>
    <row r="149" spans="4:12" s="639" customFormat="1" ht="17.25" customHeight="1">
      <c r="D149" s="1396"/>
      <c r="E149" s="1397"/>
      <c r="F149" s="254" t="s">
        <v>71</v>
      </c>
      <c r="G149" s="186">
        <v>13</v>
      </c>
      <c r="H149" s="214">
        <v>6344</v>
      </c>
      <c r="I149" s="143">
        <v>6</v>
      </c>
      <c r="J149" s="250" t="s">
        <v>1519</v>
      </c>
      <c r="K149" s="1390"/>
      <c r="L149" s="1392"/>
    </row>
    <row r="150" spans="4:12" ht="16.5" customHeight="1">
      <c r="D150" s="1396"/>
      <c r="E150" s="1397"/>
      <c r="F150" s="254" t="s">
        <v>92</v>
      </c>
      <c r="G150" s="186">
        <v>111</v>
      </c>
      <c r="H150" s="214">
        <v>1412</v>
      </c>
      <c r="I150" s="143">
        <v>7</v>
      </c>
      <c r="J150" s="250" t="s">
        <v>1520</v>
      </c>
      <c r="K150" s="1390"/>
      <c r="L150" s="1392"/>
    </row>
    <row r="151" spans="4:12" s="639" customFormat="1">
      <c r="D151" s="1399"/>
      <c r="E151" s="1400"/>
      <c r="F151" s="908" t="s">
        <v>93</v>
      </c>
      <c r="G151" s="850">
        <v>241</v>
      </c>
      <c r="H151" s="423">
        <v>642</v>
      </c>
      <c r="I151" s="468">
        <v>9</v>
      </c>
      <c r="J151" s="250" t="s">
        <v>1521</v>
      </c>
      <c r="K151" s="1391"/>
      <c r="L151" s="1393"/>
    </row>
    <row r="152" spans="4:12" ht="15.75" customHeight="1">
      <c r="D152" s="1395" t="s">
        <v>160</v>
      </c>
      <c r="E152" s="1395"/>
      <c r="F152" s="1395"/>
      <c r="G152" s="1395"/>
      <c r="H152" s="1395"/>
      <c r="I152" s="520"/>
      <c r="J152" s="1258" t="s">
        <v>1518</v>
      </c>
      <c r="K152" s="1258"/>
      <c r="L152" s="1258"/>
    </row>
    <row r="153" spans="4:12" ht="27" customHeight="1"/>
    <row r="154" spans="4:12" ht="21.75" customHeight="1"/>
    <row r="157" spans="4:12">
      <c r="E157" s="1398"/>
      <c r="F157" s="1398"/>
      <c r="G157" s="1398"/>
      <c r="H157" s="1398"/>
      <c r="I157" s="1398"/>
      <c r="J157" s="1398"/>
      <c r="K157" s="1398"/>
      <c r="L157" s="1398"/>
    </row>
    <row r="158" spans="4:12">
      <c r="E158" s="1305"/>
      <c r="F158" s="1305"/>
      <c r="G158" s="1305"/>
      <c r="H158" s="1305"/>
      <c r="I158" s="1305"/>
      <c r="J158" s="1305"/>
      <c r="K158" s="1305"/>
      <c r="L158" s="1305"/>
    </row>
  </sheetData>
  <mergeCells count="177">
    <mergeCell ref="A5:C5"/>
    <mergeCell ref="J6:J7"/>
    <mergeCell ref="D8:D11"/>
    <mergeCell ref="E8:E11"/>
    <mergeCell ref="K8:K11"/>
    <mergeCell ref="L8:L11"/>
    <mergeCell ref="D24:D27"/>
    <mergeCell ref="E24:E27"/>
    <mergeCell ref="K24:K27"/>
    <mergeCell ref="L24:L27"/>
    <mergeCell ref="D12:D15"/>
    <mergeCell ref="E12:E15"/>
    <mergeCell ref="K12:K15"/>
    <mergeCell ref="L12:L15"/>
    <mergeCell ref="D16:D19"/>
    <mergeCell ref="E16:E19"/>
    <mergeCell ref="K16:K19"/>
    <mergeCell ref="L16:L19"/>
    <mergeCell ref="D20:D23"/>
    <mergeCell ref="E20:E23"/>
    <mergeCell ref="K20:K23"/>
    <mergeCell ref="L20:L23"/>
    <mergeCell ref="E1:L1"/>
    <mergeCell ref="E2:L2"/>
    <mergeCell ref="D4:D7"/>
    <mergeCell ref="E4:E7"/>
    <mergeCell ref="F4:F7"/>
    <mergeCell ref="G4:I4"/>
    <mergeCell ref="J4:J5"/>
    <mergeCell ref="K4:K7"/>
    <mergeCell ref="L4:L7"/>
    <mergeCell ref="D3:L3"/>
    <mergeCell ref="R36:R39"/>
    <mergeCell ref="S36:S39"/>
    <mergeCell ref="D28:D31"/>
    <mergeCell ref="E28:E31"/>
    <mergeCell ref="K28:K31"/>
    <mergeCell ref="L28:L31"/>
    <mergeCell ref="D32:D35"/>
    <mergeCell ref="E32:E35"/>
    <mergeCell ref="K32:K35"/>
    <mergeCell ref="L32:L35"/>
    <mergeCell ref="D36:D39"/>
    <mergeCell ref="E36:E39"/>
    <mergeCell ref="K36:K39"/>
    <mergeCell ref="L36:L39"/>
    <mergeCell ref="I49:L49"/>
    <mergeCell ref="D40:D43"/>
    <mergeCell ref="E40:E43"/>
    <mergeCell ref="K40:K43"/>
    <mergeCell ref="L40:L43"/>
    <mergeCell ref="D44:D47"/>
    <mergeCell ref="E44:E47"/>
    <mergeCell ref="K44:K47"/>
    <mergeCell ref="L44:L47"/>
    <mergeCell ref="J48:L48"/>
    <mergeCell ref="D48:F49"/>
    <mergeCell ref="A73:C73"/>
    <mergeCell ref="K66:K69"/>
    <mergeCell ref="L66:L69"/>
    <mergeCell ref="L50:L53"/>
    <mergeCell ref="J52:J53"/>
    <mergeCell ref="D54:D57"/>
    <mergeCell ref="E54:E57"/>
    <mergeCell ref="K54:K57"/>
    <mergeCell ref="L54:L57"/>
    <mergeCell ref="D50:D53"/>
    <mergeCell ref="E50:E53"/>
    <mergeCell ref="F50:F53"/>
    <mergeCell ref="G50:I50"/>
    <mergeCell ref="J50:J51"/>
    <mergeCell ref="K50:K53"/>
    <mergeCell ref="D62:D65"/>
    <mergeCell ref="E62:E65"/>
    <mergeCell ref="K62:K65"/>
    <mergeCell ref="L62:L65"/>
    <mergeCell ref="D66:D69"/>
    <mergeCell ref="E66:E69"/>
    <mergeCell ref="C55:C56"/>
    <mergeCell ref="D58:D61"/>
    <mergeCell ref="E58:E61"/>
    <mergeCell ref="K58:K61"/>
    <mergeCell ref="L58:L61"/>
    <mergeCell ref="N78:N81"/>
    <mergeCell ref="D82:D85"/>
    <mergeCell ref="E82:E85"/>
    <mergeCell ref="K82:K85"/>
    <mergeCell ref="L82:L85"/>
    <mergeCell ref="D70:D73"/>
    <mergeCell ref="E70:E73"/>
    <mergeCell ref="K70:K73"/>
    <mergeCell ref="L70:L73"/>
    <mergeCell ref="D78:D81"/>
    <mergeCell ref="D74:D77"/>
    <mergeCell ref="E74:E77"/>
    <mergeCell ref="K74:K77"/>
    <mergeCell ref="L74:L77"/>
    <mergeCell ref="E78:E81"/>
    <mergeCell ref="K78:K81"/>
    <mergeCell ref="L78:L81"/>
    <mergeCell ref="L104:L107"/>
    <mergeCell ref="D108:D111"/>
    <mergeCell ref="E108:E111"/>
    <mergeCell ref="K108:K111"/>
    <mergeCell ref="D86:D89"/>
    <mergeCell ref="E86:E89"/>
    <mergeCell ref="K86:K89"/>
    <mergeCell ref="L86:L89"/>
    <mergeCell ref="D90:D93"/>
    <mergeCell ref="E90:E93"/>
    <mergeCell ref="K90:K93"/>
    <mergeCell ref="L90:L93"/>
    <mergeCell ref="J94:L94"/>
    <mergeCell ref="D94:F95"/>
    <mergeCell ref="I95:L95"/>
    <mergeCell ref="S97:S102"/>
    <mergeCell ref="J98:J99"/>
    <mergeCell ref="D100:D103"/>
    <mergeCell ref="E100:E103"/>
    <mergeCell ref="K100:K103"/>
    <mergeCell ref="L100:L103"/>
    <mergeCell ref="D96:D99"/>
    <mergeCell ref="E96:E99"/>
    <mergeCell ref="F96:F99"/>
    <mergeCell ref="G96:I96"/>
    <mergeCell ref="J96:J97"/>
    <mergeCell ref="K96:K99"/>
    <mergeCell ref="L96:L99"/>
    <mergeCell ref="R97:R102"/>
    <mergeCell ref="E157:L157"/>
    <mergeCell ref="E158:L158"/>
    <mergeCell ref="D144:D147"/>
    <mergeCell ref="E144:E147"/>
    <mergeCell ref="K144:K147"/>
    <mergeCell ref="L144:L147"/>
    <mergeCell ref="D148:D151"/>
    <mergeCell ref="E148:E151"/>
    <mergeCell ref="L108:L111"/>
    <mergeCell ref="D140:D143"/>
    <mergeCell ref="E140:E143"/>
    <mergeCell ref="K140:K143"/>
    <mergeCell ref="L140:L143"/>
    <mergeCell ref="E112:E115"/>
    <mergeCell ref="K112:K115"/>
    <mergeCell ref="L112:L115"/>
    <mergeCell ref="D116:D119"/>
    <mergeCell ref="E116:E119"/>
    <mergeCell ref="K116:K119"/>
    <mergeCell ref="L116:L119"/>
    <mergeCell ref="D128:D131"/>
    <mergeCell ref="E128:E131"/>
    <mergeCell ref="K128:K131"/>
    <mergeCell ref="L128:L131"/>
    <mergeCell ref="E136:E139"/>
    <mergeCell ref="K136:K139"/>
    <mergeCell ref="L136:L139"/>
    <mergeCell ref="K148:K151"/>
    <mergeCell ref="L148:L151"/>
    <mergeCell ref="D104:D107"/>
    <mergeCell ref="E104:E107"/>
    <mergeCell ref="K104:K107"/>
    <mergeCell ref="D152:H152"/>
    <mergeCell ref="J152:L152"/>
    <mergeCell ref="D132:D135"/>
    <mergeCell ref="D120:D123"/>
    <mergeCell ref="E120:E123"/>
    <mergeCell ref="K120:K123"/>
    <mergeCell ref="E132:E135"/>
    <mergeCell ref="K132:K135"/>
    <mergeCell ref="L132:L135"/>
    <mergeCell ref="D136:D139"/>
    <mergeCell ref="L120:L123"/>
    <mergeCell ref="D124:D127"/>
    <mergeCell ref="E124:E127"/>
    <mergeCell ref="K124:K127"/>
    <mergeCell ref="L124:L127"/>
    <mergeCell ref="D112:D115"/>
  </mergeCells>
  <printOptions horizontalCentered="1"/>
  <pageMargins left="0" right="0" top="0.06" bottom="0.34" header="0.03" footer="0.31"/>
  <pageSetup paperSize="9" orientation="portrait" r:id="rId1"/>
  <headerFooter>
    <oddFooter>&amp;L&amp;"Times New Roman,Regular"&amp;10    Afghanistan Statistical Yearbook 2023-24&amp;R&amp;"Times New Roman,Regular"&amp;10          د ۱۴۰۲ احصایيوي کالنۍ  /سالنامه احصائیوی ۱۴۰۲</oddFooter>
  </headerFooter>
  <rowBreaks count="1" manualBreakCount="1">
    <brk id="93" max="11" man="1"/>
  </row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0"/>
  </sheetPr>
  <dimension ref="A1:P41"/>
  <sheetViews>
    <sheetView view="pageBreakPreview" topLeftCell="B3" zoomScale="130" zoomScaleSheetLayoutView="130" workbookViewId="0">
      <selection activeCell="B3" sqref="B3:F3"/>
    </sheetView>
  </sheetViews>
  <sheetFormatPr baseColWidth="10" defaultColWidth="8.83203125" defaultRowHeight="15"/>
  <cols>
    <col min="1" max="1" width="16.5" style="100" hidden="1" customWidth="1"/>
    <col min="2" max="2" width="5.5" style="100" customWidth="1"/>
    <col min="3" max="3" width="30.5" style="100" customWidth="1"/>
    <col min="4" max="4" width="19.83203125" style="100" customWidth="1"/>
    <col min="5" max="5" width="37.5" style="100" customWidth="1"/>
    <col min="6" max="6" width="4.5" style="100" customWidth="1"/>
    <col min="7" max="8" width="9.1640625" style="100"/>
    <col min="9" max="9" width="14.5" style="100" customWidth="1"/>
    <col min="10" max="10" width="10.6640625" style="100" bestFit="1" customWidth="1"/>
    <col min="11" max="12" width="9.1640625" style="100"/>
    <col min="15" max="15" width="12.33203125" bestFit="1" customWidth="1"/>
  </cols>
  <sheetData>
    <row r="1" spans="1:16" ht="19.5" hidden="1" customHeight="1">
      <c r="A1" s="583"/>
      <c r="B1" s="1443" t="s">
        <v>2239</v>
      </c>
      <c r="C1" s="1443"/>
      <c r="D1" s="1443"/>
      <c r="E1" s="1443"/>
      <c r="F1" s="1443"/>
    </row>
    <row r="2" spans="1:16" ht="20.25" hidden="1" customHeight="1">
      <c r="A2" s="584" t="s">
        <v>83</v>
      </c>
      <c r="B2" s="1443" t="s">
        <v>2240</v>
      </c>
      <c r="C2" s="1443"/>
      <c r="D2" s="1443"/>
      <c r="E2" s="1443"/>
      <c r="F2" s="1443"/>
    </row>
    <row r="3" spans="1:16" ht="35.25" customHeight="1">
      <c r="A3" s="447"/>
      <c r="B3" s="1444" t="s">
        <v>2241</v>
      </c>
      <c r="C3" s="1444"/>
      <c r="D3" s="1444"/>
      <c r="E3" s="1444"/>
      <c r="F3" s="1444"/>
    </row>
    <row r="4" spans="1:16" ht="12.75" customHeight="1">
      <c r="A4" s="530" t="s">
        <v>84</v>
      </c>
      <c r="B4" s="1445" t="s">
        <v>621</v>
      </c>
      <c r="C4" s="1320" t="s">
        <v>90</v>
      </c>
      <c r="D4" s="1203">
        <v>1402</v>
      </c>
      <c r="E4" s="1449" t="s">
        <v>11</v>
      </c>
      <c r="F4" s="1451" t="s">
        <v>727</v>
      </c>
    </row>
    <row r="5" spans="1:16" ht="20.25" customHeight="1">
      <c r="A5" s="530"/>
      <c r="B5" s="1446"/>
      <c r="C5" s="1281"/>
      <c r="D5" s="352" t="s">
        <v>772</v>
      </c>
      <c r="E5" s="1450"/>
      <c r="F5" s="1452"/>
    </row>
    <row r="6" spans="1:16" ht="40.5" customHeight="1">
      <c r="A6" s="522" t="s">
        <v>56</v>
      </c>
      <c r="B6" s="522">
        <v>1</v>
      </c>
      <c r="C6" s="605" t="s">
        <v>1202</v>
      </c>
      <c r="D6" s="606">
        <f>D7+D8+D9</f>
        <v>17509</v>
      </c>
      <c r="E6" s="607" t="s">
        <v>1522</v>
      </c>
      <c r="F6" s="911">
        <v>1</v>
      </c>
    </row>
    <row r="7" spans="1:16" s="639" customFormat="1" ht="20" customHeight="1">
      <c r="A7" s="632" t="s">
        <v>56</v>
      </c>
      <c r="B7" s="731">
        <v>1.1000000000000001</v>
      </c>
      <c r="C7" s="732" t="s">
        <v>257</v>
      </c>
      <c r="D7" s="632">
        <v>15982</v>
      </c>
      <c r="E7" s="710" t="s">
        <v>1523</v>
      </c>
      <c r="F7" s="912" t="s">
        <v>87</v>
      </c>
      <c r="K7" s="733"/>
      <c r="L7" s="673"/>
      <c r="N7" s="673"/>
      <c r="P7" s="734"/>
    </row>
    <row r="8" spans="1:16" ht="20" customHeight="1">
      <c r="A8" s="127" t="s">
        <v>56</v>
      </c>
      <c r="B8" s="128" t="s">
        <v>624</v>
      </c>
      <c r="C8" s="276" t="s">
        <v>258</v>
      </c>
      <c r="D8" s="127">
        <v>1195</v>
      </c>
      <c r="E8" s="277" t="s">
        <v>1524</v>
      </c>
      <c r="F8" s="913" t="s">
        <v>88</v>
      </c>
      <c r="K8" s="483"/>
      <c r="L8" s="474"/>
      <c r="N8" s="2"/>
      <c r="P8" s="71"/>
    </row>
    <row r="9" spans="1:16" s="639" customFormat="1" ht="20" customHeight="1">
      <c r="A9" s="632" t="s">
        <v>56</v>
      </c>
      <c r="B9" s="731" t="s">
        <v>625</v>
      </c>
      <c r="C9" s="732" t="s">
        <v>259</v>
      </c>
      <c r="D9" s="632">
        <v>332</v>
      </c>
      <c r="E9" s="710" t="s">
        <v>1525</v>
      </c>
      <c r="F9" s="912" t="s">
        <v>608</v>
      </c>
      <c r="K9" s="733"/>
      <c r="L9" s="673"/>
      <c r="N9" s="673"/>
      <c r="P9" s="734"/>
    </row>
    <row r="10" spans="1:16" ht="43.5" customHeight="1">
      <c r="A10" s="127" t="s">
        <v>56</v>
      </c>
      <c r="B10" s="432">
        <v>2</v>
      </c>
      <c r="C10" s="608" t="s">
        <v>1203</v>
      </c>
      <c r="D10" s="606" t="s">
        <v>54</v>
      </c>
      <c r="E10" s="607" t="s">
        <v>1526</v>
      </c>
      <c r="F10" s="911">
        <v>2</v>
      </c>
      <c r="I10"/>
      <c r="J10"/>
      <c r="K10"/>
      <c r="L10"/>
      <c r="P10" s="71"/>
    </row>
    <row r="11" spans="1:16" s="639" customFormat="1" ht="29.25" customHeight="1">
      <c r="A11" s="632" t="s">
        <v>56</v>
      </c>
      <c r="B11" s="731" t="s">
        <v>622</v>
      </c>
      <c r="C11" s="732" t="s">
        <v>260</v>
      </c>
      <c r="D11" s="632" t="s">
        <v>54</v>
      </c>
      <c r="E11" s="710" t="s">
        <v>1527</v>
      </c>
      <c r="F11" s="912" t="s">
        <v>3</v>
      </c>
      <c r="P11" s="734"/>
    </row>
    <row r="12" spans="1:16" ht="20" customHeight="1">
      <c r="A12" s="127" t="s">
        <v>56</v>
      </c>
      <c r="B12" s="128" t="s">
        <v>626</v>
      </c>
      <c r="C12" s="276" t="s">
        <v>261</v>
      </c>
      <c r="D12" s="127" t="s">
        <v>54</v>
      </c>
      <c r="E12" s="278" t="s">
        <v>1528</v>
      </c>
      <c r="F12" s="913" t="s">
        <v>5</v>
      </c>
      <c r="I12"/>
      <c r="J12"/>
      <c r="K12"/>
      <c r="L12"/>
      <c r="P12" s="71"/>
    </row>
    <row r="13" spans="1:16" s="639" customFormat="1" ht="20" customHeight="1">
      <c r="A13" s="632" t="s">
        <v>56</v>
      </c>
      <c r="B13" s="731" t="s">
        <v>627</v>
      </c>
      <c r="C13" s="732" t="s">
        <v>473</v>
      </c>
      <c r="D13" s="632" t="s">
        <v>54</v>
      </c>
      <c r="E13" s="735" t="s">
        <v>1529</v>
      </c>
      <c r="F13" s="912" t="s">
        <v>620</v>
      </c>
      <c r="P13" s="733"/>
    </row>
    <row r="14" spans="1:16" ht="51" customHeight="1">
      <c r="A14" s="127" t="s">
        <v>56</v>
      </c>
      <c r="B14" s="432">
        <v>3</v>
      </c>
      <c r="C14" s="608" t="s">
        <v>1204</v>
      </c>
      <c r="D14" s="606" t="s">
        <v>54</v>
      </c>
      <c r="E14" s="609" t="s">
        <v>1530</v>
      </c>
      <c r="F14" s="911">
        <v>3</v>
      </c>
      <c r="I14"/>
      <c r="J14"/>
      <c r="K14"/>
      <c r="L14"/>
      <c r="P14" s="72"/>
    </row>
    <row r="15" spans="1:16" s="639" customFormat="1" ht="27" customHeight="1">
      <c r="A15" s="632" t="s">
        <v>56</v>
      </c>
      <c r="B15" s="731" t="s">
        <v>623</v>
      </c>
      <c r="C15" s="732" t="s">
        <v>262</v>
      </c>
      <c r="D15" s="632" t="s">
        <v>54</v>
      </c>
      <c r="E15" s="736" t="s">
        <v>1531</v>
      </c>
      <c r="F15" s="912" t="s">
        <v>604</v>
      </c>
    </row>
    <row r="16" spans="1:16" ht="33" customHeight="1">
      <c r="A16" s="127" t="s">
        <v>56</v>
      </c>
      <c r="B16" s="128" t="s">
        <v>628</v>
      </c>
      <c r="C16" s="276" t="s">
        <v>2181</v>
      </c>
      <c r="D16" s="127" t="s">
        <v>54</v>
      </c>
      <c r="E16" s="484" t="s">
        <v>1532</v>
      </c>
      <c r="F16" s="913" t="s">
        <v>617</v>
      </c>
      <c r="I16"/>
      <c r="J16"/>
      <c r="K16"/>
      <c r="L16"/>
    </row>
    <row r="17" spans="1:13" s="639" customFormat="1" ht="29.25" customHeight="1">
      <c r="A17" s="632" t="s">
        <v>56</v>
      </c>
      <c r="B17" s="731" t="s">
        <v>629</v>
      </c>
      <c r="C17" s="732" t="s">
        <v>2179</v>
      </c>
      <c r="D17" s="632" t="s">
        <v>54</v>
      </c>
      <c r="E17" s="737" t="s">
        <v>2178</v>
      </c>
      <c r="F17" s="912" t="s">
        <v>618</v>
      </c>
    </row>
    <row r="18" spans="1:13" ht="42">
      <c r="A18" s="127" t="s">
        <v>56</v>
      </c>
      <c r="B18" s="432">
        <v>4</v>
      </c>
      <c r="C18" s="608" t="s">
        <v>1205</v>
      </c>
      <c r="D18" s="606" t="s">
        <v>54</v>
      </c>
      <c r="E18" s="609" t="s">
        <v>1533</v>
      </c>
      <c r="F18" s="911">
        <v>4</v>
      </c>
    </row>
    <row r="19" spans="1:13" s="639" customFormat="1" ht="26.25" customHeight="1">
      <c r="A19" s="632" t="s">
        <v>56</v>
      </c>
      <c r="B19" s="731" t="s">
        <v>630</v>
      </c>
      <c r="C19" s="732" t="s">
        <v>263</v>
      </c>
      <c r="D19" s="632" t="s">
        <v>54</v>
      </c>
      <c r="E19" s="735" t="s">
        <v>1534</v>
      </c>
      <c r="F19" s="912" t="s">
        <v>739</v>
      </c>
    </row>
    <row r="20" spans="1:13" ht="20" customHeight="1">
      <c r="A20" s="127" t="s">
        <v>56</v>
      </c>
      <c r="B20" s="128" t="s">
        <v>631</v>
      </c>
      <c r="C20" s="276" t="s">
        <v>264</v>
      </c>
      <c r="D20" s="127" t="s">
        <v>54</v>
      </c>
      <c r="E20" s="278" t="s">
        <v>1535</v>
      </c>
      <c r="F20" s="913" t="s">
        <v>740</v>
      </c>
    </row>
    <row r="21" spans="1:13" s="639" customFormat="1" ht="20" customHeight="1">
      <c r="A21" s="632" t="s">
        <v>56</v>
      </c>
      <c r="B21" s="731" t="s">
        <v>632</v>
      </c>
      <c r="C21" s="732" t="s">
        <v>474</v>
      </c>
      <c r="D21" s="632" t="s">
        <v>54</v>
      </c>
      <c r="E21" s="735" t="s">
        <v>1536</v>
      </c>
      <c r="F21" s="912" t="s">
        <v>741</v>
      </c>
    </row>
    <row r="22" spans="1:13" ht="42">
      <c r="A22" s="127" t="s">
        <v>56</v>
      </c>
      <c r="B22" s="432">
        <v>5</v>
      </c>
      <c r="C22" s="608" t="s">
        <v>1206</v>
      </c>
      <c r="D22" s="606" t="s">
        <v>54</v>
      </c>
      <c r="E22" s="609" t="s">
        <v>1537</v>
      </c>
      <c r="F22" s="911">
        <v>5</v>
      </c>
    </row>
    <row r="23" spans="1:13" s="639" customFormat="1" ht="25.5" customHeight="1">
      <c r="A23" s="632" t="s">
        <v>56</v>
      </c>
      <c r="B23" s="731" t="s">
        <v>633</v>
      </c>
      <c r="C23" s="732" t="s">
        <v>475</v>
      </c>
      <c r="D23" s="632" t="s">
        <v>54</v>
      </c>
      <c r="E23" s="737" t="s">
        <v>1538</v>
      </c>
      <c r="F23" s="912" t="s">
        <v>737</v>
      </c>
    </row>
    <row r="24" spans="1:13" ht="20" customHeight="1">
      <c r="A24" s="127" t="s">
        <v>56</v>
      </c>
      <c r="B24" s="128" t="s">
        <v>634</v>
      </c>
      <c r="C24" s="276" t="s">
        <v>2180</v>
      </c>
      <c r="D24" s="127" t="s">
        <v>54</v>
      </c>
      <c r="E24" s="279" t="s">
        <v>2145</v>
      </c>
      <c r="F24" s="913" t="s">
        <v>738</v>
      </c>
    </row>
    <row r="25" spans="1:13" s="639" customFormat="1" ht="20" customHeight="1">
      <c r="A25" s="632" t="s">
        <v>56</v>
      </c>
      <c r="B25" s="731" t="s">
        <v>635</v>
      </c>
      <c r="C25" s="732" t="s">
        <v>476</v>
      </c>
      <c r="D25" s="632" t="s">
        <v>54</v>
      </c>
      <c r="E25" s="737" t="s">
        <v>1539</v>
      </c>
      <c r="F25" s="912" t="s">
        <v>742</v>
      </c>
    </row>
    <row r="26" spans="1:13" ht="42">
      <c r="A26" s="127" t="s">
        <v>56</v>
      </c>
      <c r="B26" s="432">
        <v>6</v>
      </c>
      <c r="C26" s="608" t="s">
        <v>1207</v>
      </c>
      <c r="D26" s="606" t="s">
        <v>54</v>
      </c>
      <c r="E26" s="609" t="s">
        <v>1540</v>
      </c>
      <c r="F26" s="911">
        <v>6</v>
      </c>
    </row>
    <row r="27" spans="1:13" s="639" customFormat="1">
      <c r="A27" s="645" t="s">
        <v>56</v>
      </c>
      <c r="B27" s="738">
        <v>7</v>
      </c>
      <c r="C27" s="739" t="s">
        <v>265</v>
      </c>
      <c r="D27" s="645" t="s">
        <v>54</v>
      </c>
      <c r="E27" s="740" t="s">
        <v>1541</v>
      </c>
      <c r="F27" s="914">
        <v>7</v>
      </c>
    </row>
    <row r="28" spans="1:13" ht="13.5" customHeight="1">
      <c r="A28" s="447"/>
      <c r="B28" s="1395" t="s">
        <v>160</v>
      </c>
      <c r="C28" s="1395"/>
      <c r="D28" s="1395"/>
      <c r="E28" s="1447" t="s">
        <v>1542</v>
      </c>
      <c r="F28" s="1447"/>
    </row>
    <row r="29" spans="1:13" ht="32.25" customHeight="1">
      <c r="A29" s="1448" t="s">
        <v>1489</v>
      </c>
      <c r="B29" s="1448"/>
      <c r="C29" s="1448"/>
      <c r="D29" s="1448"/>
      <c r="E29" s="1448"/>
      <c r="F29" s="1448"/>
    </row>
    <row r="30" spans="1:13" ht="26.25" customHeight="1">
      <c r="B30" s="1453" t="s">
        <v>1208</v>
      </c>
      <c r="C30" s="1453"/>
      <c r="D30" s="1453"/>
      <c r="E30" s="1453"/>
      <c r="F30" s="1453"/>
      <c r="G30" s="447"/>
      <c r="H30" s="447"/>
      <c r="I30" s="447"/>
      <c r="J30" s="447"/>
      <c r="K30" s="447"/>
      <c r="L30" s="447"/>
      <c r="M30" s="125"/>
    </row>
    <row r="33" spans="1:12">
      <c r="A33" s="447" t="s">
        <v>341</v>
      </c>
      <c r="B33" s="447"/>
    </row>
    <row r="38" spans="1:12">
      <c r="J38" s="485"/>
      <c r="K38" s="486"/>
      <c r="L38" s="449"/>
    </row>
    <row r="39" spans="1:12">
      <c r="I39" s="76"/>
      <c r="J39" s="487"/>
      <c r="K39" s="488"/>
    </row>
    <row r="40" spans="1:12">
      <c r="I40" s="76"/>
      <c r="J40" s="487"/>
      <c r="K40" s="488"/>
    </row>
    <row r="41" spans="1:12">
      <c r="I41" s="489"/>
      <c r="J41" s="487"/>
      <c r="K41" s="488"/>
    </row>
  </sheetData>
  <mergeCells count="11">
    <mergeCell ref="A29:F29"/>
    <mergeCell ref="C4:C5"/>
    <mergeCell ref="E4:E5"/>
    <mergeCell ref="F4:F5"/>
    <mergeCell ref="B30:F30"/>
    <mergeCell ref="B1:F1"/>
    <mergeCell ref="B2:F2"/>
    <mergeCell ref="B3:F3"/>
    <mergeCell ref="B4:B5"/>
    <mergeCell ref="E28:F28"/>
    <mergeCell ref="B28:D28"/>
  </mergeCells>
  <printOptions horizontalCentered="1"/>
  <pageMargins left="0" right="0" top="0.06" bottom="0.6" header="0.03" footer="0.39370078740157499"/>
  <pageSetup paperSize="9" orientation="portrait" r:id="rId1"/>
  <headerFooter>
    <oddFooter>&amp;L&amp;"Times New Roman,Regular"&amp;10    Afghanistan Statistical Yearbook 2023-24&amp;R&amp;"Times New Roman,Regular"&amp;10          د ۱۴۰۲ احصایيوي کالنۍ  /سالنامه احصائیوی ۱۴۰۲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0"/>
  </sheetPr>
  <dimension ref="A1:O45"/>
  <sheetViews>
    <sheetView view="pageBreakPreview" topLeftCell="A3" zoomScale="118" zoomScaleSheetLayoutView="118" workbookViewId="0">
      <selection activeCell="A3" sqref="A3:G3"/>
    </sheetView>
  </sheetViews>
  <sheetFormatPr baseColWidth="10" defaultColWidth="8.83203125" defaultRowHeight="15"/>
  <cols>
    <col min="1" max="1" width="4.6640625" style="100" customWidth="1"/>
    <col min="2" max="2" width="16.6640625" style="100" customWidth="1"/>
    <col min="3" max="5" width="12.6640625" style="100" customWidth="1"/>
    <col min="6" max="6" width="34.6640625" style="100" customWidth="1"/>
    <col min="7" max="7" width="4.6640625" style="100" customWidth="1"/>
    <col min="8" max="10" width="9.1640625" style="100"/>
    <col min="11" max="11" width="13" style="100" customWidth="1"/>
    <col min="12" max="12" width="10.33203125" style="100" customWidth="1"/>
    <col min="13" max="14" width="10.1640625" style="100" customWidth="1"/>
  </cols>
  <sheetData>
    <row r="1" spans="1:11" ht="35" hidden="1" customHeight="1">
      <c r="A1" s="1443" t="s">
        <v>2236</v>
      </c>
      <c r="B1" s="1443"/>
      <c r="C1" s="1443"/>
      <c r="D1" s="1443"/>
      <c r="E1" s="1443"/>
      <c r="F1" s="1443"/>
      <c r="G1" s="1443"/>
    </row>
    <row r="2" spans="1:11" ht="35" hidden="1" customHeight="1">
      <c r="A2" s="1443" t="s">
        <v>2237</v>
      </c>
      <c r="B2" s="1443"/>
      <c r="C2" s="1443"/>
      <c r="D2" s="1443"/>
      <c r="E2" s="1443"/>
      <c r="F2" s="1443"/>
      <c r="G2" s="1443"/>
    </row>
    <row r="3" spans="1:11" ht="35" customHeight="1">
      <c r="A3" s="1444" t="s">
        <v>2238</v>
      </c>
      <c r="B3" s="1444"/>
      <c r="C3" s="1444"/>
      <c r="D3" s="1444"/>
      <c r="E3" s="1444"/>
      <c r="F3" s="1444"/>
      <c r="G3" s="1444"/>
    </row>
    <row r="4" spans="1:11" ht="35" customHeight="1">
      <c r="A4" s="1455" t="s">
        <v>621</v>
      </c>
      <c r="B4" s="1455" t="s">
        <v>90</v>
      </c>
      <c r="C4" s="959">
        <v>1402</v>
      </c>
      <c r="D4" s="959">
        <v>1401</v>
      </c>
      <c r="E4" s="959">
        <v>1400</v>
      </c>
      <c r="F4" s="1382" t="s">
        <v>11</v>
      </c>
      <c r="G4" s="1456" t="s">
        <v>727</v>
      </c>
      <c r="I4"/>
    </row>
    <row r="5" spans="1:11" ht="35" customHeight="1">
      <c r="A5" s="1455"/>
      <c r="B5" s="1455"/>
      <c r="C5" s="352" t="s">
        <v>772</v>
      </c>
      <c r="D5" s="352" t="s">
        <v>725</v>
      </c>
      <c r="E5" s="352" t="s">
        <v>726</v>
      </c>
      <c r="F5" s="1384"/>
      <c r="G5" s="1457"/>
      <c r="I5"/>
    </row>
    <row r="6" spans="1:11" ht="45" customHeight="1">
      <c r="A6" s="327">
        <v>1</v>
      </c>
      <c r="B6" s="421" t="s">
        <v>267</v>
      </c>
      <c r="C6" s="1017">
        <f>C7+C8</f>
        <v>5007</v>
      </c>
      <c r="D6" s="1017">
        <f>D7+D8</f>
        <v>3851</v>
      </c>
      <c r="E6" s="1017">
        <f>E7+E8</f>
        <v>2058</v>
      </c>
      <c r="F6" s="443" t="s">
        <v>1543</v>
      </c>
      <c r="G6" s="500">
        <v>1</v>
      </c>
      <c r="I6"/>
    </row>
    <row r="7" spans="1:11" s="639" customFormat="1" ht="45" customHeight="1">
      <c r="A7" s="148">
        <v>1.1000000000000001</v>
      </c>
      <c r="B7" s="719" t="s">
        <v>1209</v>
      </c>
      <c r="C7" s="1019">
        <v>2804</v>
      </c>
      <c r="D7" s="1019">
        <v>2155</v>
      </c>
      <c r="E7" s="1019">
        <v>1210</v>
      </c>
      <c r="F7" s="722" t="s">
        <v>1544</v>
      </c>
      <c r="G7" s="915" t="s">
        <v>87</v>
      </c>
      <c r="I7" s="642"/>
    </row>
    <row r="8" spans="1:11" ht="45" customHeight="1">
      <c r="A8" s="147">
        <v>1.2</v>
      </c>
      <c r="B8" s="419" t="s">
        <v>1210</v>
      </c>
      <c r="C8" s="1018">
        <v>2203</v>
      </c>
      <c r="D8" s="1018">
        <v>1696</v>
      </c>
      <c r="E8" s="1018">
        <v>848</v>
      </c>
      <c r="F8" s="473" t="s">
        <v>1545</v>
      </c>
      <c r="G8" s="916" t="s">
        <v>88</v>
      </c>
      <c r="I8" s="450"/>
      <c r="K8" s="448"/>
    </row>
    <row r="9" spans="1:11" s="639" customFormat="1" ht="45" customHeight="1">
      <c r="A9" s="257">
        <v>2</v>
      </c>
      <c r="B9" s="724" t="s">
        <v>137</v>
      </c>
      <c r="C9" s="1020">
        <f>C10+C11</f>
        <v>100549</v>
      </c>
      <c r="D9" s="1020">
        <f>D10+D11</f>
        <v>79008</v>
      </c>
      <c r="E9" s="1020">
        <f>E10+E11</f>
        <v>41339</v>
      </c>
      <c r="F9" s="727" t="s">
        <v>1306</v>
      </c>
      <c r="G9" s="917">
        <v>2</v>
      </c>
      <c r="H9" s="642"/>
      <c r="I9" s="642"/>
      <c r="K9" s="692"/>
    </row>
    <row r="10" spans="1:11" ht="45" customHeight="1">
      <c r="A10" s="147">
        <v>2.1</v>
      </c>
      <c r="B10" s="419" t="s">
        <v>134</v>
      </c>
      <c r="C10" s="1018">
        <v>53050</v>
      </c>
      <c r="D10" s="1018">
        <v>42535</v>
      </c>
      <c r="E10" s="1018">
        <v>20298</v>
      </c>
      <c r="F10" s="473" t="s">
        <v>1544</v>
      </c>
      <c r="G10" s="916" t="s">
        <v>3</v>
      </c>
      <c r="H10" s="450"/>
    </row>
    <row r="11" spans="1:11" s="639" customFormat="1" ht="45" customHeight="1">
      <c r="A11" s="148">
        <v>2.2000000000000002</v>
      </c>
      <c r="B11" s="719" t="s">
        <v>133</v>
      </c>
      <c r="C11" s="1019">
        <v>47499</v>
      </c>
      <c r="D11" s="1019">
        <v>36473</v>
      </c>
      <c r="E11" s="1019">
        <v>21041</v>
      </c>
      <c r="F11" s="722" t="s">
        <v>1545</v>
      </c>
      <c r="G11" s="915" t="s">
        <v>5</v>
      </c>
      <c r="H11" s="642"/>
      <c r="I11" s="642"/>
    </row>
    <row r="12" spans="1:11" ht="45" customHeight="1">
      <c r="A12" s="400">
        <v>3</v>
      </c>
      <c r="B12" s="490" t="s">
        <v>171</v>
      </c>
      <c r="C12" s="1017">
        <f>C13+C14</f>
        <v>77806</v>
      </c>
      <c r="D12" s="1017">
        <f>D13+D14</f>
        <v>24314</v>
      </c>
      <c r="E12" s="1017">
        <f>E13+E14</f>
        <v>14889</v>
      </c>
      <c r="F12" s="443" t="s">
        <v>1546</v>
      </c>
      <c r="G12" s="918">
        <v>3</v>
      </c>
      <c r="H12" s="450"/>
    </row>
    <row r="13" spans="1:11" s="639" customFormat="1" ht="45" customHeight="1">
      <c r="A13" s="148">
        <v>3.1</v>
      </c>
      <c r="B13" s="719" t="s">
        <v>134</v>
      </c>
      <c r="C13" s="1019">
        <v>38933</v>
      </c>
      <c r="D13" s="1019">
        <v>11396</v>
      </c>
      <c r="E13" s="1019">
        <v>6236</v>
      </c>
      <c r="F13" s="722" t="s">
        <v>1544</v>
      </c>
      <c r="G13" s="915" t="s">
        <v>604</v>
      </c>
      <c r="H13" s="642"/>
    </row>
    <row r="14" spans="1:11" ht="45" customHeight="1">
      <c r="A14" s="147">
        <v>3.2</v>
      </c>
      <c r="B14" s="419" t="s">
        <v>133</v>
      </c>
      <c r="C14" s="1018">
        <v>38873</v>
      </c>
      <c r="D14" s="1018">
        <v>12918</v>
      </c>
      <c r="E14" s="1018">
        <v>8653</v>
      </c>
      <c r="F14" s="473" t="s">
        <v>1545</v>
      </c>
      <c r="G14" s="916" t="s">
        <v>617</v>
      </c>
    </row>
    <row r="15" spans="1:11" s="639" customFormat="1" ht="45" customHeight="1">
      <c r="A15" s="257">
        <v>4</v>
      </c>
      <c r="B15" s="724" t="s">
        <v>138</v>
      </c>
      <c r="C15" s="1020">
        <f>C16+C17</f>
        <v>3208</v>
      </c>
      <c r="D15" s="1020">
        <f>D16+D17</f>
        <v>2360</v>
      </c>
      <c r="E15" s="1020">
        <f>E16+E17</f>
        <v>1161</v>
      </c>
      <c r="F15" s="727" t="s">
        <v>1547</v>
      </c>
      <c r="G15" s="917">
        <v>4</v>
      </c>
    </row>
    <row r="16" spans="1:11" ht="45" customHeight="1">
      <c r="A16" s="147">
        <v>4.0999999999999996</v>
      </c>
      <c r="B16" s="419" t="s">
        <v>134</v>
      </c>
      <c r="C16" s="1018">
        <v>1988</v>
      </c>
      <c r="D16" s="1018">
        <v>1548</v>
      </c>
      <c r="E16" s="1018">
        <v>680</v>
      </c>
      <c r="F16" s="473" t="s">
        <v>1544</v>
      </c>
      <c r="G16" s="916" t="s">
        <v>739</v>
      </c>
    </row>
    <row r="17" spans="1:14" s="639" customFormat="1" ht="45" customHeight="1">
      <c r="A17" s="170">
        <v>4.2</v>
      </c>
      <c r="B17" s="748" t="s">
        <v>133</v>
      </c>
      <c r="C17" s="1021">
        <v>1220</v>
      </c>
      <c r="D17" s="1021">
        <v>812</v>
      </c>
      <c r="E17" s="1021">
        <v>481</v>
      </c>
      <c r="F17" s="1022" t="s">
        <v>1545</v>
      </c>
      <c r="G17" s="1023" t="s">
        <v>740</v>
      </c>
    </row>
    <row r="18" spans="1:14" ht="35" customHeight="1">
      <c r="A18" s="1458" t="s">
        <v>757</v>
      </c>
      <c r="B18" s="1458"/>
      <c r="C18" s="1458"/>
      <c r="D18" s="1016"/>
      <c r="E18" s="1016"/>
      <c r="F18" s="1447" t="s">
        <v>1548</v>
      </c>
      <c r="G18" s="1447"/>
    </row>
    <row r="19" spans="1:14" ht="30.75" customHeight="1">
      <c r="A19" s="1459" t="s">
        <v>721</v>
      </c>
      <c r="B19" s="1459"/>
      <c r="C19" s="1459"/>
      <c r="D19" s="1459"/>
      <c r="E19" s="1459"/>
      <c r="F19" s="1459"/>
      <c r="G19" s="1459"/>
    </row>
    <row r="20" spans="1:14" ht="14.25" customHeight="1">
      <c r="A20" s="1460" t="s">
        <v>720</v>
      </c>
      <c r="B20" s="1460"/>
      <c r="C20" s="1460"/>
      <c r="D20" s="1460"/>
      <c r="E20" s="1460"/>
      <c r="F20" s="1460"/>
      <c r="G20" s="1460"/>
    </row>
    <row r="22" spans="1:14">
      <c r="F22" s="562"/>
    </row>
    <row r="25" spans="1:14">
      <c r="L25" s="449"/>
      <c r="M25" s="449"/>
      <c r="N25" s="449"/>
    </row>
    <row r="26" spans="1:14" ht="36" customHeight="1"/>
    <row r="27" spans="1:14">
      <c r="L27" s="480"/>
      <c r="M27" s="481"/>
      <c r="N27" s="481"/>
    </row>
    <row r="28" spans="1:14" ht="12.75" customHeight="1">
      <c r="L28" s="205"/>
      <c r="M28" s="247"/>
      <c r="N28" s="247"/>
    </row>
    <row r="29" spans="1:14" ht="16.5" hidden="1" customHeight="1">
      <c r="F29" s="1461"/>
      <c r="G29" s="1461"/>
      <c r="L29" s="205"/>
      <c r="M29" s="247"/>
      <c r="N29" s="247"/>
    </row>
    <row r="33" spans="6:15">
      <c r="M33" s="481"/>
      <c r="N33" s="481"/>
      <c r="O33" s="6"/>
    </row>
    <row r="34" spans="6:15">
      <c r="M34" s="247"/>
      <c r="N34" s="247"/>
      <c r="O34" s="73"/>
    </row>
    <row r="35" spans="6:15">
      <c r="M35" s="247"/>
      <c r="N35" s="247"/>
      <c r="O35" s="73"/>
    </row>
    <row r="37" spans="6:15">
      <c r="I37" s="482"/>
      <c r="J37" s="482"/>
    </row>
    <row r="38" spans="6:15">
      <c r="I38" s="450"/>
      <c r="J38" s="450"/>
    </row>
    <row r="39" spans="6:15">
      <c r="I39" s="450"/>
      <c r="J39" s="450"/>
    </row>
    <row r="45" spans="6:15" ht="16">
      <c r="F45" s="1454"/>
      <c r="G45" s="1454"/>
      <c r="H45" s="1454"/>
    </row>
  </sheetData>
  <mergeCells count="13">
    <mergeCell ref="F45:H45"/>
    <mergeCell ref="A1:G1"/>
    <mergeCell ref="A2:G2"/>
    <mergeCell ref="A3:G3"/>
    <mergeCell ref="A4:A5"/>
    <mergeCell ref="B4:B5"/>
    <mergeCell ref="F4:F5"/>
    <mergeCell ref="G4:G5"/>
    <mergeCell ref="A18:C18"/>
    <mergeCell ref="F18:G18"/>
    <mergeCell ref="A19:G19"/>
    <mergeCell ref="A20:G20"/>
    <mergeCell ref="F29:G29"/>
  </mergeCells>
  <printOptions horizontalCentered="1"/>
  <pageMargins left="0" right="0" top="0.06" bottom="0.6" header="0.03" footer="0.39370078740157499"/>
  <pageSetup paperSize="9" orientation="portrait" r:id="rId1"/>
  <headerFooter>
    <oddFooter>&amp;L&amp;"Times New Roman,Regular"&amp;10    Afghanistan Statistical Yearbook 2023-24&amp;R&amp;"Times New Roman,Regular"&amp;10          د ۱۴۰۲ احصایيوي کالنۍ  /سالنامه احصائیوی ۱۴۰۲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0"/>
  </sheetPr>
  <dimension ref="A1:P45"/>
  <sheetViews>
    <sheetView view="pageBreakPreview" topLeftCell="A3" zoomScale="166" zoomScaleNormal="100" zoomScaleSheetLayoutView="166" workbookViewId="0">
      <selection activeCell="A3" sqref="A3:P3"/>
    </sheetView>
  </sheetViews>
  <sheetFormatPr baseColWidth="10" defaultColWidth="8.83203125" defaultRowHeight="15"/>
  <cols>
    <col min="1" max="1" width="5" customWidth="1"/>
    <col min="2" max="2" width="19.1640625" customWidth="1"/>
    <col min="3" max="3" width="8" customWidth="1"/>
    <col min="4" max="4" width="9" customWidth="1"/>
    <col min="5" max="5" width="10.1640625" customWidth="1"/>
    <col min="6" max="6" width="8.33203125" customWidth="1"/>
    <col min="7" max="7" width="8.83203125" customWidth="1"/>
    <col min="8" max="8" width="10.5" customWidth="1"/>
    <col min="9" max="9" width="8" customWidth="1"/>
    <col min="10" max="10" width="8.33203125" customWidth="1"/>
    <col min="11" max="11" width="10.6640625" customWidth="1"/>
    <col min="12" max="12" width="7.5" customWidth="1"/>
    <col min="13" max="13" width="8.5" customWidth="1"/>
    <col min="14" max="14" width="10.33203125" customWidth="1"/>
    <col min="15" max="15" width="14.5" customWidth="1"/>
    <col min="16" max="16" width="4.6640625" customWidth="1"/>
  </cols>
  <sheetData>
    <row r="1" spans="1:16" ht="14.25" hidden="1" customHeight="1">
      <c r="A1" s="1463" t="s">
        <v>2233</v>
      </c>
      <c r="B1" s="1463"/>
      <c r="C1" s="1463"/>
      <c r="D1" s="1463"/>
      <c r="E1" s="1463"/>
      <c r="F1" s="1463"/>
      <c r="G1" s="1463"/>
      <c r="H1" s="1463"/>
      <c r="I1" s="1463"/>
      <c r="J1" s="1463"/>
      <c r="K1" s="1463"/>
      <c r="L1" s="1463"/>
      <c r="M1" s="1463"/>
      <c r="N1" s="1463"/>
      <c r="O1" s="1463"/>
      <c r="P1" s="1463"/>
    </row>
    <row r="2" spans="1:16" ht="18" hidden="1" customHeight="1">
      <c r="A2" s="1463" t="s">
        <v>2234</v>
      </c>
      <c r="B2" s="1463"/>
      <c r="C2" s="1463"/>
      <c r="D2" s="1463"/>
      <c r="E2" s="1463"/>
      <c r="F2" s="1463"/>
      <c r="G2" s="1463"/>
      <c r="H2" s="1463"/>
      <c r="I2" s="1463"/>
      <c r="J2" s="1463"/>
      <c r="K2" s="1463"/>
      <c r="L2" s="1463"/>
      <c r="M2" s="1463"/>
      <c r="N2" s="1463"/>
      <c r="O2" s="1463"/>
      <c r="P2" s="1463"/>
    </row>
    <row r="3" spans="1:16" ht="13" customHeight="1">
      <c r="A3" s="1464" t="s">
        <v>2235</v>
      </c>
      <c r="B3" s="1464"/>
      <c r="C3" s="1464"/>
      <c r="D3" s="1464"/>
      <c r="E3" s="1464"/>
      <c r="F3" s="1464"/>
      <c r="G3" s="1464"/>
      <c r="H3" s="1464"/>
      <c r="I3" s="1464"/>
      <c r="J3" s="1464"/>
      <c r="K3" s="1464"/>
      <c r="L3" s="1464"/>
      <c r="M3" s="1464"/>
      <c r="N3" s="1464"/>
      <c r="O3" s="1464"/>
      <c r="P3" s="1464"/>
    </row>
    <row r="4" spans="1:16" ht="13" customHeight="1">
      <c r="A4" s="1465" t="s">
        <v>621</v>
      </c>
      <c r="B4" s="1468" t="s">
        <v>139</v>
      </c>
      <c r="C4" s="1320" t="s">
        <v>1217</v>
      </c>
      <c r="D4" s="1470"/>
      <c r="E4" s="1449"/>
      <c r="F4" s="1320" t="s">
        <v>1216</v>
      </c>
      <c r="G4" s="1470"/>
      <c r="H4" s="1449"/>
      <c r="I4" s="1320" t="s">
        <v>1215</v>
      </c>
      <c r="J4" s="1470"/>
      <c r="K4" s="1449"/>
      <c r="L4" s="1320" t="s">
        <v>1214</v>
      </c>
      <c r="M4" s="1470"/>
      <c r="N4" s="1449"/>
      <c r="O4" s="1438" t="s">
        <v>17</v>
      </c>
      <c r="P4" s="1471" t="s">
        <v>727</v>
      </c>
    </row>
    <row r="5" spans="1:16" ht="12" customHeight="1">
      <c r="A5" s="1466"/>
      <c r="B5" s="1468"/>
      <c r="C5" s="1280" t="s">
        <v>73</v>
      </c>
      <c r="D5" s="1474"/>
      <c r="E5" s="1475"/>
      <c r="F5" s="1280" t="s">
        <v>2152</v>
      </c>
      <c r="G5" s="1474"/>
      <c r="H5" s="1475"/>
      <c r="I5" s="1280" t="s">
        <v>1172</v>
      </c>
      <c r="J5" s="1474"/>
      <c r="K5" s="1475"/>
      <c r="L5" s="1280" t="s">
        <v>1171</v>
      </c>
      <c r="M5" s="1474"/>
      <c r="N5" s="1475"/>
      <c r="O5" s="1439"/>
      <c r="P5" s="1472"/>
    </row>
    <row r="6" spans="1:16" ht="15" customHeight="1">
      <c r="A6" s="1466"/>
      <c r="B6" s="1468"/>
      <c r="C6" s="1281" t="s">
        <v>138</v>
      </c>
      <c r="D6" s="1476"/>
      <c r="E6" s="1450"/>
      <c r="F6" s="1281" t="s">
        <v>1170</v>
      </c>
      <c r="G6" s="1476"/>
      <c r="H6" s="1450"/>
      <c r="I6" s="1281" t="s">
        <v>137</v>
      </c>
      <c r="J6" s="1476"/>
      <c r="K6" s="1450"/>
      <c r="L6" s="1281" t="s">
        <v>267</v>
      </c>
      <c r="M6" s="1476"/>
      <c r="N6" s="1450"/>
      <c r="O6" s="1439"/>
      <c r="P6" s="1472"/>
    </row>
    <row r="7" spans="1:16" ht="13" customHeight="1">
      <c r="A7" s="1466"/>
      <c r="B7" s="1469"/>
      <c r="C7" s="1205" t="s">
        <v>1169</v>
      </c>
      <c r="D7" s="1205" t="s">
        <v>279</v>
      </c>
      <c r="E7" s="1109" t="s">
        <v>1168</v>
      </c>
      <c r="F7" s="1205" t="s">
        <v>1169</v>
      </c>
      <c r="G7" s="1205" t="s">
        <v>279</v>
      </c>
      <c r="H7" s="1109" t="s">
        <v>1168</v>
      </c>
      <c r="I7" s="1205" t="s">
        <v>1169</v>
      </c>
      <c r="J7" s="1205" t="s">
        <v>279</v>
      </c>
      <c r="K7" s="1109" t="s">
        <v>1168</v>
      </c>
      <c r="L7" s="1205" t="s">
        <v>1169</v>
      </c>
      <c r="M7" s="1205" t="s">
        <v>279</v>
      </c>
      <c r="N7" s="1109" t="s">
        <v>1168</v>
      </c>
      <c r="O7" s="1439"/>
      <c r="P7" s="1472"/>
    </row>
    <row r="8" spans="1:16" ht="13" customHeight="1">
      <c r="A8" s="1466"/>
      <c r="B8" s="1469"/>
      <c r="C8" s="971" t="s">
        <v>1167</v>
      </c>
      <c r="D8" s="971" t="s">
        <v>13</v>
      </c>
      <c r="E8" s="971" t="s">
        <v>14</v>
      </c>
      <c r="F8" s="971" t="s">
        <v>1167</v>
      </c>
      <c r="G8" s="971" t="s">
        <v>13</v>
      </c>
      <c r="H8" s="971" t="s">
        <v>14</v>
      </c>
      <c r="I8" s="971" t="s">
        <v>1167</v>
      </c>
      <c r="J8" s="971" t="s">
        <v>13</v>
      </c>
      <c r="K8" s="971" t="s">
        <v>14</v>
      </c>
      <c r="L8" s="971" t="s">
        <v>1167</v>
      </c>
      <c r="M8" s="971" t="s">
        <v>13</v>
      </c>
      <c r="N8" s="971" t="s">
        <v>14</v>
      </c>
      <c r="O8" s="1439"/>
      <c r="P8" s="1472"/>
    </row>
    <row r="9" spans="1:16" ht="13" customHeight="1">
      <c r="A9" s="1467"/>
      <c r="B9" s="1469"/>
      <c r="C9" s="1206" t="s">
        <v>133</v>
      </c>
      <c r="D9" s="1206" t="s">
        <v>134</v>
      </c>
      <c r="E9" s="1210" t="s">
        <v>100</v>
      </c>
      <c r="F9" s="1206" t="s">
        <v>133</v>
      </c>
      <c r="G9" s="1206" t="s">
        <v>134</v>
      </c>
      <c r="H9" s="1210" t="s">
        <v>100</v>
      </c>
      <c r="I9" s="1206" t="s">
        <v>133</v>
      </c>
      <c r="J9" s="1206" t="s">
        <v>134</v>
      </c>
      <c r="K9" s="1210" t="s">
        <v>100</v>
      </c>
      <c r="L9" s="1206" t="s">
        <v>133</v>
      </c>
      <c r="M9" s="1206" t="s">
        <v>134</v>
      </c>
      <c r="N9" s="1210" t="s">
        <v>100</v>
      </c>
      <c r="O9" s="1462"/>
      <c r="P9" s="1473"/>
    </row>
    <row r="10" spans="1:16">
      <c r="A10" s="585"/>
      <c r="B10" s="576" t="s">
        <v>287</v>
      </c>
      <c r="C10" s="435">
        <f t="shared" ref="C10:N10" si="0">SUM(C11:C44)</f>
        <v>1220</v>
      </c>
      <c r="D10" s="436">
        <f t="shared" si="0"/>
        <v>1988</v>
      </c>
      <c r="E10" s="529">
        <f t="shared" si="0"/>
        <v>3208</v>
      </c>
      <c r="F10" s="435">
        <f t="shared" si="0"/>
        <v>38873</v>
      </c>
      <c r="G10" s="436">
        <f t="shared" si="0"/>
        <v>38933</v>
      </c>
      <c r="H10" s="529">
        <f t="shared" si="0"/>
        <v>77806</v>
      </c>
      <c r="I10" s="435">
        <f t="shared" si="0"/>
        <v>47499</v>
      </c>
      <c r="J10" s="436">
        <f t="shared" si="0"/>
        <v>53050</v>
      </c>
      <c r="K10" s="529">
        <f t="shared" si="0"/>
        <v>100549</v>
      </c>
      <c r="L10" s="435">
        <f t="shared" si="0"/>
        <v>2203</v>
      </c>
      <c r="M10" s="436">
        <f t="shared" si="0"/>
        <v>2804</v>
      </c>
      <c r="N10" s="529">
        <f t="shared" si="0"/>
        <v>5007</v>
      </c>
      <c r="O10" s="422" t="s">
        <v>680</v>
      </c>
      <c r="P10" s="926"/>
    </row>
    <row r="11" spans="1:16" ht="15" customHeight="1">
      <c r="A11" s="797">
        <v>1</v>
      </c>
      <c r="B11" s="798" t="s">
        <v>101</v>
      </c>
      <c r="C11" s="682">
        <f>63+0</f>
        <v>63</v>
      </c>
      <c r="D11" s="683">
        <f>82+33</f>
        <v>115</v>
      </c>
      <c r="E11" s="634">
        <f t="shared" ref="E11:E44" si="1">C11+D11</f>
        <v>178</v>
      </c>
      <c r="F11" s="682">
        <f>1934+0</f>
        <v>1934</v>
      </c>
      <c r="G11" s="683">
        <f>1282+410</f>
        <v>1692</v>
      </c>
      <c r="H11" s="693">
        <f t="shared" ref="H11:H44" si="2">F11+G11</f>
        <v>3626</v>
      </c>
      <c r="I11" s="682">
        <f>2499+0</f>
        <v>2499</v>
      </c>
      <c r="J11" s="683">
        <f>1699+619</f>
        <v>2318</v>
      </c>
      <c r="K11" s="693">
        <f t="shared" ref="K11:K44" si="3">J11+I11</f>
        <v>4817</v>
      </c>
      <c r="L11" s="682">
        <f>136+0</f>
        <v>136</v>
      </c>
      <c r="M11" s="683">
        <f>95+48</f>
        <v>143</v>
      </c>
      <c r="N11" s="693">
        <f t="shared" ref="N11:N44" si="4">M11+L11</f>
        <v>279</v>
      </c>
      <c r="O11" s="643" t="s">
        <v>18</v>
      </c>
      <c r="P11" s="927">
        <v>1</v>
      </c>
    </row>
    <row r="12" spans="1:16" ht="15" customHeight="1">
      <c r="A12" s="192">
        <v>2</v>
      </c>
      <c r="B12" s="298" t="s">
        <v>102</v>
      </c>
      <c r="C12" s="167">
        <v>23</v>
      </c>
      <c r="D12" s="168">
        <v>18</v>
      </c>
      <c r="E12" s="158">
        <f t="shared" si="1"/>
        <v>41</v>
      </c>
      <c r="F12" s="167">
        <v>720</v>
      </c>
      <c r="G12" s="168">
        <v>462</v>
      </c>
      <c r="H12" s="202">
        <f t="shared" si="2"/>
        <v>1182</v>
      </c>
      <c r="I12" s="167">
        <v>770</v>
      </c>
      <c r="J12" s="168">
        <v>599</v>
      </c>
      <c r="K12" s="202">
        <f t="shared" si="3"/>
        <v>1369</v>
      </c>
      <c r="L12" s="167">
        <v>23</v>
      </c>
      <c r="M12" s="168">
        <v>18</v>
      </c>
      <c r="N12" s="202">
        <f t="shared" si="4"/>
        <v>41</v>
      </c>
      <c r="O12" s="238" t="s">
        <v>26</v>
      </c>
      <c r="P12" s="928">
        <v>2</v>
      </c>
    </row>
    <row r="13" spans="1:16" ht="15" customHeight="1">
      <c r="A13" s="797">
        <v>3</v>
      </c>
      <c r="B13" s="239" t="s">
        <v>103</v>
      </c>
      <c r="C13" s="682">
        <v>21</v>
      </c>
      <c r="D13" s="683">
        <v>10</v>
      </c>
      <c r="E13" s="634">
        <f t="shared" si="1"/>
        <v>31</v>
      </c>
      <c r="F13" s="682">
        <v>159</v>
      </c>
      <c r="G13" s="683">
        <v>50</v>
      </c>
      <c r="H13" s="693">
        <f t="shared" si="2"/>
        <v>209</v>
      </c>
      <c r="I13" s="682">
        <v>689</v>
      </c>
      <c r="J13" s="683">
        <v>370</v>
      </c>
      <c r="K13" s="693">
        <f t="shared" si="3"/>
        <v>1059</v>
      </c>
      <c r="L13" s="682">
        <v>31</v>
      </c>
      <c r="M13" s="683">
        <v>14</v>
      </c>
      <c r="N13" s="693">
        <f t="shared" si="4"/>
        <v>45</v>
      </c>
      <c r="O13" s="643" t="s">
        <v>27</v>
      </c>
      <c r="P13" s="927">
        <v>3</v>
      </c>
    </row>
    <row r="14" spans="1:16" ht="15" customHeight="1">
      <c r="A14" s="192">
        <v>4</v>
      </c>
      <c r="B14" s="298" t="s">
        <v>652</v>
      </c>
      <c r="C14" s="167">
        <v>78</v>
      </c>
      <c r="D14" s="168">
        <v>37</v>
      </c>
      <c r="E14" s="158">
        <f t="shared" si="1"/>
        <v>115</v>
      </c>
      <c r="F14" s="167">
        <v>2293</v>
      </c>
      <c r="G14" s="168">
        <v>774</v>
      </c>
      <c r="H14" s="202">
        <f t="shared" si="2"/>
        <v>3067</v>
      </c>
      <c r="I14" s="167">
        <v>2698</v>
      </c>
      <c r="J14" s="168">
        <v>916</v>
      </c>
      <c r="K14" s="202">
        <f t="shared" si="3"/>
        <v>3614</v>
      </c>
      <c r="L14" s="167">
        <v>152</v>
      </c>
      <c r="M14" s="168">
        <v>59</v>
      </c>
      <c r="N14" s="202">
        <f t="shared" si="4"/>
        <v>211</v>
      </c>
      <c r="O14" s="238" t="s">
        <v>1255</v>
      </c>
      <c r="P14" s="928">
        <v>4</v>
      </c>
    </row>
    <row r="15" spans="1:16" ht="15" customHeight="1">
      <c r="A15" s="797">
        <v>5</v>
      </c>
      <c r="B15" s="239" t="s">
        <v>104</v>
      </c>
      <c r="C15" s="682">
        <v>35</v>
      </c>
      <c r="D15" s="683">
        <v>84</v>
      </c>
      <c r="E15" s="634">
        <f t="shared" si="1"/>
        <v>119</v>
      </c>
      <c r="F15" s="682">
        <v>822</v>
      </c>
      <c r="G15" s="683">
        <v>1584</v>
      </c>
      <c r="H15" s="693">
        <f t="shared" si="2"/>
        <v>2406</v>
      </c>
      <c r="I15" s="682">
        <v>1301</v>
      </c>
      <c r="J15" s="683">
        <v>2319</v>
      </c>
      <c r="K15" s="693">
        <f t="shared" si="3"/>
        <v>3620</v>
      </c>
      <c r="L15" s="682">
        <v>59</v>
      </c>
      <c r="M15" s="683">
        <v>124</v>
      </c>
      <c r="N15" s="693">
        <f t="shared" si="4"/>
        <v>183</v>
      </c>
      <c r="O15" s="643" t="s">
        <v>19</v>
      </c>
      <c r="P15" s="927">
        <v>5</v>
      </c>
    </row>
    <row r="16" spans="1:16" ht="15" customHeight="1">
      <c r="A16" s="192">
        <v>6</v>
      </c>
      <c r="B16" s="298" t="s">
        <v>143</v>
      </c>
      <c r="C16" s="167">
        <v>1</v>
      </c>
      <c r="D16" s="168">
        <v>44</v>
      </c>
      <c r="E16" s="158">
        <f t="shared" si="1"/>
        <v>45</v>
      </c>
      <c r="F16" s="167">
        <v>66</v>
      </c>
      <c r="G16" s="168">
        <v>1435</v>
      </c>
      <c r="H16" s="202">
        <f t="shared" si="2"/>
        <v>1501</v>
      </c>
      <c r="I16" s="167">
        <v>66</v>
      </c>
      <c r="J16" s="168">
        <v>2069</v>
      </c>
      <c r="K16" s="202">
        <f t="shared" si="3"/>
        <v>2135</v>
      </c>
      <c r="L16" s="167">
        <v>3</v>
      </c>
      <c r="M16" s="168">
        <v>113</v>
      </c>
      <c r="N16" s="202">
        <f t="shared" si="4"/>
        <v>116</v>
      </c>
      <c r="O16" s="238" t="s">
        <v>28</v>
      </c>
      <c r="P16" s="928">
        <v>6</v>
      </c>
    </row>
    <row r="17" spans="1:16" ht="15" customHeight="1">
      <c r="A17" s="797">
        <v>7</v>
      </c>
      <c r="B17" s="239" t="s">
        <v>144</v>
      </c>
      <c r="C17" s="682">
        <v>26</v>
      </c>
      <c r="D17" s="683">
        <v>113</v>
      </c>
      <c r="E17" s="634">
        <f t="shared" si="1"/>
        <v>139</v>
      </c>
      <c r="F17" s="682">
        <v>2439</v>
      </c>
      <c r="G17" s="683">
        <v>2177</v>
      </c>
      <c r="H17" s="693">
        <f t="shared" si="2"/>
        <v>4616</v>
      </c>
      <c r="I17" s="682">
        <v>3316</v>
      </c>
      <c r="J17" s="683">
        <v>2798</v>
      </c>
      <c r="K17" s="693">
        <f t="shared" si="3"/>
        <v>6114</v>
      </c>
      <c r="L17" s="682">
        <v>26</v>
      </c>
      <c r="M17" s="683">
        <v>113</v>
      </c>
      <c r="N17" s="693">
        <f t="shared" si="4"/>
        <v>139</v>
      </c>
      <c r="O17" s="643" t="s">
        <v>29</v>
      </c>
      <c r="P17" s="927">
        <v>7</v>
      </c>
    </row>
    <row r="18" spans="1:16" ht="15" customHeight="1">
      <c r="A18" s="192">
        <v>8</v>
      </c>
      <c r="B18" s="240" t="s">
        <v>107</v>
      </c>
      <c r="C18" s="167">
        <v>44</v>
      </c>
      <c r="D18" s="168">
        <v>36</v>
      </c>
      <c r="E18" s="158">
        <f t="shared" si="1"/>
        <v>80</v>
      </c>
      <c r="F18" s="167">
        <v>1964</v>
      </c>
      <c r="G18" s="168">
        <v>2696</v>
      </c>
      <c r="H18" s="202">
        <f t="shared" si="2"/>
        <v>4660</v>
      </c>
      <c r="I18" s="167">
        <v>1964</v>
      </c>
      <c r="J18" s="168">
        <v>1984</v>
      </c>
      <c r="K18" s="202">
        <f t="shared" si="3"/>
        <v>3948</v>
      </c>
      <c r="L18" s="167">
        <v>81</v>
      </c>
      <c r="M18" s="168">
        <v>85</v>
      </c>
      <c r="N18" s="202">
        <f t="shared" si="4"/>
        <v>166</v>
      </c>
      <c r="O18" s="238" t="s">
        <v>30</v>
      </c>
      <c r="P18" s="928">
        <v>8</v>
      </c>
    </row>
    <row r="19" spans="1:16" ht="15" customHeight="1">
      <c r="A19" s="797">
        <v>9</v>
      </c>
      <c r="B19" s="239" t="s">
        <v>145</v>
      </c>
      <c r="C19" s="682">
        <v>5</v>
      </c>
      <c r="D19" s="683">
        <v>112</v>
      </c>
      <c r="E19" s="634">
        <f t="shared" si="1"/>
        <v>117</v>
      </c>
      <c r="F19" s="682">
        <v>1136</v>
      </c>
      <c r="G19" s="683">
        <v>1621</v>
      </c>
      <c r="H19" s="693">
        <f t="shared" si="2"/>
        <v>2757</v>
      </c>
      <c r="I19" s="682">
        <v>602</v>
      </c>
      <c r="J19" s="683">
        <v>1509</v>
      </c>
      <c r="K19" s="693">
        <f t="shared" si="3"/>
        <v>2111</v>
      </c>
      <c r="L19" s="682">
        <v>41</v>
      </c>
      <c r="M19" s="683">
        <v>96</v>
      </c>
      <c r="N19" s="693">
        <f t="shared" si="4"/>
        <v>137</v>
      </c>
      <c r="O19" s="643" t="s">
        <v>20</v>
      </c>
      <c r="P19" s="927">
        <v>9</v>
      </c>
    </row>
    <row r="20" spans="1:16" ht="15" customHeight="1">
      <c r="A20" s="192">
        <v>10</v>
      </c>
      <c r="B20" s="240" t="s">
        <v>146</v>
      </c>
      <c r="C20" s="167">
        <v>6</v>
      </c>
      <c r="D20" s="168">
        <v>104</v>
      </c>
      <c r="E20" s="158">
        <f t="shared" si="1"/>
        <v>110</v>
      </c>
      <c r="F20" s="167">
        <v>177</v>
      </c>
      <c r="G20" s="168">
        <v>1801</v>
      </c>
      <c r="H20" s="202">
        <f t="shared" si="2"/>
        <v>1978</v>
      </c>
      <c r="I20" s="167">
        <v>248</v>
      </c>
      <c r="J20" s="168">
        <v>2332</v>
      </c>
      <c r="K20" s="202">
        <f t="shared" si="3"/>
        <v>2580</v>
      </c>
      <c r="L20" s="167">
        <v>12</v>
      </c>
      <c r="M20" s="168">
        <v>163</v>
      </c>
      <c r="N20" s="202">
        <f t="shared" si="4"/>
        <v>175</v>
      </c>
      <c r="O20" s="238" t="s">
        <v>21</v>
      </c>
      <c r="P20" s="928">
        <v>10</v>
      </c>
    </row>
    <row r="21" spans="1:16" ht="15" customHeight="1">
      <c r="A21" s="797">
        <v>11</v>
      </c>
      <c r="B21" s="239" t="s">
        <v>110</v>
      </c>
      <c r="C21" s="682">
        <v>38</v>
      </c>
      <c r="D21" s="683">
        <v>47</v>
      </c>
      <c r="E21" s="634">
        <f t="shared" si="1"/>
        <v>85</v>
      </c>
      <c r="F21" s="682">
        <v>1352</v>
      </c>
      <c r="G21" s="683">
        <v>1742</v>
      </c>
      <c r="H21" s="693">
        <f t="shared" si="2"/>
        <v>3094</v>
      </c>
      <c r="I21" s="682">
        <v>1352</v>
      </c>
      <c r="J21" s="683">
        <v>1742</v>
      </c>
      <c r="K21" s="693">
        <f t="shared" si="3"/>
        <v>3094</v>
      </c>
      <c r="L21" s="682">
        <v>66</v>
      </c>
      <c r="M21" s="683">
        <v>77</v>
      </c>
      <c r="N21" s="693">
        <f t="shared" si="4"/>
        <v>143</v>
      </c>
      <c r="O21" s="643" t="s">
        <v>31</v>
      </c>
      <c r="P21" s="927">
        <v>11</v>
      </c>
    </row>
    <row r="22" spans="1:16" ht="15" customHeight="1">
      <c r="A22" s="192">
        <v>12</v>
      </c>
      <c r="B22" s="240" t="s">
        <v>111</v>
      </c>
      <c r="C22" s="167">
        <v>8</v>
      </c>
      <c r="D22" s="168">
        <v>39</v>
      </c>
      <c r="E22" s="158">
        <f t="shared" si="1"/>
        <v>47</v>
      </c>
      <c r="F22" s="167">
        <v>656</v>
      </c>
      <c r="G22" s="168">
        <v>714</v>
      </c>
      <c r="H22" s="202">
        <f t="shared" si="2"/>
        <v>1370</v>
      </c>
      <c r="I22" s="167">
        <v>656</v>
      </c>
      <c r="J22" s="168">
        <v>714</v>
      </c>
      <c r="K22" s="202">
        <f t="shared" si="3"/>
        <v>1370</v>
      </c>
      <c r="L22" s="167">
        <v>31</v>
      </c>
      <c r="M22" s="168">
        <v>43</v>
      </c>
      <c r="N22" s="202">
        <f t="shared" si="4"/>
        <v>74</v>
      </c>
      <c r="O22" s="238" t="s">
        <v>32</v>
      </c>
      <c r="P22" s="928">
        <v>12</v>
      </c>
    </row>
    <row r="23" spans="1:16" ht="15" customHeight="1">
      <c r="A23" s="797">
        <v>13</v>
      </c>
      <c r="B23" s="239" t="s">
        <v>112</v>
      </c>
      <c r="C23" s="682">
        <v>26</v>
      </c>
      <c r="D23" s="683">
        <v>54</v>
      </c>
      <c r="E23" s="634">
        <f t="shared" si="1"/>
        <v>80</v>
      </c>
      <c r="F23" s="682">
        <v>1017</v>
      </c>
      <c r="G23" s="683">
        <v>904</v>
      </c>
      <c r="H23" s="693">
        <f t="shared" si="2"/>
        <v>1921</v>
      </c>
      <c r="I23" s="682">
        <v>1033</v>
      </c>
      <c r="J23" s="683">
        <v>1318</v>
      </c>
      <c r="K23" s="693">
        <f t="shared" si="3"/>
        <v>2351</v>
      </c>
      <c r="L23" s="682">
        <v>64</v>
      </c>
      <c r="M23" s="683">
        <v>79</v>
      </c>
      <c r="N23" s="693">
        <f t="shared" si="4"/>
        <v>143</v>
      </c>
      <c r="O23" s="643" t="s">
        <v>33</v>
      </c>
      <c r="P23" s="927">
        <v>13</v>
      </c>
    </row>
    <row r="24" spans="1:16" ht="15" customHeight="1">
      <c r="A24" s="192">
        <v>14</v>
      </c>
      <c r="B24" s="240" t="s">
        <v>113</v>
      </c>
      <c r="C24" s="167">
        <v>7</v>
      </c>
      <c r="D24" s="168">
        <v>16</v>
      </c>
      <c r="E24" s="158">
        <f t="shared" si="1"/>
        <v>23</v>
      </c>
      <c r="F24" s="167">
        <v>0</v>
      </c>
      <c r="G24" s="168">
        <v>0</v>
      </c>
      <c r="H24" s="202">
        <f t="shared" si="2"/>
        <v>0</v>
      </c>
      <c r="I24" s="167">
        <v>295</v>
      </c>
      <c r="J24" s="168">
        <v>381</v>
      </c>
      <c r="K24" s="202">
        <f t="shared" si="3"/>
        <v>676</v>
      </c>
      <c r="L24" s="167">
        <v>19</v>
      </c>
      <c r="M24" s="168">
        <v>23</v>
      </c>
      <c r="N24" s="202">
        <f t="shared" si="4"/>
        <v>42</v>
      </c>
      <c r="O24" s="238" t="s">
        <v>34</v>
      </c>
      <c r="P24" s="928">
        <v>14</v>
      </c>
    </row>
    <row r="25" spans="1:16" ht="15" customHeight="1">
      <c r="A25" s="797">
        <v>15</v>
      </c>
      <c r="B25" s="239" t="s">
        <v>763</v>
      </c>
      <c r="C25" s="682">
        <v>35</v>
      </c>
      <c r="D25" s="683">
        <v>63</v>
      </c>
      <c r="E25" s="634">
        <f t="shared" si="1"/>
        <v>98</v>
      </c>
      <c r="F25" s="682">
        <v>1548</v>
      </c>
      <c r="G25" s="683">
        <v>1852</v>
      </c>
      <c r="H25" s="693">
        <f t="shared" si="2"/>
        <v>3400</v>
      </c>
      <c r="I25" s="682">
        <v>1704</v>
      </c>
      <c r="J25" s="683">
        <v>2506</v>
      </c>
      <c r="K25" s="693">
        <f t="shared" si="3"/>
        <v>4210</v>
      </c>
      <c r="L25" s="682">
        <v>78</v>
      </c>
      <c r="M25" s="683">
        <v>124</v>
      </c>
      <c r="N25" s="693">
        <f t="shared" si="4"/>
        <v>202</v>
      </c>
      <c r="O25" s="643" t="s">
        <v>729</v>
      </c>
      <c r="P25" s="927">
        <v>15</v>
      </c>
    </row>
    <row r="26" spans="1:16" ht="15" customHeight="1">
      <c r="A26" s="192">
        <v>16</v>
      </c>
      <c r="B26" s="298" t="s">
        <v>69</v>
      </c>
      <c r="C26" s="167">
        <v>21</v>
      </c>
      <c r="D26" s="168">
        <v>209</v>
      </c>
      <c r="E26" s="158">
        <f t="shared" si="1"/>
        <v>230</v>
      </c>
      <c r="F26" s="167">
        <v>0</v>
      </c>
      <c r="G26" s="168">
        <v>0</v>
      </c>
      <c r="H26" s="202">
        <f t="shared" si="2"/>
        <v>0</v>
      </c>
      <c r="I26" s="167">
        <v>768</v>
      </c>
      <c r="J26" s="168">
        <v>3330</v>
      </c>
      <c r="K26" s="202">
        <f t="shared" si="3"/>
        <v>4098</v>
      </c>
      <c r="L26" s="167">
        <v>32</v>
      </c>
      <c r="M26" s="168">
        <v>173</v>
      </c>
      <c r="N26" s="202">
        <f t="shared" si="4"/>
        <v>205</v>
      </c>
      <c r="O26" s="238" t="s">
        <v>35</v>
      </c>
      <c r="P26" s="928">
        <v>16</v>
      </c>
    </row>
    <row r="27" spans="1:16" ht="15" customHeight="1">
      <c r="A27" s="797">
        <v>17</v>
      </c>
      <c r="B27" s="239" t="s">
        <v>147</v>
      </c>
      <c r="C27" s="682">
        <v>67</v>
      </c>
      <c r="D27" s="683">
        <v>74</v>
      </c>
      <c r="E27" s="634">
        <f t="shared" si="1"/>
        <v>141</v>
      </c>
      <c r="F27" s="682">
        <v>1311</v>
      </c>
      <c r="G27" s="683">
        <v>1319</v>
      </c>
      <c r="H27" s="693">
        <f t="shared" si="2"/>
        <v>2630</v>
      </c>
      <c r="I27" s="682">
        <v>2021</v>
      </c>
      <c r="J27" s="683">
        <v>2157</v>
      </c>
      <c r="K27" s="693">
        <f t="shared" si="3"/>
        <v>4178</v>
      </c>
      <c r="L27" s="682">
        <v>108</v>
      </c>
      <c r="M27" s="683">
        <v>143</v>
      </c>
      <c r="N27" s="693">
        <f t="shared" si="4"/>
        <v>251</v>
      </c>
      <c r="O27" s="643" t="s">
        <v>36</v>
      </c>
      <c r="P27" s="927">
        <v>17</v>
      </c>
    </row>
    <row r="28" spans="1:16" ht="15" customHeight="1">
      <c r="A28" s="192">
        <v>18</v>
      </c>
      <c r="B28" s="240" t="s">
        <v>148</v>
      </c>
      <c r="C28" s="167">
        <v>25</v>
      </c>
      <c r="D28" s="168">
        <v>37</v>
      </c>
      <c r="E28" s="158">
        <f t="shared" si="1"/>
        <v>62</v>
      </c>
      <c r="F28" s="167">
        <v>799</v>
      </c>
      <c r="G28" s="168">
        <v>746</v>
      </c>
      <c r="H28" s="202">
        <f t="shared" si="2"/>
        <v>1545</v>
      </c>
      <c r="I28" s="167">
        <v>1344</v>
      </c>
      <c r="J28" s="168">
        <v>1422</v>
      </c>
      <c r="K28" s="202">
        <f t="shared" si="3"/>
        <v>2766</v>
      </c>
      <c r="L28" s="167">
        <v>50</v>
      </c>
      <c r="M28" s="168">
        <v>60</v>
      </c>
      <c r="N28" s="202">
        <f t="shared" si="4"/>
        <v>110</v>
      </c>
      <c r="O28" s="238" t="s">
        <v>37</v>
      </c>
      <c r="P28" s="928">
        <v>18</v>
      </c>
    </row>
    <row r="29" spans="1:16" ht="15" customHeight="1">
      <c r="A29" s="797">
        <v>19</v>
      </c>
      <c r="B29" s="239" t="s">
        <v>149</v>
      </c>
      <c r="C29" s="682">
        <v>32</v>
      </c>
      <c r="D29" s="683">
        <v>5</v>
      </c>
      <c r="E29" s="634">
        <f t="shared" si="1"/>
        <v>37</v>
      </c>
      <c r="F29" s="682">
        <v>1095</v>
      </c>
      <c r="G29" s="683">
        <v>203</v>
      </c>
      <c r="H29" s="693">
        <f t="shared" si="2"/>
        <v>1298</v>
      </c>
      <c r="I29" s="682">
        <v>1549</v>
      </c>
      <c r="J29" s="683">
        <v>307</v>
      </c>
      <c r="K29" s="693">
        <f t="shared" si="3"/>
        <v>1856</v>
      </c>
      <c r="L29" s="682">
        <v>68</v>
      </c>
      <c r="M29" s="683">
        <v>12</v>
      </c>
      <c r="N29" s="693">
        <f t="shared" si="4"/>
        <v>80</v>
      </c>
      <c r="O29" s="643" t="s">
        <v>38</v>
      </c>
      <c r="P29" s="927">
        <v>19</v>
      </c>
    </row>
    <row r="30" spans="1:16" ht="15" customHeight="1">
      <c r="A30" s="192">
        <v>20</v>
      </c>
      <c r="B30" s="298" t="s">
        <v>150</v>
      </c>
      <c r="C30" s="167">
        <v>71</v>
      </c>
      <c r="D30" s="168">
        <v>78</v>
      </c>
      <c r="E30" s="158">
        <f t="shared" si="1"/>
        <v>149</v>
      </c>
      <c r="F30" s="167">
        <v>1632</v>
      </c>
      <c r="G30" s="168">
        <v>1060</v>
      </c>
      <c r="H30" s="202">
        <f t="shared" si="2"/>
        <v>2692</v>
      </c>
      <c r="I30" s="167">
        <v>1675</v>
      </c>
      <c r="J30" s="168">
        <v>1120</v>
      </c>
      <c r="K30" s="202">
        <f t="shared" si="3"/>
        <v>2795</v>
      </c>
      <c r="L30" s="167">
        <v>71</v>
      </c>
      <c r="M30" s="168">
        <v>85</v>
      </c>
      <c r="N30" s="202">
        <f t="shared" si="4"/>
        <v>156</v>
      </c>
      <c r="O30" s="238" t="s">
        <v>39</v>
      </c>
      <c r="P30" s="928">
        <v>20</v>
      </c>
    </row>
    <row r="31" spans="1:16" ht="15" customHeight="1">
      <c r="A31" s="797">
        <v>21</v>
      </c>
      <c r="B31" s="239" t="s">
        <v>151</v>
      </c>
      <c r="C31" s="682">
        <v>22</v>
      </c>
      <c r="D31" s="683">
        <v>31</v>
      </c>
      <c r="E31" s="634">
        <f t="shared" si="1"/>
        <v>53</v>
      </c>
      <c r="F31" s="682">
        <v>1018</v>
      </c>
      <c r="G31" s="683">
        <v>300</v>
      </c>
      <c r="H31" s="693">
        <f t="shared" si="2"/>
        <v>1318</v>
      </c>
      <c r="I31" s="682">
        <v>1100</v>
      </c>
      <c r="J31" s="683">
        <v>781</v>
      </c>
      <c r="K31" s="693">
        <f t="shared" si="3"/>
        <v>1881</v>
      </c>
      <c r="L31" s="682">
        <v>44</v>
      </c>
      <c r="M31" s="683">
        <v>37</v>
      </c>
      <c r="N31" s="693">
        <f t="shared" si="4"/>
        <v>81</v>
      </c>
      <c r="O31" s="643" t="s">
        <v>40</v>
      </c>
      <c r="P31" s="927">
        <v>21</v>
      </c>
    </row>
    <row r="32" spans="1:16" ht="15" customHeight="1">
      <c r="A32" s="192">
        <v>22</v>
      </c>
      <c r="B32" s="240" t="s">
        <v>152</v>
      </c>
      <c r="C32" s="167">
        <v>13</v>
      </c>
      <c r="D32" s="168">
        <v>37</v>
      </c>
      <c r="E32" s="158">
        <f t="shared" si="1"/>
        <v>50</v>
      </c>
      <c r="F32" s="167">
        <v>746</v>
      </c>
      <c r="G32" s="168">
        <v>1041</v>
      </c>
      <c r="H32" s="202">
        <f t="shared" si="2"/>
        <v>1787</v>
      </c>
      <c r="I32" s="167">
        <v>746</v>
      </c>
      <c r="J32" s="168">
        <v>1041</v>
      </c>
      <c r="K32" s="202">
        <f t="shared" si="3"/>
        <v>1787</v>
      </c>
      <c r="L32" s="167">
        <v>26</v>
      </c>
      <c r="M32" s="168">
        <v>72</v>
      </c>
      <c r="N32" s="202">
        <f t="shared" si="4"/>
        <v>98</v>
      </c>
      <c r="O32" s="238" t="s">
        <v>41</v>
      </c>
      <c r="P32" s="928">
        <v>22</v>
      </c>
    </row>
    <row r="33" spans="1:16" ht="15" customHeight="1">
      <c r="A33" s="797">
        <v>23</v>
      </c>
      <c r="B33" s="239" t="s">
        <v>121</v>
      </c>
      <c r="C33" s="682">
        <v>7</v>
      </c>
      <c r="D33" s="683">
        <v>103</v>
      </c>
      <c r="E33" s="634">
        <f t="shared" si="1"/>
        <v>110</v>
      </c>
      <c r="F33" s="682">
        <v>149</v>
      </c>
      <c r="G33" s="683">
        <v>1660</v>
      </c>
      <c r="H33" s="693">
        <f t="shared" si="2"/>
        <v>1809</v>
      </c>
      <c r="I33" s="682">
        <v>276</v>
      </c>
      <c r="J33" s="683">
        <v>3226</v>
      </c>
      <c r="K33" s="693">
        <f t="shared" si="3"/>
        <v>3502</v>
      </c>
      <c r="L33" s="682">
        <v>18</v>
      </c>
      <c r="M33" s="683">
        <v>202</v>
      </c>
      <c r="N33" s="693">
        <f t="shared" si="4"/>
        <v>220</v>
      </c>
      <c r="O33" s="643" t="s">
        <v>22</v>
      </c>
      <c r="P33" s="927">
        <v>23</v>
      </c>
    </row>
    <row r="34" spans="1:16" ht="15" customHeight="1">
      <c r="A34" s="192">
        <v>24</v>
      </c>
      <c r="B34" s="298" t="s">
        <v>122</v>
      </c>
      <c r="C34" s="167">
        <v>11</v>
      </c>
      <c r="D34" s="168">
        <v>27</v>
      </c>
      <c r="E34" s="158">
        <f t="shared" si="1"/>
        <v>38</v>
      </c>
      <c r="F34" s="167">
        <v>525</v>
      </c>
      <c r="G34" s="168">
        <v>564</v>
      </c>
      <c r="H34" s="202">
        <f t="shared" si="2"/>
        <v>1089</v>
      </c>
      <c r="I34" s="167">
        <v>609</v>
      </c>
      <c r="J34" s="168">
        <v>680</v>
      </c>
      <c r="K34" s="202">
        <f t="shared" si="3"/>
        <v>1289</v>
      </c>
      <c r="L34" s="167">
        <v>38</v>
      </c>
      <c r="M34" s="168">
        <v>44</v>
      </c>
      <c r="N34" s="202">
        <f t="shared" si="4"/>
        <v>82</v>
      </c>
      <c r="O34" s="238" t="s">
        <v>23</v>
      </c>
      <c r="P34" s="928">
        <v>24</v>
      </c>
    </row>
    <row r="35" spans="1:16" ht="15" customHeight="1">
      <c r="A35" s="797">
        <v>25</v>
      </c>
      <c r="B35" s="239" t="s">
        <v>123</v>
      </c>
      <c r="C35" s="682">
        <v>12</v>
      </c>
      <c r="D35" s="683">
        <v>72</v>
      </c>
      <c r="E35" s="634">
        <f t="shared" si="1"/>
        <v>84</v>
      </c>
      <c r="F35" s="682">
        <v>238</v>
      </c>
      <c r="G35" s="683">
        <v>1310</v>
      </c>
      <c r="H35" s="693">
        <f t="shared" si="2"/>
        <v>1548</v>
      </c>
      <c r="I35" s="682">
        <v>238</v>
      </c>
      <c r="J35" s="683">
        <v>1700</v>
      </c>
      <c r="K35" s="693">
        <f t="shared" si="3"/>
        <v>1938</v>
      </c>
      <c r="L35" s="682">
        <v>12</v>
      </c>
      <c r="M35" s="683">
        <v>78</v>
      </c>
      <c r="N35" s="693">
        <f t="shared" si="4"/>
        <v>90</v>
      </c>
      <c r="O35" s="643" t="s">
        <v>42</v>
      </c>
      <c r="P35" s="927">
        <v>25</v>
      </c>
    </row>
    <row r="36" spans="1:16" ht="15" customHeight="1">
      <c r="A36" s="192">
        <v>26</v>
      </c>
      <c r="B36" s="240" t="s">
        <v>153</v>
      </c>
      <c r="C36" s="167">
        <v>24</v>
      </c>
      <c r="D36" s="168">
        <v>29</v>
      </c>
      <c r="E36" s="158">
        <f t="shared" si="1"/>
        <v>53</v>
      </c>
      <c r="F36" s="167">
        <v>779</v>
      </c>
      <c r="G36" s="168">
        <v>976</v>
      </c>
      <c r="H36" s="202">
        <f t="shared" si="2"/>
        <v>1755</v>
      </c>
      <c r="I36" s="167">
        <v>897</v>
      </c>
      <c r="J36" s="168">
        <v>1255</v>
      </c>
      <c r="K36" s="202">
        <f t="shared" si="3"/>
        <v>2152</v>
      </c>
      <c r="L36" s="167">
        <v>43</v>
      </c>
      <c r="M36" s="168">
        <v>56</v>
      </c>
      <c r="N36" s="202">
        <f t="shared" si="4"/>
        <v>99</v>
      </c>
      <c r="O36" s="238" t="s">
        <v>44</v>
      </c>
      <c r="P36" s="928">
        <v>26</v>
      </c>
    </row>
    <row r="37" spans="1:16" ht="15" customHeight="1">
      <c r="A37" s="797">
        <v>27</v>
      </c>
      <c r="B37" s="798" t="s">
        <v>154</v>
      </c>
      <c r="C37" s="682">
        <v>24</v>
      </c>
      <c r="D37" s="683">
        <v>27</v>
      </c>
      <c r="E37" s="634">
        <f t="shared" si="1"/>
        <v>51</v>
      </c>
      <c r="F37" s="682">
        <v>644</v>
      </c>
      <c r="G37" s="683">
        <v>568</v>
      </c>
      <c r="H37" s="693">
        <f t="shared" si="2"/>
        <v>1212</v>
      </c>
      <c r="I37" s="682">
        <v>955</v>
      </c>
      <c r="J37" s="683">
        <v>642</v>
      </c>
      <c r="K37" s="693">
        <f t="shared" si="3"/>
        <v>1597</v>
      </c>
      <c r="L37" s="682">
        <v>53</v>
      </c>
      <c r="M37" s="683">
        <v>37</v>
      </c>
      <c r="N37" s="693">
        <f t="shared" si="4"/>
        <v>90</v>
      </c>
      <c r="O37" s="643" t="s">
        <v>45</v>
      </c>
      <c r="P37" s="927">
        <v>27</v>
      </c>
    </row>
    <row r="38" spans="1:16" ht="15" customHeight="1">
      <c r="A38" s="192">
        <v>28</v>
      </c>
      <c r="B38" s="240" t="s">
        <v>155</v>
      </c>
      <c r="C38" s="167">
        <v>30</v>
      </c>
      <c r="D38" s="168">
        <v>23</v>
      </c>
      <c r="E38" s="158">
        <f t="shared" si="1"/>
        <v>53</v>
      </c>
      <c r="F38" s="167">
        <v>475</v>
      </c>
      <c r="G38" s="168">
        <v>458</v>
      </c>
      <c r="H38" s="202">
        <f t="shared" si="2"/>
        <v>933</v>
      </c>
      <c r="I38" s="167">
        <v>565</v>
      </c>
      <c r="J38" s="168">
        <v>513</v>
      </c>
      <c r="K38" s="202">
        <f t="shared" si="3"/>
        <v>1078</v>
      </c>
      <c r="L38" s="167">
        <v>30</v>
      </c>
      <c r="M38" s="168">
        <v>23</v>
      </c>
      <c r="N38" s="202">
        <f t="shared" si="4"/>
        <v>53</v>
      </c>
      <c r="O38" s="238" t="s">
        <v>46</v>
      </c>
      <c r="P38" s="928">
        <v>28</v>
      </c>
    </row>
    <row r="39" spans="1:16" ht="15" customHeight="1">
      <c r="A39" s="797">
        <v>29</v>
      </c>
      <c r="B39" s="239" t="s">
        <v>156</v>
      </c>
      <c r="C39" s="682">
        <v>313</v>
      </c>
      <c r="D39" s="683">
        <v>23</v>
      </c>
      <c r="E39" s="634">
        <f t="shared" si="1"/>
        <v>336</v>
      </c>
      <c r="F39" s="682">
        <v>9545</v>
      </c>
      <c r="G39" s="683">
        <v>368</v>
      </c>
      <c r="H39" s="693">
        <f t="shared" si="2"/>
        <v>9913</v>
      </c>
      <c r="I39" s="682">
        <v>10460</v>
      </c>
      <c r="J39" s="683">
        <v>704</v>
      </c>
      <c r="K39" s="693">
        <f t="shared" si="3"/>
        <v>11164</v>
      </c>
      <c r="L39" s="682">
        <v>515</v>
      </c>
      <c r="M39" s="683">
        <v>35</v>
      </c>
      <c r="N39" s="693">
        <f t="shared" si="4"/>
        <v>550</v>
      </c>
      <c r="O39" s="643" t="s">
        <v>47</v>
      </c>
      <c r="P39" s="927">
        <v>29</v>
      </c>
    </row>
    <row r="40" spans="1:16" ht="15" customHeight="1">
      <c r="A40" s="192">
        <v>30</v>
      </c>
      <c r="B40" s="240" t="s">
        <v>157</v>
      </c>
      <c r="C40" s="167">
        <v>10</v>
      </c>
      <c r="D40" s="168">
        <v>82</v>
      </c>
      <c r="E40" s="158">
        <f t="shared" si="1"/>
        <v>92</v>
      </c>
      <c r="F40" s="167">
        <v>480</v>
      </c>
      <c r="G40" s="168">
        <v>3995</v>
      </c>
      <c r="H40" s="202">
        <f t="shared" si="2"/>
        <v>4475</v>
      </c>
      <c r="I40" s="167">
        <v>500</v>
      </c>
      <c r="J40" s="168">
        <v>4100</v>
      </c>
      <c r="K40" s="202">
        <f t="shared" si="3"/>
        <v>4600</v>
      </c>
      <c r="L40" s="167">
        <v>20</v>
      </c>
      <c r="M40" s="168">
        <v>164</v>
      </c>
      <c r="N40" s="202">
        <f t="shared" si="4"/>
        <v>184</v>
      </c>
      <c r="O40" s="238" t="s">
        <v>48</v>
      </c>
      <c r="P40" s="928">
        <v>30</v>
      </c>
    </row>
    <row r="41" spans="1:16" ht="15" customHeight="1">
      <c r="A41" s="797">
        <v>31</v>
      </c>
      <c r="B41" s="239" t="s">
        <v>129</v>
      </c>
      <c r="C41" s="682">
        <v>67</v>
      </c>
      <c r="D41" s="683">
        <v>113</v>
      </c>
      <c r="E41" s="634">
        <f t="shared" si="1"/>
        <v>180</v>
      </c>
      <c r="F41" s="682">
        <v>2163</v>
      </c>
      <c r="G41" s="683">
        <v>2307</v>
      </c>
      <c r="H41" s="693">
        <f t="shared" si="2"/>
        <v>4470</v>
      </c>
      <c r="I41" s="682">
        <v>2870</v>
      </c>
      <c r="J41" s="683">
        <v>2373</v>
      </c>
      <c r="K41" s="693">
        <f t="shared" si="3"/>
        <v>5243</v>
      </c>
      <c r="L41" s="682">
        <v>154</v>
      </c>
      <c r="M41" s="683">
        <v>130</v>
      </c>
      <c r="N41" s="693">
        <f t="shared" si="4"/>
        <v>284</v>
      </c>
      <c r="O41" s="643" t="s">
        <v>24</v>
      </c>
      <c r="P41" s="927">
        <v>31</v>
      </c>
    </row>
    <row r="42" spans="1:16" ht="15" customHeight="1">
      <c r="A42" s="192">
        <v>32</v>
      </c>
      <c r="B42" s="240" t="s">
        <v>130</v>
      </c>
      <c r="C42" s="167">
        <v>23</v>
      </c>
      <c r="D42" s="168">
        <v>31</v>
      </c>
      <c r="E42" s="158">
        <f t="shared" si="1"/>
        <v>54</v>
      </c>
      <c r="F42" s="167">
        <v>963</v>
      </c>
      <c r="G42" s="168">
        <v>872</v>
      </c>
      <c r="H42" s="202">
        <f t="shared" si="2"/>
        <v>1835</v>
      </c>
      <c r="I42" s="167">
        <v>1112</v>
      </c>
      <c r="J42" s="168">
        <v>1053</v>
      </c>
      <c r="K42" s="202">
        <f t="shared" si="3"/>
        <v>2165</v>
      </c>
      <c r="L42" s="167">
        <v>56</v>
      </c>
      <c r="M42" s="168">
        <v>53</v>
      </c>
      <c r="N42" s="202">
        <f t="shared" si="4"/>
        <v>109</v>
      </c>
      <c r="O42" s="238" t="s">
        <v>25</v>
      </c>
      <c r="P42" s="928">
        <v>32</v>
      </c>
    </row>
    <row r="43" spans="1:16" ht="15" customHeight="1">
      <c r="A43" s="797">
        <v>33</v>
      </c>
      <c r="B43" s="239" t="s">
        <v>131</v>
      </c>
      <c r="C43" s="682">
        <v>1</v>
      </c>
      <c r="D43" s="683">
        <v>66</v>
      </c>
      <c r="E43" s="634">
        <f t="shared" si="1"/>
        <v>67</v>
      </c>
      <c r="F43" s="682">
        <v>28</v>
      </c>
      <c r="G43" s="683">
        <v>1650</v>
      </c>
      <c r="H43" s="693">
        <f t="shared" si="2"/>
        <v>1678</v>
      </c>
      <c r="I43" s="682">
        <v>28</v>
      </c>
      <c r="J43" s="683">
        <v>2540</v>
      </c>
      <c r="K43" s="693">
        <f t="shared" si="3"/>
        <v>2568</v>
      </c>
      <c r="L43" s="682">
        <v>1</v>
      </c>
      <c r="M43" s="683">
        <v>106</v>
      </c>
      <c r="N43" s="693">
        <f t="shared" si="4"/>
        <v>107</v>
      </c>
      <c r="O43" s="643" t="s">
        <v>49</v>
      </c>
      <c r="P43" s="927">
        <v>33</v>
      </c>
    </row>
    <row r="44" spans="1:16" ht="11.25" customHeight="1">
      <c r="A44" s="586">
        <v>34</v>
      </c>
      <c r="B44" s="363" t="s">
        <v>158</v>
      </c>
      <c r="C44" s="171">
        <v>31</v>
      </c>
      <c r="D44" s="172">
        <v>29</v>
      </c>
      <c r="E44" s="207">
        <f t="shared" si="1"/>
        <v>60</v>
      </c>
      <c r="F44" s="171">
        <v>0</v>
      </c>
      <c r="G44" s="172">
        <v>32</v>
      </c>
      <c r="H44" s="372">
        <f t="shared" si="2"/>
        <v>32</v>
      </c>
      <c r="I44" s="171">
        <v>593</v>
      </c>
      <c r="J44" s="172">
        <v>231</v>
      </c>
      <c r="K44" s="372">
        <f t="shared" si="3"/>
        <v>824</v>
      </c>
      <c r="L44" s="171">
        <v>42</v>
      </c>
      <c r="M44" s="172">
        <v>20</v>
      </c>
      <c r="N44" s="372">
        <f t="shared" si="4"/>
        <v>62</v>
      </c>
      <c r="O44" s="293" t="s">
        <v>50</v>
      </c>
      <c r="P44" s="929">
        <v>34</v>
      </c>
    </row>
    <row r="45" spans="1:16" ht="13.5" customHeight="1">
      <c r="A45" s="1048" t="s">
        <v>757</v>
      </c>
      <c r="B45" s="1048"/>
      <c r="C45" s="1048"/>
      <c r="D45" s="1048"/>
      <c r="E45" s="1048"/>
      <c r="F45" s="1048"/>
      <c r="G45" s="1048"/>
      <c r="H45" s="1048"/>
      <c r="I45" s="1048"/>
      <c r="J45" s="1048"/>
      <c r="K45" s="1048"/>
      <c r="L45" s="1048"/>
      <c r="M45" s="1048"/>
      <c r="N45" s="1048"/>
      <c r="O45" s="1048"/>
      <c r="P45" s="1048" t="s">
        <v>1549</v>
      </c>
    </row>
  </sheetData>
  <mergeCells count="19">
    <mergeCell ref="F6:H6"/>
    <mergeCell ref="I6:K6"/>
    <mergeCell ref="L6:N6"/>
    <mergeCell ref="O4:O9"/>
    <mergeCell ref="A1:P1"/>
    <mergeCell ref="A2:P2"/>
    <mergeCell ref="A3:P3"/>
    <mergeCell ref="A4:A9"/>
    <mergeCell ref="B4:B9"/>
    <mergeCell ref="C4:E4"/>
    <mergeCell ref="F4:H4"/>
    <mergeCell ref="I4:K4"/>
    <mergeCell ref="L4:N4"/>
    <mergeCell ref="P4:P9"/>
    <mergeCell ref="C5:E5"/>
    <mergeCell ref="F5:H5"/>
    <mergeCell ref="I5:K5"/>
    <mergeCell ref="L5:N5"/>
    <mergeCell ref="C6:E6"/>
  </mergeCells>
  <pageMargins left="0.18" right="0.16" top="0.24" bottom="0.18" header="0.23" footer="0.17"/>
  <pageSetup scale="89" orientation="landscape" r:id="rId1"/>
  <headerFooter>
    <oddFooter>&amp;L    Afghanistan Statistical Yearbook 2023-24&amp;R          د ۱۴۰۲ احصایيوي کالنۍ  /سالنامه احصائیوی ۱۴۰۲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0"/>
  </sheetPr>
  <dimension ref="A1:Z50"/>
  <sheetViews>
    <sheetView view="pageBreakPreview" topLeftCell="A3" zoomScale="124" zoomScaleSheetLayoutView="124" workbookViewId="0">
      <selection activeCell="A3" sqref="A3:G3"/>
    </sheetView>
  </sheetViews>
  <sheetFormatPr baseColWidth="10" defaultColWidth="8.83203125" defaultRowHeight="15"/>
  <cols>
    <col min="1" max="1" width="4.6640625" style="100" customWidth="1"/>
    <col min="2" max="2" width="26.6640625" style="100" customWidth="1"/>
    <col min="3" max="5" width="12.6640625" style="100" customWidth="1"/>
    <col min="6" max="6" width="23.6640625" style="100" customWidth="1"/>
    <col min="7" max="7" width="5.33203125" style="100" customWidth="1"/>
    <col min="8" max="9" width="9.1640625" style="100"/>
    <col min="10" max="10" width="10.1640625" style="100" customWidth="1"/>
    <col min="11" max="11" width="10.5" style="100" customWidth="1"/>
    <col min="12" max="12" width="8.6640625" style="100" customWidth="1"/>
    <col min="13" max="13" width="12.6640625" customWidth="1"/>
    <col min="20" max="20" width="9.83203125" bestFit="1" customWidth="1"/>
    <col min="23" max="23" width="14.5" customWidth="1"/>
  </cols>
  <sheetData>
    <row r="1" spans="1:15" ht="28" hidden="1" customHeight="1">
      <c r="A1" s="1443" t="s">
        <v>2230</v>
      </c>
      <c r="B1" s="1443"/>
      <c r="C1" s="1443"/>
      <c r="D1" s="1443"/>
      <c r="E1" s="1443"/>
      <c r="F1" s="1443"/>
      <c r="G1" s="1443"/>
    </row>
    <row r="2" spans="1:15" ht="28" hidden="1" customHeight="1">
      <c r="A2" s="1477" t="s">
        <v>2231</v>
      </c>
      <c r="B2" s="1477"/>
      <c r="C2" s="1477"/>
      <c r="D2" s="1477"/>
      <c r="E2" s="1477"/>
      <c r="F2" s="1477"/>
      <c r="G2" s="1477"/>
    </row>
    <row r="3" spans="1:15" ht="37.5" customHeight="1">
      <c r="A3" s="1444" t="s">
        <v>2232</v>
      </c>
      <c r="B3" s="1444"/>
      <c r="C3" s="1478"/>
      <c r="D3" s="1478"/>
      <c r="E3" s="1478"/>
      <c r="F3" s="1444"/>
      <c r="G3" s="1444"/>
    </row>
    <row r="4" spans="1:15" ht="28" customHeight="1">
      <c r="A4" s="1455" t="s">
        <v>621</v>
      </c>
      <c r="B4" s="1479" t="s">
        <v>90</v>
      </c>
      <c r="C4" s="856">
        <v>1402</v>
      </c>
      <c r="D4" s="856">
        <v>1401</v>
      </c>
      <c r="E4" s="936">
        <v>1400</v>
      </c>
      <c r="F4" s="1481" t="s">
        <v>11</v>
      </c>
      <c r="G4" s="1456" t="s">
        <v>727</v>
      </c>
    </row>
    <row r="5" spans="1:15" ht="28" customHeight="1">
      <c r="A5" s="1455"/>
      <c r="B5" s="1480"/>
      <c r="C5" s="971" t="s">
        <v>772</v>
      </c>
      <c r="D5" s="983" t="s">
        <v>725</v>
      </c>
      <c r="E5" s="897" t="s">
        <v>726</v>
      </c>
      <c r="F5" s="1482"/>
      <c r="G5" s="1457"/>
    </row>
    <row r="6" spans="1:15" ht="67.5" customHeight="1">
      <c r="A6" s="327">
        <v>1</v>
      </c>
      <c r="B6" s="490" t="s">
        <v>271</v>
      </c>
      <c r="C6" s="612">
        <f>C7</f>
        <v>176</v>
      </c>
      <c r="D6" s="613">
        <f>D7+D8</f>
        <v>178</v>
      </c>
      <c r="E6" s="613">
        <f>E7+E8</f>
        <v>170</v>
      </c>
      <c r="F6" s="508" t="s">
        <v>1550</v>
      </c>
      <c r="G6" s="874">
        <v>1</v>
      </c>
    </row>
    <row r="7" spans="1:15" s="639" customFormat="1" ht="40" customHeight="1">
      <c r="A7" s="148">
        <v>1.1000000000000001</v>
      </c>
      <c r="B7" s="719" t="s">
        <v>142</v>
      </c>
      <c r="C7" s="720">
        <v>176</v>
      </c>
      <c r="D7" s="721">
        <v>177</v>
      </c>
      <c r="E7" s="721">
        <v>166</v>
      </c>
      <c r="F7" s="635" t="s">
        <v>1551</v>
      </c>
      <c r="G7" s="915" t="s">
        <v>87</v>
      </c>
      <c r="L7" s="723"/>
    </row>
    <row r="8" spans="1:15" ht="40" customHeight="1">
      <c r="A8" s="147">
        <v>1.2</v>
      </c>
      <c r="B8" s="419" t="s">
        <v>141</v>
      </c>
      <c r="C8" s="610">
        <v>0</v>
      </c>
      <c r="D8" s="611">
        <v>1</v>
      </c>
      <c r="E8" s="611">
        <v>4</v>
      </c>
      <c r="F8" s="246" t="s">
        <v>1552</v>
      </c>
      <c r="G8" s="876" t="s">
        <v>88</v>
      </c>
      <c r="N8" s="79"/>
      <c r="O8" s="79"/>
    </row>
    <row r="9" spans="1:15" s="639" customFormat="1" ht="40" customHeight="1">
      <c r="A9" s="257">
        <v>2</v>
      </c>
      <c r="B9" s="724" t="s">
        <v>137</v>
      </c>
      <c r="C9" s="725">
        <f>C10+C11</f>
        <v>11717</v>
      </c>
      <c r="D9" s="726">
        <f>D10+D11</f>
        <v>11023</v>
      </c>
      <c r="E9" s="726">
        <f>E10+E11</f>
        <v>12599</v>
      </c>
      <c r="F9" s="727" t="s">
        <v>1553</v>
      </c>
      <c r="G9" s="917">
        <v>2</v>
      </c>
      <c r="H9" s="673"/>
    </row>
    <row r="10" spans="1:15" ht="40" customHeight="1">
      <c r="A10" s="147">
        <v>2.1</v>
      </c>
      <c r="B10" s="419" t="s">
        <v>99</v>
      </c>
      <c r="C10" s="610">
        <v>11337</v>
      </c>
      <c r="D10" s="611">
        <v>10346</v>
      </c>
      <c r="E10" s="611">
        <v>10183</v>
      </c>
      <c r="F10" s="246" t="s">
        <v>2153</v>
      </c>
      <c r="G10" s="876" t="s">
        <v>3</v>
      </c>
      <c r="M10" s="3"/>
      <c r="N10" s="3"/>
      <c r="O10" s="3"/>
    </row>
    <row r="11" spans="1:15" s="639" customFormat="1" ht="40" customHeight="1">
      <c r="A11" s="148">
        <v>2.2000000000000002</v>
      </c>
      <c r="B11" s="719" t="s">
        <v>98</v>
      </c>
      <c r="C11" s="720">
        <v>380</v>
      </c>
      <c r="D11" s="721">
        <v>677</v>
      </c>
      <c r="E11" s="721">
        <v>2416</v>
      </c>
      <c r="F11" s="635" t="s">
        <v>2154</v>
      </c>
      <c r="G11" s="915" t="s">
        <v>5</v>
      </c>
      <c r="K11" s="642"/>
    </row>
    <row r="12" spans="1:15" ht="40" customHeight="1">
      <c r="A12" s="400">
        <v>3</v>
      </c>
      <c r="B12" s="490" t="s">
        <v>587</v>
      </c>
      <c r="C12" s="612">
        <f>C13+C14</f>
        <v>4726</v>
      </c>
      <c r="D12" s="613">
        <f>D13+D14</f>
        <v>5073</v>
      </c>
      <c r="E12" s="613">
        <f>E13+E14</f>
        <v>5330</v>
      </c>
      <c r="F12" s="443" t="s">
        <v>1554</v>
      </c>
      <c r="G12" s="500">
        <v>3</v>
      </c>
      <c r="M12" s="3"/>
    </row>
    <row r="13" spans="1:15" s="639" customFormat="1" ht="40" customHeight="1">
      <c r="A13" s="148">
        <v>3.1</v>
      </c>
      <c r="B13" s="719" t="s">
        <v>99</v>
      </c>
      <c r="C13" s="720">
        <v>4650</v>
      </c>
      <c r="D13" s="721">
        <v>4786</v>
      </c>
      <c r="E13" s="721">
        <v>4459</v>
      </c>
      <c r="F13" s="635" t="s">
        <v>2153</v>
      </c>
      <c r="G13" s="915" t="s">
        <v>604</v>
      </c>
      <c r="H13" s="728"/>
    </row>
    <row r="14" spans="1:15" ht="40" customHeight="1">
      <c r="A14" s="147">
        <v>3.2</v>
      </c>
      <c r="B14" s="419" t="s">
        <v>98</v>
      </c>
      <c r="C14" s="610">
        <v>76</v>
      </c>
      <c r="D14" s="611">
        <v>287</v>
      </c>
      <c r="E14" s="611">
        <v>871</v>
      </c>
      <c r="F14" s="246" t="s">
        <v>2154</v>
      </c>
      <c r="G14" s="876" t="s">
        <v>617</v>
      </c>
      <c r="H14" s="475"/>
      <c r="J14"/>
    </row>
    <row r="15" spans="1:15" s="639" customFormat="1" ht="40" customHeight="1">
      <c r="A15" s="257">
        <v>4</v>
      </c>
      <c r="B15" s="724" t="s">
        <v>171</v>
      </c>
      <c r="C15" s="725">
        <f>C16+C17</f>
        <v>1697</v>
      </c>
      <c r="D15" s="726">
        <f t="shared" ref="D15:E15" si="0">D16+D17</f>
        <v>1512</v>
      </c>
      <c r="E15" s="726">
        <f t="shared" si="0"/>
        <v>2987</v>
      </c>
      <c r="F15" s="727" t="s">
        <v>1555</v>
      </c>
      <c r="G15" s="917">
        <v>4</v>
      </c>
      <c r="O15" s="642"/>
    </row>
    <row r="16" spans="1:15" ht="40" customHeight="1">
      <c r="A16" s="147">
        <v>4.0999999999999996</v>
      </c>
      <c r="B16" s="419" t="s">
        <v>99</v>
      </c>
      <c r="C16" s="610">
        <v>1697</v>
      </c>
      <c r="D16" s="611">
        <v>1478</v>
      </c>
      <c r="E16" s="611">
        <v>2564</v>
      </c>
      <c r="F16" s="246" t="s">
        <v>2153</v>
      </c>
      <c r="G16" s="876" t="s">
        <v>739</v>
      </c>
      <c r="O16" s="3"/>
    </row>
    <row r="17" spans="1:26" s="639" customFormat="1" ht="40" customHeight="1">
      <c r="A17" s="148">
        <v>4.2</v>
      </c>
      <c r="B17" s="719" t="s">
        <v>98</v>
      </c>
      <c r="C17" s="720">
        <v>0</v>
      </c>
      <c r="D17" s="721">
        <v>34</v>
      </c>
      <c r="E17" s="721">
        <v>423</v>
      </c>
      <c r="F17" s="635" t="s">
        <v>2154</v>
      </c>
      <c r="G17" s="915" t="s">
        <v>740</v>
      </c>
      <c r="O17" s="642"/>
    </row>
    <row r="18" spans="1:26" ht="40" customHeight="1">
      <c r="A18" s="400">
        <v>5</v>
      </c>
      <c r="B18" s="490" t="s">
        <v>138</v>
      </c>
      <c r="C18" s="612">
        <f>C19+C20</f>
        <v>464</v>
      </c>
      <c r="D18" s="613">
        <f t="shared" ref="D18:E18" si="1">D19+D20</f>
        <v>849</v>
      </c>
      <c r="E18" s="613">
        <f t="shared" si="1"/>
        <v>849</v>
      </c>
      <c r="F18" s="443" t="s">
        <v>1558</v>
      </c>
      <c r="G18" s="500">
        <v>5</v>
      </c>
      <c r="I18" s="474"/>
      <c r="J18" s="450"/>
      <c r="T18" s="4"/>
    </row>
    <row r="19" spans="1:26" s="639" customFormat="1" ht="40" customHeight="1">
      <c r="A19" s="148">
        <v>5.0999999999999996</v>
      </c>
      <c r="B19" s="719" t="s">
        <v>134</v>
      </c>
      <c r="C19" s="720">
        <v>430</v>
      </c>
      <c r="D19" s="721">
        <v>658</v>
      </c>
      <c r="E19" s="721">
        <v>658</v>
      </c>
      <c r="F19" s="635" t="s">
        <v>1556</v>
      </c>
      <c r="G19" s="915" t="s">
        <v>737</v>
      </c>
      <c r="H19" s="729"/>
      <c r="L19" s="730"/>
      <c r="M19" s="730"/>
      <c r="N19" s="730"/>
    </row>
    <row r="20" spans="1:26" ht="40" customHeight="1">
      <c r="A20" s="160">
        <v>5.2</v>
      </c>
      <c r="B20" s="419" t="s">
        <v>133</v>
      </c>
      <c r="C20" s="610">
        <v>34</v>
      </c>
      <c r="D20" s="611">
        <v>191</v>
      </c>
      <c r="E20" s="611">
        <v>191</v>
      </c>
      <c r="F20" s="246" t="s">
        <v>708</v>
      </c>
      <c r="G20" s="919" t="s">
        <v>738</v>
      </c>
    </row>
    <row r="21" spans="1:26" ht="25" customHeight="1">
      <c r="A21" s="1484" t="s">
        <v>762</v>
      </c>
      <c r="B21" s="1484"/>
      <c r="C21" s="1484"/>
      <c r="D21" s="1484"/>
      <c r="E21" s="1485" t="s">
        <v>1557</v>
      </c>
      <c r="F21" s="1485"/>
      <c r="G21" s="1485"/>
      <c r="M21" s="6"/>
      <c r="N21" s="6"/>
    </row>
    <row r="22" spans="1:26" ht="27" customHeight="1">
      <c r="C22" s="476"/>
      <c r="D22" s="476"/>
      <c r="E22" s="476"/>
      <c r="F22" s="477"/>
      <c r="G22" s="477"/>
      <c r="M22" s="6"/>
      <c r="N22" s="6"/>
    </row>
    <row r="23" spans="1:26" ht="27" customHeight="1">
      <c r="C23" s="476"/>
      <c r="D23" s="476"/>
      <c r="E23" s="476"/>
      <c r="F23" s="477"/>
      <c r="G23" s="477"/>
    </row>
    <row r="24" spans="1:26" ht="27" customHeight="1"/>
    <row r="25" spans="1:26" ht="27" customHeight="1"/>
    <row r="26" spans="1:26" ht="27" customHeight="1"/>
    <row r="27" spans="1:26" ht="27" customHeight="1">
      <c r="L27" s="581"/>
      <c r="M27" s="5"/>
      <c r="N27" s="5"/>
    </row>
    <row r="28" spans="1:26" ht="27" customHeight="1">
      <c r="Z28">
        <v>1397</v>
      </c>
    </row>
    <row r="29" spans="1:26" ht="27" customHeight="1">
      <c r="M29" s="6"/>
      <c r="N29" s="6"/>
      <c r="W29" s="7"/>
      <c r="Y29" t="s">
        <v>9</v>
      </c>
      <c r="Z29" s="7">
        <f>Z30+Z31</f>
        <v>1150</v>
      </c>
    </row>
    <row r="30" spans="1:26" ht="27" customHeight="1">
      <c r="M30" s="6"/>
      <c r="N30" s="6"/>
      <c r="W30" s="7"/>
      <c r="Y30" t="s">
        <v>7</v>
      </c>
      <c r="Z30" s="7">
        <v>956</v>
      </c>
    </row>
    <row r="31" spans="1:26" ht="27" customHeight="1">
      <c r="M31" s="6"/>
      <c r="N31" s="6"/>
      <c r="W31" s="7"/>
      <c r="Y31" t="s">
        <v>10</v>
      </c>
      <c r="Z31" s="7">
        <v>194</v>
      </c>
    </row>
    <row r="32" spans="1:26" ht="27" customHeight="1"/>
    <row r="33" spans="3:20" ht="27" customHeight="1"/>
    <row r="34" spans="3:20" ht="27" customHeight="1"/>
    <row r="35" spans="3:20" ht="27" customHeight="1"/>
    <row r="36" spans="3:20" ht="14.25" customHeight="1">
      <c r="G36" s="478"/>
      <c r="H36" s="478"/>
      <c r="I36" s="479"/>
      <c r="J36" s="479"/>
      <c r="K36" s="479"/>
      <c r="M36" s="6"/>
      <c r="N36" s="6"/>
      <c r="O36" s="6"/>
      <c r="R36" s="6"/>
      <c r="S36" s="6"/>
      <c r="T36" s="6"/>
    </row>
    <row r="37" spans="3:20">
      <c r="G37" s="478"/>
      <c r="H37" s="478"/>
      <c r="I37" s="479"/>
      <c r="J37" s="479"/>
      <c r="K37" s="479"/>
      <c r="M37" s="6"/>
      <c r="N37" s="6"/>
      <c r="O37" s="6"/>
      <c r="R37" s="6"/>
      <c r="S37" s="6"/>
      <c r="T37" s="6"/>
    </row>
    <row r="38" spans="3:20">
      <c r="M38" s="6"/>
      <c r="N38" s="6"/>
      <c r="O38" s="6"/>
      <c r="R38" s="6"/>
      <c r="S38" s="6"/>
      <c r="T38" s="6"/>
    </row>
    <row r="43" spans="3:20">
      <c r="C43" s="1486"/>
      <c r="D43" s="561"/>
      <c r="E43" s="561"/>
      <c r="F43" s="1487"/>
    </row>
    <row r="44" spans="3:20">
      <c r="C44" s="1486"/>
      <c r="D44" s="561"/>
      <c r="E44" s="561"/>
      <c r="F44" s="1487"/>
    </row>
    <row r="45" spans="3:20">
      <c r="C45" s="1486"/>
      <c r="D45" s="561"/>
      <c r="E45" s="561"/>
      <c r="F45" s="1487"/>
    </row>
    <row r="46" spans="3:20">
      <c r="C46" s="1486"/>
      <c r="D46" s="561"/>
      <c r="E46" s="561"/>
      <c r="F46" s="1488"/>
    </row>
    <row r="47" spans="3:20">
      <c r="C47" s="1486"/>
      <c r="D47" s="561"/>
      <c r="E47" s="561"/>
      <c r="F47" s="1488"/>
    </row>
    <row r="48" spans="3:20">
      <c r="C48" s="1486"/>
      <c r="D48" s="561"/>
      <c r="E48" s="561"/>
      <c r="F48" s="1488"/>
    </row>
    <row r="50" spans="8:11">
      <c r="H50" s="1483"/>
      <c r="I50" s="1483"/>
      <c r="J50" s="1483"/>
      <c r="K50" s="1483"/>
    </row>
  </sheetData>
  <mergeCells count="14">
    <mergeCell ref="J50:K50"/>
    <mergeCell ref="A21:D21"/>
    <mergeCell ref="E21:G21"/>
    <mergeCell ref="C43:C48"/>
    <mergeCell ref="F43:F45"/>
    <mergeCell ref="F46:F48"/>
    <mergeCell ref="H50:I50"/>
    <mergeCell ref="A1:G1"/>
    <mergeCell ref="A2:G2"/>
    <mergeCell ref="A3:G3"/>
    <mergeCell ref="A4:A5"/>
    <mergeCell ref="B4:B5"/>
    <mergeCell ref="F4:F5"/>
    <mergeCell ref="G4:G5"/>
  </mergeCells>
  <printOptions horizontalCentered="1"/>
  <pageMargins left="0" right="0" top="0.06" bottom="0.6" header="0.03" footer="0.39370078740157499"/>
  <pageSetup paperSize="9" orientation="portrait" r:id="rId1"/>
  <headerFooter>
    <oddFooter>&amp;L&amp;"Times New Roman,Regular"&amp;10    Afghanistan Statistical Yearbook 2023-24&amp;R&amp;"Times New Roman,Regular"&amp;10          د ۱۴۰۲ احصایيوي کالنۍ  /سالنامه احصائیوی ۱۴۰۲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00B050"/>
  </sheetPr>
  <dimension ref="A1:AN521"/>
  <sheetViews>
    <sheetView view="pageBreakPreview" topLeftCell="A10" zoomScale="96" zoomScaleNormal="70" zoomScaleSheetLayoutView="96" workbookViewId="0">
      <selection activeCell="J13" sqref="J13"/>
    </sheetView>
  </sheetViews>
  <sheetFormatPr baseColWidth="10" defaultColWidth="9.1640625" defaultRowHeight="15"/>
  <cols>
    <col min="1" max="1" width="3.5" style="11" customWidth="1"/>
    <col min="2" max="2" width="26.33203125" style="523" customWidth="1"/>
    <col min="3" max="3" width="7.5" style="523" customWidth="1"/>
    <col min="4" max="4" width="6.1640625" style="523" customWidth="1"/>
    <col min="5" max="5" width="9.83203125" style="523" customWidth="1"/>
    <col min="6" max="6" width="6.6640625" style="523" customWidth="1"/>
    <col min="7" max="7" width="7.5" style="523" customWidth="1"/>
    <col min="8" max="8" width="9.83203125" style="523" customWidth="1"/>
    <col min="9" max="9" width="7.5" style="523" customWidth="1"/>
    <col min="10" max="10" width="7.1640625" style="523" customWidth="1"/>
    <col min="11" max="11" width="9.83203125" style="523" customWidth="1"/>
    <col min="12" max="12" width="7.5" style="523" customWidth="1"/>
    <col min="13" max="13" width="8.33203125" style="523" customWidth="1"/>
    <col min="14" max="14" width="9.83203125" style="523" customWidth="1"/>
    <col min="15" max="15" width="38.5" style="523" customWidth="1"/>
    <col min="16" max="16" width="3.6640625" style="591" customWidth="1"/>
    <col min="17" max="18" width="11" style="11" customWidth="1"/>
    <col min="19" max="19" width="9.1640625" style="11"/>
    <col min="20" max="20" width="16.5" style="11" bestFit="1" customWidth="1"/>
    <col min="21" max="21" width="13" style="11" bestFit="1" customWidth="1"/>
    <col min="22" max="16384" width="9.1640625" style="11"/>
  </cols>
  <sheetData>
    <row r="1" spans="1:24" ht="18" customHeight="1">
      <c r="A1" s="1516" t="s">
        <v>837</v>
      </c>
      <c r="B1" s="1516"/>
      <c r="C1" s="1516"/>
      <c r="D1" s="1516"/>
      <c r="E1" s="1516"/>
      <c r="F1" s="1516"/>
      <c r="G1" s="1516"/>
      <c r="H1" s="1516"/>
      <c r="I1" s="1516"/>
      <c r="J1" s="1516"/>
      <c r="K1" s="1516"/>
      <c r="L1" s="1516"/>
      <c r="M1" s="1516"/>
      <c r="N1" s="1516"/>
      <c r="O1" s="1516"/>
      <c r="P1" s="1516"/>
    </row>
    <row r="2" spans="1:24" ht="18" customHeight="1">
      <c r="A2" s="1517" t="s">
        <v>773</v>
      </c>
      <c r="B2" s="1517"/>
      <c r="C2" s="1517"/>
      <c r="D2" s="1517"/>
      <c r="E2" s="1517"/>
      <c r="F2" s="1517"/>
      <c r="G2" s="1517"/>
      <c r="H2" s="1517"/>
      <c r="I2" s="1517"/>
      <c r="J2" s="1517"/>
      <c r="K2" s="1517"/>
      <c r="L2" s="1517"/>
      <c r="M2" s="1517"/>
      <c r="N2" s="1517"/>
      <c r="O2" s="1517"/>
      <c r="P2" s="1517"/>
      <c r="Q2"/>
      <c r="R2"/>
      <c r="S2"/>
      <c r="T2"/>
      <c r="U2"/>
      <c r="V2"/>
      <c r="W2"/>
      <c r="X2"/>
    </row>
    <row r="3" spans="1:24" ht="18" customHeight="1">
      <c r="A3" s="1518" t="s">
        <v>774</v>
      </c>
      <c r="B3" s="1518"/>
      <c r="C3" s="1518"/>
      <c r="D3" s="1518"/>
      <c r="E3" s="1518"/>
      <c r="F3" s="1518"/>
      <c r="G3" s="1518"/>
      <c r="H3" s="1518"/>
      <c r="I3" s="1518"/>
      <c r="J3" s="1518"/>
      <c r="K3" s="1518"/>
      <c r="L3" s="1518"/>
      <c r="M3" s="1518"/>
      <c r="N3" s="1518"/>
      <c r="O3" s="1518"/>
      <c r="P3" s="1518"/>
      <c r="Q3"/>
      <c r="R3"/>
      <c r="S3"/>
      <c r="T3"/>
      <c r="U3"/>
      <c r="V3"/>
      <c r="W3"/>
      <c r="X3"/>
    </row>
    <row r="4" spans="1:24" ht="18" customHeight="1">
      <c r="A4" s="1465" t="s">
        <v>621</v>
      </c>
      <c r="B4" s="1468" t="s">
        <v>286</v>
      </c>
      <c r="C4" s="1320" t="s">
        <v>750</v>
      </c>
      <c r="D4" s="1470"/>
      <c r="E4" s="1449"/>
      <c r="F4" s="1320" t="s">
        <v>744</v>
      </c>
      <c r="G4" s="1470"/>
      <c r="H4" s="1449"/>
      <c r="I4" s="1320" t="s">
        <v>743</v>
      </c>
      <c r="J4" s="1470"/>
      <c r="K4" s="1449"/>
      <c r="L4" s="1320" t="s">
        <v>79</v>
      </c>
      <c r="M4" s="1470"/>
      <c r="N4" s="1449"/>
      <c r="O4" s="1438" t="s">
        <v>709</v>
      </c>
      <c r="P4" s="1471" t="s">
        <v>727</v>
      </c>
      <c r="Q4"/>
      <c r="R4"/>
      <c r="S4"/>
      <c r="T4"/>
      <c r="U4"/>
      <c r="V4"/>
      <c r="W4"/>
      <c r="X4"/>
    </row>
    <row r="5" spans="1:24" ht="18" customHeight="1">
      <c r="A5" s="1466"/>
      <c r="B5" s="1468"/>
      <c r="C5" s="1280"/>
      <c r="D5" s="1474"/>
      <c r="E5" s="1475"/>
      <c r="F5" s="1280"/>
      <c r="G5" s="1474"/>
      <c r="H5" s="1475"/>
      <c r="I5" s="1280"/>
      <c r="J5" s="1474"/>
      <c r="K5" s="1475"/>
      <c r="L5" s="1280"/>
      <c r="M5" s="1474"/>
      <c r="N5" s="1475"/>
      <c r="O5" s="1439"/>
      <c r="P5" s="1472"/>
      <c r="Q5"/>
      <c r="R5"/>
      <c r="S5"/>
      <c r="T5"/>
      <c r="U5"/>
      <c r="V5"/>
      <c r="W5"/>
      <c r="X5"/>
    </row>
    <row r="6" spans="1:24" ht="26.25" customHeight="1">
      <c r="A6" s="1466"/>
      <c r="B6" s="1468"/>
      <c r="C6" s="1280" t="s">
        <v>138</v>
      </c>
      <c r="D6" s="1474"/>
      <c r="E6" s="1475"/>
      <c r="F6" s="1280" t="s">
        <v>751</v>
      </c>
      <c r="G6" s="1474"/>
      <c r="H6" s="1475"/>
      <c r="I6" s="1280" t="s">
        <v>587</v>
      </c>
      <c r="J6" s="1474"/>
      <c r="K6" s="1475"/>
      <c r="L6" s="1280" t="s">
        <v>137</v>
      </c>
      <c r="M6" s="1474"/>
      <c r="N6" s="1475"/>
      <c r="O6" s="1439"/>
      <c r="P6" s="1472"/>
      <c r="Q6"/>
      <c r="R6"/>
      <c r="S6"/>
      <c r="T6"/>
      <c r="U6"/>
      <c r="V6"/>
      <c r="W6"/>
      <c r="X6"/>
    </row>
    <row r="7" spans="1:24" ht="18" customHeight="1">
      <c r="A7" s="1466"/>
      <c r="B7" s="1469"/>
      <c r="C7" s="1280" t="s">
        <v>583</v>
      </c>
      <c r="D7" s="1474" t="s">
        <v>581</v>
      </c>
      <c r="E7" s="1475" t="s">
        <v>489</v>
      </c>
      <c r="F7" s="1280" t="s">
        <v>583</v>
      </c>
      <c r="G7" s="1474" t="s">
        <v>589</v>
      </c>
      <c r="H7" s="1475" t="s">
        <v>489</v>
      </c>
      <c r="I7" s="1280" t="s">
        <v>583</v>
      </c>
      <c r="J7" s="1474" t="s">
        <v>589</v>
      </c>
      <c r="K7" s="1475" t="s">
        <v>489</v>
      </c>
      <c r="L7" s="1280" t="s">
        <v>583</v>
      </c>
      <c r="M7" s="1474" t="s">
        <v>588</v>
      </c>
      <c r="N7" s="1475" t="s">
        <v>489</v>
      </c>
      <c r="O7" s="1439"/>
      <c r="P7" s="1472"/>
      <c r="Q7"/>
      <c r="R7"/>
      <c r="S7"/>
      <c r="T7"/>
      <c r="U7"/>
      <c r="V7"/>
      <c r="W7"/>
      <c r="X7"/>
    </row>
    <row r="8" spans="1:24" ht="18" customHeight="1">
      <c r="A8" s="1466"/>
      <c r="B8" s="1469"/>
      <c r="C8" s="1280"/>
      <c r="D8" s="1474"/>
      <c r="E8" s="1475"/>
      <c r="F8" s="1280"/>
      <c r="G8" s="1474"/>
      <c r="H8" s="1475"/>
      <c r="I8" s="1280"/>
      <c r="J8" s="1474"/>
      <c r="K8" s="1475"/>
      <c r="L8" s="1280"/>
      <c r="M8" s="1474"/>
      <c r="N8" s="1475"/>
      <c r="O8" s="1439"/>
      <c r="P8" s="1472"/>
      <c r="Q8"/>
      <c r="R8"/>
      <c r="S8"/>
      <c r="T8"/>
      <c r="U8"/>
      <c r="V8"/>
      <c r="W8"/>
      <c r="X8"/>
    </row>
    <row r="9" spans="1:24" ht="18" customHeight="1">
      <c r="A9" s="1467"/>
      <c r="B9" s="1469"/>
      <c r="C9" s="872" t="s">
        <v>133</v>
      </c>
      <c r="D9" s="873" t="s">
        <v>134</v>
      </c>
      <c r="E9" s="893" t="s">
        <v>100</v>
      </c>
      <c r="F9" s="872" t="s">
        <v>133</v>
      </c>
      <c r="G9" s="873" t="s">
        <v>134</v>
      </c>
      <c r="H9" s="893" t="s">
        <v>100</v>
      </c>
      <c r="I9" s="872" t="s">
        <v>133</v>
      </c>
      <c r="J9" s="873" t="s">
        <v>134</v>
      </c>
      <c r="K9" s="893" t="s">
        <v>100</v>
      </c>
      <c r="L9" s="872" t="s">
        <v>133</v>
      </c>
      <c r="M9" s="873" t="s">
        <v>134</v>
      </c>
      <c r="N9" s="893" t="s">
        <v>100</v>
      </c>
      <c r="O9" s="1462"/>
      <c r="P9" s="1473"/>
      <c r="Q9"/>
      <c r="R9"/>
      <c r="S9"/>
      <c r="T9"/>
      <c r="U9"/>
      <c r="V9"/>
      <c r="W9"/>
      <c r="X9"/>
    </row>
    <row r="10" spans="1:24" ht="28" customHeight="1">
      <c r="A10" s="585"/>
      <c r="B10" s="576" t="s">
        <v>287</v>
      </c>
      <c r="C10" s="435" t="e">
        <f>SUM(C12:C16,#REF!,C17:C22,C23:C31,C32:C50,C58:C74,C75:C93,C101:C118,C126:C141,C148:C164,C173:C189,C197:C213,C221:C255)</f>
        <v>#REF!</v>
      </c>
      <c r="D10" s="436" t="e">
        <f>SUM(D12:D16,#REF!,D17:D22,D23:D31,D32:D50,D58:D74,D75:D93,D101:D118,D126:D141,D148:D164,D173:D189,D197:D213,D221:D255)</f>
        <v>#REF!</v>
      </c>
      <c r="E10" s="529" t="e">
        <f>D10+C10</f>
        <v>#REF!</v>
      </c>
      <c r="F10" s="436" t="e">
        <f>SUM(F12:F16,#REF!,F17:F22,F23:F31,F32:F50,F58:F74,F75:F93,F101:F118,F126:F141,F148:F164,F173:F189,F197:F213,F221:F255)</f>
        <v>#REF!</v>
      </c>
      <c r="G10" s="436" t="e">
        <f>SUM(G12:G16,#REF!,G17:G22,G23:G31,G32:G50,G58:G74,G75:G93,G101:G118,G126:G141,G148:G164,G173:G189,G197:G213,G221:G255)</f>
        <v>#REF!</v>
      </c>
      <c r="H10" s="436" t="e">
        <f>G10+F10</f>
        <v>#REF!</v>
      </c>
      <c r="I10" s="435">
        <v>0</v>
      </c>
      <c r="J10" s="436" t="e">
        <f>SUM(J12:J16,#REF!,J17:J22,J23:J31,J32:J50,J58:J74,J75:J93,J101:J118,J126:J141,J148:J164,J173:J189,J197:J213,J221:J255)</f>
        <v>#REF!</v>
      </c>
      <c r="K10" s="436" t="e">
        <f>J10</f>
        <v>#REF!</v>
      </c>
      <c r="L10" s="435" t="e">
        <f>SUM(L12:L16,#REF!,L17:L22,L23:L31,L32:L50,L58:L74,L75:L93,L101:L118,L126:L141,L148:L164,L173:L189,L197:L213,L221:L255)</f>
        <v>#REF!</v>
      </c>
      <c r="M10" s="436" t="e">
        <f>SUM(M12:M16,#REF!,M17:M22,M23:M31,M32:M50,M58:M74,M75:M93,M101:M118,M126:M141,M148:M164,M173:M189,M197:M213,M221:M255)</f>
        <v>#REF!</v>
      </c>
      <c r="N10" s="436" t="e">
        <f>M10+L10</f>
        <v>#REF!</v>
      </c>
      <c r="O10" s="422" t="s">
        <v>680</v>
      </c>
      <c r="P10" s="926"/>
      <c r="Q10"/>
      <c r="R10" s="3"/>
      <c r="S10" s="3"/>
      <c r="T10" s="3"/>
      <c r="U10"/>
      <c r="V10"/>
      <c r="W10"/>
      <c r="X10"/>
    </row>
    <row r="11" spans="1:24" ht="25.5" customHeight="1">
      <c r="A11" s="797"/>
      <c r="B11" s="989" t="s">
        <v>101</v>
      </c>
      <c r="C11" s="844"/>
      <c r="D11" s="845"/>
      <c r="E11" s="846"/>
      <c r="F11" s="845"/>
      <c r="G11" s="845"/>
      <c r="H11" s="845"/>
      <c r="I11" s="844"/>
      <c r="J11" s="845"/>
      <c r="K11" s="845"/>
      <c r="L11" s="844"/>
      <c r="M11" s="845"/>
      <c r="N11" s="845"/>
      <c r="O11" s="743" t="s">
        <v>18</v>
      </c>
      <c r="P11" s="927"/>
      <c r="Q11"/>
      <c r="R11" s="3"/>
      <c r="S11" s="3"/>
      <c r="T11" s="3"/>
      <c r="U11"/>
      <c r="V11"/>
      <c r="W11"/>
      <c r="X11"/>
    </row>
    <row r="12" spans="1:24" s="676" customFormat="1" ht="28" customHeight="1">
      <c r="A12" s="192">
        <v>1</v>
      </c>
      <c r="B12" s="240" t="s">
        <v>775</v>
      </c>
      <c r="C12" s="167"/>
      <c r="D12" s="168"/>
      <c r="E12" s="158">
        <f>C12+D12</f>
        <v>0</v>
      </c>
      <c r="F12" s="167"/>
      <c r="G12" s="168"/>
      <c r="H12" s="168">
        <v>0</v>
      </c>
      <c r="I12" s="167">
        <v>0</v>
      </c>
      <c r="J12" s="168">
        <f>14+30+159</f>
        <v>203</v>
      </c>
      <c r="K12" s="202">
        <f t="shared" ref="K12:K16" si="0">J12</f>
        <v>203</v>
      </c>
      <c r="L12" s="168"/>
      <c r="M12" s="168"/>
      <c r="N12" s="202">
        <f>M12+L12</f>
        <v>0</v>
      </c>
      <c r="O12" s="247" t="s">
        <v>838</v>
      </c>
      <c r="P12" s="928">
        <v>1</v>
      </c>
      <c r="Q12" s="639"/>
      <c r="R12" s="639"/>
      <c r="S12" s="639"/>
      <c r="T12" s="639"/>
      <c r="U12" s="639"/>
      <c r="V12" s="639"/>
      <c r="W12" s="639"/>
      <c r="X12" s="639"/>
    </row>
    <row r="13" spans="1:24" ht="25.5" customHeight="1">
      <c r="A13" s="797">
        <v>2</v>
      </c>
      <c r="B13" s="798" t="s">
        <v>288</v>
      </c>
      <c r="C13" s="682"/>
      <c r="D13" s="683"/>
      <c r="E13" s="634">
        <f t="shared" ref="E13:E16" si="1">C13+D13</f>
        <v>0</v>
      </c>
      <c r="F13" s="682"/>
      <c r="G13" s="683"/>
      <c r="H13" s="683">
        <v>0</v>
      </c>
      <c r="I13" s="682">
        <v>0</v>
      </c>
      <c r="J13" s="683">
        <v>0</v>
      </c>
      <c r="K13" s="693">
        <f t="shared" si="0"/>
        <v>0</v>
      </c>
      <c r="L13" s="683"/>
      <c r="M13" s="683"/>
      <c r="N13" s="693">
        <f t="shared" ref="N13:N16" si="2">M13+L13</f>
        <v>0</v>
      </c>
      <c r="O13" s="248" t="s">
        <v>839</v>
      </c>
      <c r="P13" s="927">
        <v>2</v>
      </c>
      <c r="Q13"/>
      <c r="R13"/>
      <c r="S13"/>
      <c r="T13" s="3"/>
      <c r="U13"/>
      <c r="V13"/>
      <c r="W13"/>
      <c r="X13"/>
    </row>
    <row r="14" spans="1:24" s="676" customFormat="1" ht="25.5" customHeight="1">
      <c r="A14" s="192">
        <v>3</v>
      </c>
      <c r="B14" s="240" t="s">
        <v>289</v>
      </c>
      <c r="C14" s="167"/>
      <c r="D14" s="168"/>
      <c r="E14" s="158">
        <f t="shared" si="1"/>
        <v>0</v>
      </c>
      <c r="F14" s="167"/>
      <c r="G14" s="168"/>
      <c r="H14" s="168">
        <v>0</v>
      </c>
      <c r="I14" s="167">
        <v>0</v>
      </c>
      <c r="J14" s="168">
        <v>297</v>
      </c>
      <c r="K14" s="202">
        <f>J14</f>
        <v>297</v>
      </c>
      <c r="L14" s="168"/>
      <c r="M14" s="168"/>
      <c r="N14" s="202">
        <f t="shared" si="2"/>
        <v>0</v>
      </c>
      <c r="O14" s="247" t="s">
        <v>840</v>
      </c>
      <c r="P14" s="928">
        <v>3</v>
      </c>
      <c r="Q14" s="683"/>
      <c r="R14" s="639"/>
      <c r="S14" s="642"/>
      <c r="T14" s="639"/>
      <c r="U14" s="639"/>
      <c r="V14" s="639"/>
      <c r="W14" s="639"/>
      <c r="X14" s="639"/>
    </row>
    <row r="15" spans="1:24" ht="25.5" customHeight="1">
      <c r="A15" s="797">
        <v>4</v>
      </c>
      <c r="B15" s="239" t="s">
        <v>290</v>
      </c>
      <c r="C15" s="682"/>
      <c r="D15" s="683"/>
      <c r="E15" s="634">
        <f t="shared" si="1"/>
        <v>0</v>
      </c>
      <c r="F15" s="682"/>
      <c r="G15" s="683"/>
      <c r="H15" s="683">
        <f t="shared" ref="H15" si="3">F15+G15</f>
        <v>0</v>
      </c>
      <c r="I15" s="682">
        <v>0</v>
      </c>
      <c r="J15" s="683">
        <v>446</v>
      </c>
      <c r="K15" s="693">
        <f t="shared" si="0"/>
        <v>446</v>
      </c>
      <c r="L15" s="683"/>
      <c r="M15" s="683"/>
      <c r="N15" s="693">
        <f t="shared" si="2"/>
        <v>0</v>
      </c>
      <c r="O15" s="248" t="s">
        <v>841</v>
      </c>
      <c r="P15" s="927">
        <v>4</v>
      </c>
      <c r="Q15"/>
      <c r="R15"/>
      <c r="S15"/>
      <c r="T15"/>
      <c r="U15"/>
      <c r="V15"/>
      <c r="W15"/>
      <c r="X15"/>
    </row>
    <row r="16" spans="1:24" s="676" customFormat="1" ht="28" customHeight="1">
      <c r="A16" s="192">
        <v>5</v>
      </c>
      <c r="B16" s="240" t="s">
        <v>776</v>
      </c>
      <c r="C16" s="167"/>
      <c r="D16" s="168"/>
      <c r="E16" s="158">
        <f t="shared" si="1"/>
        <v>0</v>
      </c>
      <c r="F16" s="167"/>
      <c r="G16" s="168"/>
      <c r="H16" s="168">
        <v>0</v>
      </c>
      <c r="I16" s="167">
        <v>0</v>
      </c>
      <c r="J16" s="168">
        <v>0</v>
      </c>
      <c r="K16" s="202">
        <f t="shared" si="0"/>
        <v>0</v>
      </c>
      <c r="L16" s="168"/>
      <c r="M16" s="168"/>
      <c r="N16" s="202">
        <f t="shared" si="2"/>
        <v>0</v>
      </c>
      <c r="O16" s="247" t="s">
        <v>842</v>
      </c>
      <c r="P16" s="928">
        <v>5</v>
      </c>
      <c r="Q16" s="639"/>
      <c r="R16" s="639"/>
      <c r="S16" s="639"/>
      <c r="T16" s="639"/>
      <c r="U16" s="639"/>
      <c r="V16" s="639"/>
      <c r="W16" s="639"/>
      <c r="X16" s="639"/>
    </row>
    <row r="17" spans="1:20" ht="22" customHeight="1">
      <c r="A17" s="797"/>
      <c r="B17" s="843" t="s">
        <v>103</v>
      </c>
      <c r="C17" s="133"/>
      <c r="D17" s="134"/>
      <c r="E17" s="135"/>
      <c r="F17" s="713"/>
      <c r="G17" s="714"/>
      <c r="H17" s="714"/>
      <c r="I17" s="713"/>
      <c r="J17" s="714"/>
      <c r="K17" s="141"/>
      <c r="L17" s="714"/>
      <c r="M17" s="714"/>
      <c r="N17" s="141"/>
      <c r="O17" s="996" t="s">
        <v>27</v>
      </c>
      <c r="P17" s="927"/>
    </row>
    <row r="18" spans="1:20" s="676" customFormat="1" ht="26" customHeight="1">
      <c r="A18" s="192">
        <v>45</v>
      </c>
      <c r="B18" s="241" t="s">
        <v>783</v>
      </c>
      <c r="C18" s="997"/>
      <c r="D18" s="284"/>
      <c r="E18" s="375">
        <f t="shared" ref="E18:E22" si="4">D18+C18</f>
        <v>0</v>
      </c>
      <c r="F18" s="997"/>
      <c r="G18" s="284"/>
      <c r="H18" s="998">
        <f t="shared" ref="H18:H22" si="5">G18+F18</f>
        <v>0</v>
      </c>
      <c r="I18" s="997">
        <v>0</v>
      </c>
      <c r="J18" s="284">
        <v>185</v>
      </c>
      <c r="K18" s="473">
        <f t="shared" ref="K18:K22" si="6">J18</f>
        <v>185</v>
      </c>
      <c r="L18" s="284"/>
      <c r="M18" s="284"/>
      <c r="N18" s="375">
        <f t="shared" ref="N18:N22" si="7">M18+L18</f>
        <v>0</v>
      </c>
      <c r="O18" s="247" t="s">
        <v>844</v>
      </c>
      <c r="P18" s="928">
        <v>45</v>
      </c>
      <c r="R18" s="676">
        <f>790-824</f>
        <v>-34</v>
      </c>
    </row>
    <row r="19" spans="1:20" ht="28" customHeight="1">
      <c r="A19" s="797">
        <v>46</v>
      </c>
      <c r="B19" s="271" t="s">
        <v>784</v>
      </c>
      <c r="C19" s="133"/>
      <c r="D19" s="134"/>
      <c r="E19" s="135">
        <f t="shared" si="4"/>
        <v>0</v>
      </c>
      <c r="F19" s="713"/>
      <c r="G19" s="714"/>
      <c r="H19" s="714">
        <f t="shared" si="5"/>
        <v>0</v>
      </c>
      <c r="I19" s="713">
        <v>0</v>
      </c>
      <c r="J19" s="714">
        <v>209</v>
      </c>
      <c r="K19" s="141">
        <f t="shared" si="6"/>
        <v>209</v>
      </c>
      <c r="L19" s="714"/>
      <c r="M19" s="714"/>
      <c r="N19" s="141">
        <f t="shared" si="7"/>
        <v>0</v>
      </c>
      <c r="O19" s="248" t="s">
        <v>845</v>
      </c>
      <c r="P19" s="927">
        <v>46</v>
      </c>
      <c r="R19" s="17"/>
      <c r="S19" s="17"/>
      <c r="T19" s="180"/>
    </row>
    <row r="20" spans="1:20" ht="22" customHeight="1">
      <c r="A20" s="192"/>
      <c r="B20" s="622" t="s">
        <v>652</v>
      </c>
      <c r="C20" s="466"/>
      <c r="D20" s="139"/>
      <c r="E20" s="140"/>
      <c r="F20" s="137"/>
      <c r="G20" s="138"/>
      <c r="H20" s="138"/>
      <c r="I20" s="137">
        <v>0</v>
      </c>
      <c r="J20" s="138"/>
      <c r="K20" s="142">
        <f t="shared" si="6"/>
        <v>0</v>
      </c>
      <c r="L20" s="138"/>
      <c r="M20" s="138"/>
      <c r="N20" s="142"/>
      <c r="O20" s="607" t="s">
        <v>651</v>
      </c>
      <c r="P20" s="928"/>
      <c r="R20" s="17"/>
      <c r="S20" s="17"/>
      <c r="T20" s="17"/>
    </row>
    <row r="21" spans="1:20" s="676" customFormat="1" ht="28" customHeight="1">
      <c r="A21" s="797">
        <v>53</v>
      </c>
      <c r="B21" s="271" t="s">
        <v>787</v>
      </c>
      <c r="C21" s="802"/>
      <c r="D21" s="711"/>
      <c r="E21" s="655">
        <f t="shared" si="4"/>
        <v>0</v>
      </c>
      <c r="F21" s="802"/>
      <c r="G21" s="711"/>
      <c r="H21" s="803">
        <f t="shared" si="5"/>
        <v>0</v>
      </c>
      <c r="I21" s="802">
        <v>0</v>
      </c>
      <c r="J21" s="711">
        <v>168</v>
      </c>
      <c r="K21" s="722">
        <f t="shared" si="6"/>
        <v>168</v>
      </c>
      <c r="L21" s="711"/>
      <c r="M21" s="711"/>
      <c r="N21" s="655">
        <f t="shared" si="7"/>
        <v>0</v>
      </c>
      <c r="O21" s="248" t="s">
        <v>843</v>
      </c>
      <c r="P21" s="927">
        <v>53</v>
      </c>
      <c r="R21" s="741"/>
      <c r="S21" s="741"/>
      <c r="T21" s="741"/>
    </row>
    <row r="22" spans="1:20" ht="28" customHeight="1">
      <c r="A22" s="586">
        <v>54</v>
      </c>
      <c r="B22" s="297" t="s">
        <v>765</v>
      </c>
      <c r="C22" s="467"/>
      <c r="D22" s="365"/>
      <c r="E22" s="366">
        <f t="shared" si="4"/>
        <v>0</v>
      </c>
      <c r="F22" s="364"/>
      <c r="G22" s="367"/>
      <c r="H22" s="367">
        <f t="shared" si="5"/>
        <v>0</v>
      </c>
      <c r="I22" s="364">
        <v>0</v>
      </c>
      <c r="J22" s="367">
        <v>84</v>
      </c>
      <c r="K22" s="368">
        <f t="shared" si="6"/>
        <v>84</v>
      </c>
      <c r="L22" s="367"/>
      <c r="M22" s="367"/>
      <c r="N22" s="368">
        <f t="shared" si="7"/>
        <v>0</v>
      </c>
      <c r="O22" s="369" t="s">
        <v>846</v>
      </c>
      <c r="P22" s="929">
        <v>54</v>
      </c>
      <c r="R22" s="17"/>
      <c r="S22" s="17"/>
      <c r="T22" s="17"/>
    </row>
    <row r="23" spans="1:20" ht="22" customHeight="1">
      <c r="A23" s="797"/>
      <c r="B23" s="843" t="s">
        <v>104</v>
      </c>
      <c r="C23" s="805"/>
      <c r="D23" s="806"/>
      <c r="E23" s="806"/>
      <c r="F23" s="713"/>
      <c r="G23" s="714"/>
      <c r="H23" s="714"/>
      <c r="I23" s="713"/>
      <c r="J23" s="714"/>
      <c r="K23" s="141"/>
      <c r="L23" s="713"/>
      <c r="M23" s="714"/>
      <c r="N23" s="141"/>
      <c r="O23" s="727" t="s">
        <v>788</v>
      </c>
      <c r="P23" s="878"/>
      <c r="R23" s="17"/>
      <c r="S23" s="17"/>
      <c r="T23" s="17"/>
    </row>
    <row r="24" spans="1:20" s="676" customFormat="1" ht="22" customHeight="1">
      <c r="A24" s="396">
        <v>65</v>
      </c>
      <c r="B24" s="240" t="s">
        <v>789</v>
      </c>
      <c r="C24" s="190"/>
      <c r="D24" s="191"/>
      <c r="E24" s="556">
        <f t="shared" ref="E24:E30" si="8">D24+C24</f>
        <v>0</v>
      </c>
      <c r="F24" s="137"/>
      <c r="G24" s="138"/>
      <c r="H24" s="138">
        <f t="shared" ref="H24:H30" si="9">G24+F24</f>
        <v>0</v>
      </c>
      <c r="I24" s="137">
        <v>0</v>
      </c>
      <c r="J24" s="138">
        <v>47</v>
      </c>
      <c r="K24" s="142">
        <f t="shared" ref="K24:K30" si="10">J24+I24</f>
        <v>47</v>
      </c>
      <c r="L24" s="137"/>
      <c r="M24" s="138"/>
      <c r="N24" s="142">
        <f t="shared" ref="N24:N30" si="11">M24+L24</f>
        <v>0</v>
      </c>
      <c r="O24" s="246" t="s">
        <v>847</v>
      </c>
      <c r="P24" s="928">
        <v>65</v>
      </c>
      <c r="R24" s="741"/>
      <c r="S24" s="741"/>
      <c r="T24" s="741"/>
    </row>
    <row r="25" spans="1:20" ht="27" customHeight="1">
      <c r="A25" s="797">
        <v>66</v>
      </c>
      <c r="B25" s="271" t="s">
        <v>307</v>
      </c>
      <c r="C25" s="805"/>
      <c r="D25" s="806"/>
      <c r="E25" s="806">
        <f t="shared" si="8"/>
        <v>0</v>
      </c>
      <c r="F25" s="713"/>
      <c r="G25" s="714"/>
      <c r="H25" s="714">
        <f t="shared" si="9"/>
        <v>0</v>
      </c>
      <c r="I25" s="713">
        <v>0</v>
      </c>
      <c r="J25" s="714">
        <v>26</v>
      </c>
      <c r="K25" s="141">
        <f t="shared" si="10"/>
        <v>26</v>
      </c>
      <c r="L25" s="713"/>
      <c r="M25" s="714"/>
      <c r="N25" s="141">
        <f t="shared" si="11"/>
        <v>0</v>
      </c>
      <c r="O25" s="635" t="s">
        <v>848</v>
      </c>
      <c r="P25" s="878">
        <v>66</v>
      </c>
      <c r="R25" s="17"/>
      <c r="S25" s="17"/>
      <c r="T25" s="17"/>
    </row>
    <row r="26" spans="1:20" s="676" customFormat="1" ht="27" customHeight="1">
      <c r="A26" s="396">
        <v>67</v>
      </c>
      <c r="B26" s="240" t="s">
        <v>790</v>
      </c>
      <c r="C26" s="190"/>
      <c r="D26" s="191"/>
      <c r="E26" s="556">
        <f t="shared" si="8"/>
        <v>0</v>
      </c>
      <c r="F26" s="137"/>
      <c r="G26" s="138"/>
      <c r="H26" s="138">
        <f t="shared" si="9"/>
        <v>0</v>
      </c>
      <c r="I26" s="137">
        <v>0</v>
      </c>
      <c r="J26" s="138">
        <v>0</v>
      </c>
      <c r="K26" s="142">
        <f t="shared" si="10"/>
        <v>0</v>
      </c>
      <c r="L26" s="137"/>
      <c r="M26" s="138"/>
      <c r="N26" s="142">
        <f t="shared" si="11"/>
        <v>0</v>
      </c>
      <c r="O26" s="246" t="s">
        <v>849</v>
      </c>
      <c r="P26" s="928">
        <v>67</v>
      </c>
      <c r="R26" s="741"/>
      <c r="S26" s="741"/>
      <c r="T26" s="741"/>
    </row>
    <row r="27" spans="1:20" s="676" customFormat="1" ht="22" customHeight="1">
      <c r="A27" s="325"/>
      <c r="B27" s="843" t="s">
        <v>143</v>
      </c>
      <c r="C27" s="805"/>
      <c r="D27" s="806"/>
      <c r="E27" s="806"/>
      <c r="F27" s="713"/>
      <c r="G27" s="714"/>
      <c r="H27" s="714"/>
      <c r="I27" s="713">
        <v>0</v>
      </c>
      <c r="J27" s="714"/>
      <c r="K27" s="141"/>
      <c r="L27" s="713"/>
      <c r="M27" s="714"/>
      <c r="N27" s="141"/>
      <c r="O27" s="727" t="s">
        <v>791</v>
      </c>
      <c r="P27" s="927"/>
      <c r="R27" s="741"/>
      <c r="S27" s="741"/>
      <c r="T27" s="741"/>
    </row>
    <row r="28" spans="1:20" ht="27" customHeight="1">
      <c r="A28" s="192">
        <v>70</v>
      </c>
      <c r="B28" s="241" t="s">
        <v>784</v>
      </c>
      <c r="C28" s="190"/>
      <c r="D28" s="191"/>
      <c r="E28" s="191">
        <f t="shared" si="8"/>
        <v>0</v>
      </c>
      <c r="F28" s="137"/>
      <c r="G28" s="138"/>
      <c r="H28" s="138">
        <f t="shared" si="9"/>
        <v>0</v>
      </c>
      <c r="I28" s="137">
        <v>0</v>
      </c>
      <c r="J28" s="138">
        <v>278</v>
      </c>
      <c r="K28" s="142">
        <f t="shared" si="10"/>
        <v>278</v>
      </c>
      <c r="L28" s="137"/>
      <c r="M28" s="138"/>
      <c r="N28" s="142">
        <f t="shared" si="11"/>
        <v>0</v>
      </c>
      <c r="O28" s="246" t="s">
        <v>850</v>
      </c>
      <c r="P28" s="879">
        <v>70</v>
      </c>
      <c r="R28" s="17"/>
      <c r="S28" s="17"/>
      <c r="T28" s="17"/>
    </row>
    <row r="29" spans="1:20" s="676" customFormat="1" ht="27" customHeight="1">
      <c r="A29" s="325">
        <v>71</v>
      </c>
      <c r="B29" s="239" t="s">
        <v>792</v>
      </c>
      <c r="C29" s="805"/>
      <c r="D29" s="806"/>
      <c r="E29" s="807">
        <f t="shared" si="8"/>
        <v>0</v>
      </c>
      <c r="F29" s="713"/>
      <c r="G29" s="714"/>
      <c r="H29" s="714">
        <f t="shared" si="9"/>
        <v>0</v>
      </c>
      <c r="I29" s="713">
        <v>0</v>
      </c>
      <c r="J29" s="714">
        <v>256</v>
      </c>
      <c r="K29" s="141">
        <f t="shared" si="10"/>
        <v>256</v>
      </c>
      <c r="L29" s="713"/>
      <c r="M29" s="714"/>
      <c r="N29" s="141">
        <f t="shared" si="11"/>
        <v>0</v>
      </c>
      <c r="O29" s="635" t="s">
        <v>856</v>
      </c>
      <c r="P29" s="927">
        <v>71</v>
      </c>
      <c r="R29" s="741"/>
      <c r="S29" s="741"/>
      <c r="T29" s="741"/>
    </row>
    <row r="30" spans="1:20" ht="27" customHeight="1">
      <c r="A30" s="192">
        <v>72</v>
      </c>
      <c r="B30" s="241" t="s">
        <v>793</v>
      </c>
      <c r="C30" s="190"/>
      <c r="D30" s="191"/>
      <c r="E30" s="556">
        <f t="shared" si="8"/>
        <v>0</v>
      </c>
      <c r="F30" s="137"/>
      <c r="G30" s="138"/>
      <c r="H30" s="138">
        <f t="shared" si="9"/>
        <v>0</v>
      </c>
      <c r="I30" s="137">
        <v>0</v>
      </c>
      <c r="J30" s="138">
        <v>553</v>
      </c>
      <c r="K30" s="142">
        <f t="shared" si="10"/>
        <v>553</v>
      </c>
      <c r="L30" s="137"/>
      <c r="M30" s="138"/>
      <c r="N30" s="142">
        <f t="shared" si="11"/>
        <v>0</v>
      </c>
      <c r="O30" s="246" t="s">
        <v>851</v>
      </c>
      <c r="P30" s="879">
        <v>72</v>
      </c>
      <c r="R30" s="17"/>
      <c r="S30" s="17"/>
      <c r="T30" s="17"/>
    </row>
    <row r="31" spans="1:20" s="676" customFormat="1" ht="27" customHeight="1">
      <c r="A31" s="800">
        <v>73</v>
      </c>
      <c r="B31" s="275" t="s">
        <v>778</v>
      </c>
      <c r="C31" s="808"/>
      <c r="D31" s="809"/>
      <c r="E31" s="810">
        <f>D31+C31</f>
        <v>0</v>
      </c>
      <c r="F31" s="811"/>
      <c r="G31" s="812"/>
      <c r="H31" s="193">
        <f>G31+F31</f>
        <v>0</v>
      </c>
      <c r="I31" s="811">
        <v>0</v>
      </c>
      <c r="J31" s="812">
        <v>228</v>
      </c>
      <c r="K31" s="193">
        <f>J31+I31</f>
        <v>228</v>
      </c>
      <c r="L31" s="811"/>
      <c r="M31" s="812"/>
      <c r="N31" s="193">
        <f>M31+L31</f>
        <v>0</v>
      </c>
      <c r="O31" s="696" t="s">
        <v>852</v>
      </c>
      <c r="P31" s="930">
        <v>73</v>
      </c>
      <c r="Q31" s="676">
        <f>245-271</f>
        <v>-26</v>
      </c>
      <c r="R31" s="641"/>
      <c r="S31" s="641"/>
      <c r="T31" s="741"/>
    </row>
    <row r="32" spans="1:20" ht="28" customHeight="1">
      <c r="A32" s="396">
        <v>74</v>
      </c>
      <c r="B32" s="241" t="s">
        <v>794</v>
      </c>
      <c r="C32" s="190"/>
      <c r="D32" s="191"/>
      <c r="E32" s="191">
        <f>D32+C32</f>
        <v>0</v>
      </c>
      <c r="F32" s="137"/>
      <c r="G32" s="138"/>
      <c r="H32" s="138">
        <f>G32+F32</f>
        <v>0</v>
      </c>
      <c r="I32" s="137">
        <v>0</v>
      </c>
      <c r="J32" s="138">
        <v>265</v>
      </c>
      <c r="K32" s="142">
        <f>J32+I32</f>
        <v>265</v>
      </c>
      <c r="L32" s="137"/>
      <c r="M32" s="138"/>
      <c r="N32" s="142">
        <f>M32+L32</f>
        <v>0</v>
      </c>
      <c r="O32" s="246" t="s">
        <v>853</v>
      </c>
      <c r="P32" s="879">
        <v>74</v>
      </c>
    </row>
    <row r="33" spans="1:17" s="676" customFormat="1" ht="28" customHeight="1">
      <c r="A33" s="797">
        <v>75</v>
      </c>
      <c r="B33" s="239" t="s">
        <v>795</v>
      </c>
      <c r="C33" s="805"/>
      <c r="D33" s="806"/>
      <c r="E33" s="807">
        <f t="shared" ref="E33:E50" si="12">D33+C33</f>
        <v>0</v>
      </c>
      <c r="F33" s="713"/>
      <c r="G33" s="714"/>
      <c r="H33" s="714">
        <f t="shared" ref="H33:H50" si="13">G33+F33</f>
        <v>0</v>
      </c>
      <c r="I33" s="713">
        <v>0</v>
      </c>
      <c r="J33" s="714">
        <v>229</v>
      </c>
      <c r="K33" s="141">
        <f>J33+I33</f>
        <v>229</v>
      </c>
      <c r="L33" s="713"/>
      <c r="M33" s="714"/>
      <c r="N33" s="141">
        <f t="shared" ref="N33:N50" si="14">M33+L33</f>
        <v>0</v>
      </c>
      <c r="O33" s="635" t="s">
        <v>854</v>
      </c>
      <c r="P33" s="927">
        <v>75</v>
      </c>
    </row>
    <row r="34" spans="1:17" ht="28" customHeight="1">
      <c r="A34" s="396">
        <v>76</v>
      </c>
      <c r="B34" s="241" t="s">
        <v>309</v>
      </c>
      <c r="C34" s="190"/>
      <c r="D34" s="191"/>
      <c r="E34" s="191">
        <f t="shared" si="12"/>
        <v>0</v>
      </c>
      <c r="F34" s="137"/>
      <c r="G34" s="138"/>
      <c r="H34" s="138">
        <f t="shared" si="13"/>
        <v>0</v>
      </c>
      <c r="I34" s="137">
        <v>0</v>
      </c>
      <c r="J34" s="138">
        <v>236</v>
      </c>
      <c r="K34" s="142">
        <f t="shared" ref="K34:K50" si="15">J34+I34</f>
        <v>236</v>
      </c>
      <c r="L34" s="137"/>
      <c r="M34" s="138"/>
      <c r="N34" s="142">
        <f t="shared" si="14"/>
        <v>0</v>
      </c>
      <c r="O34" s="246" t="s">
        <v>855</v>
      </c>
      <c r="P34" s="879">
        <v>76</v>
      </c>
    </row>
    <row r="35" spans="1:17" ht="25" customHeight="1">
      <c r="A35" s="325"/>
      <c r="B35" s="843" t="s">
        <v>796</v>
      </c>
      <c r="C35" s="805"/>
      <c r="D35" s="806"/>
      <c r="E35" s="806"/>
      <c r="F35" s="713"/>
      <c r="G35" s="714"/>
      <c r="H35" s="714"/>
      <c r="I35" s="713"/>
      <c r="J35" s="714"/>
      <c r="K35" s="141"/>
      <c r="L35" s="713"/>
      <c r="M35" s="714"/>
      <c r="N35" s="141"/>
      <c r="O35" s="635" t="s">
        <v>857</v>
      </c>
      <c r="P35" s="878"/>
    </row>
    <row r="36" spans="1:17" s="676" customFormat="1" ht="28" customHeight="1">
      <c r="A36" s="192">
        <v>77</v>
      </c>
      <c r="B36" s="240" t="s">
        <v>778</v>
      </c>
      <c r="C36" s="190"/>
      <c r="D36" s="191"/>
      <c r="E36" s="556">
        <f t="shared" si="12"/>
        <v>0</v>
      </c>
      <c r="F36" s="137"/>
      <c r="G36" s="138"/>
      <c r="H36" s="138">
        <f t="shared" si="13"/>
        <v>0</v>
      </c>
      <c r="I36" s="137">
        <v>0</v>
      </c>
      <c r="J36" s="138">
        <v>114</v>
      </c>
      <c r="K36" s="142">
        <f t="shared" si="15"/>
        <v>114</v>
      </c>
      <c r="L36" s="137"/>
      <c r="M36" s="138"/>
      <c r="N36" s="142">
        <f t="shared" si="14"/>
        <v>0</v>
      </c>
      <c r="O36" s="246" t="s">
        <v>797</v>
      </c>
      <c r="P36" s="928">
        <v>77</v>
      </c>
    </row>
    <row r="37" spans="1:17" ht="28" customHeight="1">
      <c r="A37" s="325">
        <v>78</v>
      </c>
      <c r="B37" s="799" t="s">
        <v>798</v>
      </c>
      <c r="C37" s="805"/>
      <c r="D37" s="806"/>
      <c r="E37" s="806">
        <f t="shared" si="12"/>
        <v>0</v>
      </c>
      <c r="F37" s="713"/>
      <c r="G37" s="714"/>
      <c r="H37" s="714">
        <f t="shared" si="13"/>
        <v>0</v>
      </c>
      <c r="I37" s="713">
        <v>0</v>
      </c>
      <c r="J37" s="714">
        <v>0</v>
      </c>
      <c r="K37" s="141">
        <f t="shared" si="15"/>
        <v>0</v>
      </c>
      <c r="L37" s="713"/>
      <c r="M37" s="714"/>
      <c r="N37" s="141">
        <f t="shared" si="14"/>
        <v>0</v>
      </c>
      <c r="O37" s="635" t="s">
        <v>799</v>
      </c>
      <c r="P37" s="878">
        <v>78</v>
      </c>
    </row>
    <row r="38" spans="1:17" s="676" customFormat="1" ht="28" customHeight="1">
      <c r="A38" s="192">
        <v>79</v>
      </c>
      <c r="B38" s="298" t="s">
        <v>800</v>
      </c>
      <c r="C38" s="190"/>
      <c r="D38" s="191"/>
      <c r="E38" s="556">
        <f t="shared" si="12"/>
        <v>0</v>
      </c>
      <c r="F38" s="137"/>
      <c r="G38" s="138"/>
      <c r="H38" s="138">
        <f t="shared" si="13"/>
        <v>0</v>
      </c>
      <c r="I38" s="137">
        <v>0</v>
      </c>
      <c r="J38" s="138">
        <v>0</v>
      </c>
      <c r="K38" s="142">
        <f t="shared" si="15"/>
        <v>0</v>
      </c>
      <c r="L38" s="137"/>
      <c r="M38" s="138"/>
      <c r="N38" s="142">
        <f t="shared" si="14"/>
        <v>0</v>
      </c>
      <c r="O38" s="246" t="s">
        <v>801</v>
      </c>
      <c r="P38" s="928">
        <v>79</v>
      </c>
    </row>
    <row r="39" spans="1:17" ht="28" customHeight="1">
      <c r="A39" s="325">
        <v>80</v>
      </c>
      <c r="B39" s="271" t="s">
        <v>768</v>
      </c>
      <c r="C39" s="805"/>
      <c r="D39" s="806"/>
      <c r="E39" s="806">
        <f t="shared" si="12"/>
        <v>0</v>
      </c>
      <c r="F39" s="713"/>
      <c r="G39" s="714"/>
      <c r="H39" s="714">
        <f t="shared" si="13"/>
        <v>0</v>
      </c>
      <c r="I39" s="713">
        <v>0</v>
      </c>
      <c r="J39" s="714">
        <v>0</v>
      </c>
      <c r="K39" s="141">
        <f t="shared" si="15"/>
        <v>0</v>
      </c>
      <c r="L39" s="713"/>
      <c r="M39" s="714"/>
      <c r="N39" s="141">
        <f t="shared" si="14"/>
        <v>0</v>
      </c>
      <c r="O39" s="635" t="s">
        <v>802</v>
      </c>
      <c r="P39" s="878">
        <v>80</v>
      </c>
    </row>
    <row r="40" spans="1:17" ht="25" customHeight="1">
      <c r="A40" s="396"/>
      <c r="B40" s="622" t="s">
        <v>803</v>
      </c>
      <c r="C40" s="190"/>
      <c r="D40" s="191"/>
      <c r="E40" s="191"/>
      <c r="F40" s="137"/>
      <c r="G40" s="138"/>
      <c r="H40" s="138"/>
      <c r="I40" s="137"/>
      <c r="J40" s="138"/>
      <c r="K40" s="142"/>
      <c r="L40" s="137"/>
      <c r="M40" s="138"/>
      <c r="N40" s="142"/>
      <c r="O40" s="443" t="s">
        <v>858</v>
      </c>
      <c r="P40" s="879"/>
    </row>
    <row r="41" spans="1:17" s="676" customFormat="1" ht="28" customHeight="1">
      <c r="A41" s="797">
        <v>81</v>
      </c>
      <c r="B41" s="239" t="s">
        <v>778</v>
      </c>
      <c r="C41" s="805"/>
      <c r="D41" s="806"/>
      <c r="E41" s="807">
        <f t="shared" si="12"/>
        <v>0</v>
      </c>
      <c r="F41" s="713"/>
      <c r="G41" s="714"/>
      <c r="H41" s="714">
        <f t="shared" si="13"/>
        <v>0</v>
      </c>
      <c r="I41" s="713">
        <v>0</v>
      </c>
      <c r="J41" s="714">
        <v>170</v>
      </c>
      <c r="K41" s="141">
        <f t="shared" si="15"/>
        <v>170</v>
      </c>
      <c r="L41" s="713"/>
      <c r="M41" s="714"/>
      <c r="N41" s="141">
        <f t="shared" si="14"/>
        <v>0</v>
      </c>
      <c r="O41" s="635" t="s">
        <v>859</v>
      </c>
      <c r="P41" s="927">
        <v>81</v>
      </c>
    </row>
    <row r="42" spans="1:17" ht="28" customHeight="1">
      <c r="A42" s="396">
        <v>82</v>
      </c>
      <c r="B42" s="577" t="s">
        <v>804</v>
      </c>
      <c r="C42" s="190"/>
      <c r="D42" s="191"/>
      <c r="E42" s="191">
        <f t="shared" si="12"/>
        <v>0</v>
      </c>
      <c r="F42" s="137"/>
      <c r="G42" s="138"/>
      <c r="H42" s="138">
        <f t="shared" si="13"/>
        <v>0</v>
      </c>
      <c r="I42" s="137">
        <v>0</v>
      </c>
      <c r="J42" s="138">
        <v>189</v>
      </c>
      <c r="K42" s="142">
        <f t="shared" si="15"/>
        <v>189</v>
      </c>
      <c r="L42" s="137"/>
      <c r="M42" s="138"/>
      <c r="N42" s="142">
        <f t="shared" si="14"/>
        <v>0</v>
      </c>
      <c r="O42" s="246" t="s">
        <v>860</v>
      </c>
      <c r="P42" s="879">
        <v>82</v>
      </c>
    </row>
    <row r="43" spans="1:17" ht="25" customHeight="1">
      <c r="A43" s="325"/>
      <c r="B43" s="843" t="s">
        <v>145</v>
      </c>
      <c r="C43" s="805"/>
      <c r="D43" s="806"/>
      <c r="E43" s="806"/>
      <c r="F43" s="713"/>
      <c r="G43" s="714"/>
      <c r="H43" s="714"/>
      <c r="I43" s="713">
        <v>0</v>
      </c>
      <c r="J43" s="714"/>
      <c r="K43" s="141"/>
      <c r="L43" s="713"/>
      <c r="M43" s="714"/>
      <c r="N43" s="141"/>
      <c r="O43" s="635" t="s">
        <v>861</v>
      </c>
      <c r="P43" s="878"/>
    </row>
    <row r="44" spans="1:17" s="676" customFormat="1" ht="28" customHeight="1">
      <c r="A44" s="192">
        <v>83</v>
      </c>
      <c r="B44" s="240" t="s">
        <v>805</v>
      </c>
      <c r="C44" s="190"/>
      <c r="D44" s="191"/>
      <c r="E44" s="556">
        <f t="shared" si="12"/>
        <v>0</v>
      </c>
      <c r="F44" s="137"/>
      <c r="G44" s="138"/>
      <c r="H44" s="138">
        <f t="shared" si="13"/>
        <v>0</v>
      </c>
      <c r="I44" s="137">
        <v>0</v>
      </c>
      <c r="J44" s="138">
        <v>0</v>
      </c>
      <c r="K44" s="142">
        <f t="shared" si="15"/>
        <v>0</v>
      </c>
      <c r="L44" s="137"/>
      <c r="M44" s="138"/>
      <c r="N44" s="142">
        <f t="shared" si="14"/>
        <v>0</v>
      </c>
      <c r="O44" s="246" t="s">
        <v>862</v>
      </c>
      <c r="P44" s="928">
        <v>83</v>
      </c>
    </row>
    <row r="45" spans="1:17" ht="25" customHeight="1">
      <c r="A45" s="325">
        <v>84</v>
      </c>
      <c r="B45" s="271" t="s">
        <v>310</v>
      </c>
      <c r="C45" s="713"/>
      <c r="D45" s="134"/>
      <c r="E45" s="135">
        <f t="shared" si="12"/>
        <v>0</v>
      </c>
      <c r="F45" s="713"/>
      <c r="G45" s="714"/>
      <c r="H45" s="141">
        <f t="shared" si="13"/>
        <v>0</v>
      </c>
      <c r="I45" s="713">
        <v>0</v>
      </c>
      <c r="J45" s="714">
        <v>0</v>
      </c>
      <c r="K45" s="141">
        <f t="shared" si="15"/>
        <v>0</v>
      </c>
      <c r="L45" s="714"/>
      <c r="M45" s="714"/>
      <c r="N45" s="141">
        <f t="shared" si="14"/>
        <v>0</v>
      </c>
      <c r="O45" s="743" t="s">
        <v>29</v>
      </c>
      <c r="P45" s="878">
        <v>84</v>
      </c>
    </row>
    <row r="46" spans="1:17" s="676" customFormat="1" ht="28" customHeight="1">
      <c r="A46" s="192">
        <v>85</v>
      </c>
      <c r="B46" s="241" t="s">
        <v>311</v>
      </c>
      <c r="C46" s="137"/>
      <c r="D46" s="139"/>
      <c r="E46" s="140">
        <f t="shared" si="12"/>
        <v>0</v>
      </c>
      <c r="F46" s="138"/>
      <c r="G46" s="138"/>
      <c r="H46" s="142">
        <f t="shared" si="13"/>
        <v>0</v>
      </c>
      <c r="I46" s="138">
        <v>0</v>
      </c>
      <c r="J46" s="138">
        <v>65</v>
      </c>
      <c r="K46" s="142">
        <f t="shared" si="15"/>
        <v>65</v>
      </c>
      <c r="L46" s="138"/>
      <c r="M46" s="138"/>
      <c r="N46" s="142">
        <f t="shared" si="14"/>
        <v>0</v>
      </c>
      <c r="O46" s="238" t="s">
        <v>863</v>
      </c>
      <c r="P46" s="928">
        <v>85</v>
      </c>
    </row>
    <row r="47" spans="1:17" ht="28" customHeight="1">
      <c r="A47" s="325">
        <v>86</v>
      </c>
      <c r="B47" s="271" t="s">
        <v>312</v>
      </c>
      <c r="C47" s="713"/>
      <c r="D47" s="134"/>
      <c r="E47" s="134">
        <f t="shared" si="12"/>
        <v>0</v>
      </c>
      <c r="F47" s="713"/>
      <c r="G47" s="714"/>
      <c r="H47" s="714">
        <f t="shared" si="13"/>
        <v>0</v>
      </c>
      <c r="I47" s="713">
        <v>0</v>
      </c>
      <c r="J47" s="714">
        <v>129</v>
      </c>
      <c r="K47" s="141">
        <f t="shared" si="15"/>
        <v>129</v>
      </c>
      <c r="L47" s="714"/>
      <c r="M47" s="714"/>
      <c r="N47" s="141">
        <f t="shared" si="14"/>
        <v>0</v>
      </c>
      <c r="O47" s="635" t="s">
        <v>864</v>
      </c>
      <c r="P47" s="878">
        <v>86</v>
      </c>
    </row>
    <row r="48" spans="1:17" s="676" customFormat="1" ht="28" customHeight="1">
      <c r="A48" s="192">
        <v>87</v>
      </c>
      <c r="B48" s="241" t="s">
        <v>313</v>
      </c>
      <c r="C48" s="137"/>
      <c r="D48" s="139"/>
      <c r="E48" s="140">
        <f t="shared" si="12"/>
        <v>0</v>
      </c>
      <c r="F48" s="138"/>
      <c r="G48" s="138"/>
      <c r="H48" s="142">
        <f t="shared" si="13"/>
        <v>0</v>
      </c>
      <c r="I48" s="138">
        <v>0</v>
      </c>
      <c r="J48" s="138">
        <v>102</v>
      </c>
      <c r="K48" s="142">
        <v>102</v>
      </c>
      <c r="L48" s="138"/>
      <c r="M48" s="138"/>
      <c r="N48" s="142">
        <f t="shared" si="14"/>
        <v>0</v>
      </c>
      <c r="O48" s="1000" t="s">
        <v>30</v>
      </c>
      <c r="P48" s="928">
        <v>87</v>
      </c>
      <c r="Q48" s="11"/>
    </row>
    <row r="49" spans="1:17" ht="28" customHeight="1">
      <c r="A49" s="325">
        <v>88</v>
      </c>
      <c r="B49" s="271" t="s">
        <v>314</v>
      </c>
      <c r="C49" s="713"/>
      <c r="D49" s="134"/>
      <c r="E49" s="134">
        <f t="shared" si="12"/>
        <v>0</v>
      </c>
      <c r="F49" s="713"/>
      <c r="G49" s="714"/>
      <c r="H49" s="714">
        <f t="shared" si="13"/>
        <v>0</v>
      </c>
      <c r="I49" s="713">
        <v>0</v>
      </c>
      <c r="J49" s="714">
        <v>200</v>
      </c>
      <c r="K49" s="141">
        <f t="shared" si="15"/>
        <v>200</v>
      </c>
      <c r="L49" s="714"/>
      <c r="M49" s="714"/>
      <c r="N49" s="141">
        <f t="shared" si="14"/>
        <v>0</v>
      </c>
      <c r="O49" s="635" t="s">
        <v>865</v>
      </c>
      <c r="P49" s="878">
        <v>88</v>
      </c>
      <c r="Q49" s="676"/>
    </row>
    <row r="50" spans="1:17" s="676" customFormat="1" ht="25" customHeight="1">
      <c r="A50" s="586">
        <v>89</v>
      </c>
      <c r="B50" s="297" t="s">
        <v>315</v>
      </c>
      <c r="C50" s="364"/>
      <c r="D50" s="365"/>
      <c r="E50" s="366">
        <f t="shared" si="12"/>
        <v>0</v>
      </c>
      <c r="F50" s="367"/>
      <c r="G50" s="367"/>
      <c r="H50" s="368">
        <f t="shared" si="13"/>
        <v>0</v>
      </c>
      <c r="I50" s="367">
        <v>0</v>
      </c>
      <c r="J50" s="367">
        <v>95</v>
      </c>
      <c r="K50" s="368">
        <f t="shared" si="15"/>
        <v>95</v>
      </c>
      <c r="L50" s="367"/>
      <c r="M50" s="367"/>
      <c r="N50" s="368">
        <f t="shared" si="14"/>
        <v>0</v>
      </c>
      <c r="O50" s="293" t="s">
        <v>866</v>
      </c>
      <c r="P50" s="929">
        <v>89</v>
      </c>
      <c r="Q50" s="11"/>
    </row>
    <row r="51" spans="1:17" ht="18.75" customHeight="1">
      <c r="A51" s="1508" t="s">
        <v>753</v>
      </c>
      <c r="B51" s="1508"/>
      <c r="J51" s="168"/>
      <c r="K51" s="168"/>
      <c r="L51" s="1509" t="s">
        <v>745</v>
      </c>
      <c r="M51" s="1509"/>
      <c r="N51" s="1509"/>
      <c r="O51" s="1509"/>
      <c r="P51" s="1509"/>
    </row>
    <row r="52" spans="1:17" s="676" customFormat="1" ht="28" customHeight="1">
      <c r="A52" s="1438" t="s">
        <v>621</v>
      </c>
      <c r="B52" s="1438" t="s">
        <v>286</v>
      </c>
      <c r="C52" s="1320" t="s">
        <v>750</v>
      </c>
      <c r="D52" s="1470"/>
      <c r="E52" s="1449"/>
      <c r="F52" s="1320" t="s">
        <v>744</v>
      </c>
      <c r="G52" s="1470"/>
      <c r="H52" s="1449"/>
      <c r="I52" s="1320" t="s">
        <v>582</v>
      </c>
      <c r="J52" s="1470"/>
      <c r="K52" s="1449"/>
      <c r="L52" s="1320" t="s">
        <v>79</v>
      </c>
      <c r="M52" s="1470"/>
      <c r="N52" s="1449"/>
      <c r="O52" s="1438" t="s">
        <v>709</v>
      </c>
      <c r="P52" s="1471" t="s">
        <v>727</v>
      </c>
    </row>
    <row r="53" spans="1:17" ht="18" customHeight="1">
      <c r="A53" s="1439"/>
      <c r="B53" s="1439"/>
      <c r="C53" s="1280" t="s">
        <v>138</v>
      </c>
      <c r="D53" s="1474"/>
      <c r="E53" s="1475"/>
      <c r="F53" s="1280" t="s">
        <v>655</v>
      </c>
      <c r="G53" s="1474"/>
      <c r="H53" s="1475"/>
      <c r="I53" s="1280" t="s">
        <v>587</v>
      </c>
      <c r="J53" s="1474"/>
      <c r="K53" s="1475"/>
      <c r="L53" s="1280" t="s">
        <v>137</v>
      </c>
      <c r="M53" s="1474"/>
      <c r="N53" s="1475"/>
      <c r="O53" s="1439"/>
      <c r="P53" s="1472"/>
    </row>
    <row r="54" spans="1:17" ht="18" customHeight="1">
      <c r="A54" s="1439"/>
      <c r="B54" s="1439"/>
      <c r="C54" s="1280"/>
      <c r="D54" s="1474"/>
      <c r="E54" s="1475"/>
      <c r="F54" s="1280"/>
      <c r="G54" s="1474"/>
      <c r="H54" s="1475"/>
      <c r="I54" s="1280"/>
      <c r="J54" s="1474"/>
      <c r="K54" s="1475"/>
      <c r="L54" s="1280"/>
      <c r="M54" s="1474"/>
      <c r="N54" s="1475"/>
      <c r="O54" s="1439"/>
      <c r="P54" s="1472"/>
    </row>
    <row r="55" spans="1:17" ht="18" customHeight="1">
      <c r="A55" s="1439"/>
      <c r="B55" s="1439"/>
      <c r="C55" s="1280" t="s">
        <v>583</v>
      </c>
      <c r="D55" s="1474" t="s">
        <v>581</v>
      </c>
      <c r="E55" s="1475" t="s">
        <v>489</v>
      </c>
      <c r="F55" s="1280" t="s">
        <v>583</v>
      </c>
      <c r="G55" s="1474" t="s">
        <v>589</v>
      </c>
      <c r="H55" s="1475" t="s">
        <v>489</v>
      </c>
      <c r="I55" s="1280" t="s">
        <v>583</v>
      </c>
      <c r="J55" s="1474" t="s">
        <v>589</v>
      </c>
      <c r="K55" s="1475" t="s">
        <v>489</v>
      </c>
      <c r="L55" s="1280" t="s">
        <v>583</v>
      </c>
      <c r="M55" s="1474" t="s">
        <v>588</v>
      </c>
      <c r="N55" s="1475" t="s">
        <v>489</v>
      </c>
      <c r="O55" s="1439"/>
      <c r="P55" s="1472"/>
      <c r="Q55" s="676"/>
    </row>
    <row r="56" spans="1:17" ht="21" customHeight="1">
      <c r="A56" s="1439"/>
      <c r="B56" s="1439"/>
      <c r="C56" s="1280"/>
      <c r="D56" s="1474"/>
      <c r="E56" s="1475"/>
      <c r="F56" s="1280"/>
      <c r="G56" s="1474"/>
      <c r="H56" s="1475"/>
      <c r="I56" s="1280"/>
      <c r="J56" s="1474"/>
      <c r="K56" s="1475"/>
      <c r="L56" s="1280"/>
      <c r="M56" s="1474"/>
      <c r="N56" s="1475"/>
      <c r="O56" s="1439"/>
      <c r="P56" s="1472"/>
    </row>
    <row r="57" spans="1:17" ht="18" customHeight="1">
      <c r="A57" s="1462"/>
      <c r="B57" s="1462"/>
      <c r="C57" s="872" t="s">
        <v>133</v>
      </c>
      <c r="D57" s="873" t="s">
        <v>134</v>
      </c>
      <c r="E57" s="893" t="s">
        <v>100</v>
      </c>
      <c r="F57" s="872" t="s">
        <v>133</v>
      </c>
      <c r="G57" s="873" t="s">
        <v>134</v>
      </c>
      <c r="H57" s="893" t="s">
        <v>100</v>
      </c>
      <c r="I57" s="872" t="s">
        <v>133</v>
      </c>
      <c r="J57" s="873" t="s">
        <v>134</v>
      </c>
      <c r="K57" s="893" t="s">
        <v>100</v>
      </c>
      <c r="L57" s="872" t="s">
        <v>133</v>
      </c>
      <c r="M57" s="873" t="s">
        <v>134</v>
      </c>
      <c r="N57" s="893" t="s">
        <v>100</v>
      </c>
      <c r="O57" s="1462"/>
      <c r="P57" s="1473"/>
    </row>
    <row r="58" spans="1:17" ht="30" customHeight="1">
      <c r="A58" s="325">
        <v>90</v>
      </c>
      <c r="B58" s="271" t="s">
        <v>659</v>
      </c>
      <c r="C58" s="713"/>
      <c r="D58" s="134"/>
      <c r="E58" s="134">
        <f>D58+C58</f>
        <v>0</v>
      </c>
      <c r="F58" s="713"/>
      <c r="G58" s="714"/>
      <c r="H58" s="714">
        <f>G58+F58</f>
        <v>0</v>
      </c>
      <c r="I58" s="713">
        <v>0</v>
      </c>
      <c r="J58" s="714">
        <v>50</v>
      </c>
      <c r="K58" s="141">
        <f>J58+I58</f>
        <v>50</v>
      </c>
      <c r="L58" s="714"/>
      <c r="M58" s="714"/>
      <c r="N58" s="141">
        <f>M58+L58</f>
        <v>0</v>
      </c>
      <c r="O58" s="643" t="s">
        <v>867</v>
      </c>
      <c r="P58" s="927">
        <v>90</v>
      </c>
      <c r="Q58" s="676"/>
    </row>
    <row r="59" spans="1:17" ht="30" customHeight="1">
      <c r="A59" s="192">
        <v>91</v>
      </c>
      <c r="B59" s="241" t="s">
        <v>714</v>
      </c>
      <c r="C59" s="137"/>
      <c r="D59" s="139"/>
      <c r="E59" s="140">
        <f>D59+C59</f>
        <v>0</v>
      </c>
      <c r="F59" s="137"/>
      <c r="G59" s="138"/>
      <c r="H59" s="138">
        <f>G59+F59</f>
        <v>0</v>
      </c>
      <c r="I59" s="137">
        <v>0</v>
      </c>
      <c r="J59" s="138">
        <v>20</v>
      </c>
      <c r="K59" s="142">
        <f>J59+I59</f>
        <v>20</v>
      </c>
      <c r="L59" s="138"/>
      <c r="M59" s="138"/>
      <c r="N59" s="142">
        <f>M59+L59</f>
        <v>0</v>
      </c>
      <c r="O59" s="1000" t="s">
        <v>20</v>
      </c>
      <c r="P59" s="928">
        <v>91</v>
      </c>
    </row>
    <row r="60" spans="1:17" ht="30" customHeight="1">
      <c r="A60" s="848"/>
      <c r="B60" s="847" t="s">
        <v>109</v>
      </c>
      <c r="C60" s="990"/>
      <c r="D60" s="991"/>
      <c r="E60" s="993"/>
      <c r="F60" s="990"/>
      <c r="G60" s="991"/>
      <c r="H60" s="992"/>
      <c r="I60" s="990"/>
      <c r="J60" s="991"/>
      <c r="K60" s="992"/>
      <c r="L60" s="990"/>
      <c r="M60" s="991"/>
      <c r="N60" s="992"/>
      <c r="O60" s="771" t="s">
        <v>868</v>
      </c>
      <c r="P60" s="995"/>
    </row>
    <row r="61" spans="1:17" ht="30" customHeight="1">
      <c r="A61" s="396">
        <v>92</v>
      </c>
      <c r="B61" s="241" t="s">
        <v>784</v>
      </c>
      <c r="C61" s="137"/>
      <c r="D61" s="139"/>
      <c r="E61" s="139">
        <f t="shared" ref="E61:E74" si="16">D61+C61</f>
        <v>0</v>
      </c>
      <c r="F61" s="137"/>
      <c r="G61" s="138"/>
      <c r="H61" s="138">
        <f t="shared" ref="H61:H74" si="17">G61+F61</f>
        <v>0</v>
      </c>
      <c r="I61" s="137">
        <v>0</v>
      </c>
      <c r="J61" s="138">
        <v>55</v>
      </c>
      <c r="K61" s="142">
        <f t="shared" ref="K61:K74" si="18">J61+I61</f>
        <v>55</v>
      </c>
      <c r="L61" s="138"/>
      <c r="M61" s="138"/>
      <c r="N61" s="142">
        <f t="shared" ref="N61:N74" si="19">M61+L61</f>
        <v>0</v>
      </c>
      <c r="O61" s="443" t="s">
        <v>21</v>
      </c>
      <c r="P61" s="879">
        <v>92</v>
      </c>
    </row>
    <row r="62" spans="1:17" s="676" customFormat="1" ht="30" customHeight="1">
      <c r="A62" s="797">
        <v>93</v>
      </c>
      <c r="B62" s="271" t="s">
        <v>778</v>
      </c>
      <c r="C62" s="713"/>
      <c r="D62" s="134"/>
      <c r="E62" s="135">
        <f t="shared" si="16"/>
        <v>0</v>
      </c>
      <c r="F62" s="714"/>
      <c r="G62" s="714"/>
      <c r="H62" s="141">
        <f t="shared" si="17"/>
        <v>0</v>
      </c>
      <c r="I62" s="714">
        <v>0</v>
      </c>
      <c r="J62" s="714">
        <v>156</v>
      </c>
      <c r="K62" s="141">
        <f t="shared" si="18"/>
        <v>156</v>
      </c>
      <c r="L62" s="714"/>
      <c r="M62" s="714"/>
      <c r="N62" s="141">
        <f t="shared" si="19"/>
        <v>0</v>
      </c>
      <c r="O62" s="643" t="s">
        <v>869</v>
      </c>
      <c r="P62" s="927">
        <v>93</v>
      </c>
      <c r="Q62" s="11"/>
    </row>
    <row r="63" spans="1:17" ht="30" customHeight="1">
      <c r="A63" s="396">
        <v>94</v>
      </c>
      <c r="B63" s="577" t="s">
        <v>804</v>
      </c>
      <c r="C63" s="137"/>
      <c r="D63" s="139"/>
      <c r="E63" s="139">
        <f t="shared" si="16"/>
        <v>0</v>
      </c>
      <c r="F63" s="137"/>
      <c r="G63" s="138"/>
      <c r="H63" s="138">
        <f t="shared" si="17"/>
        <v>0</v>
      </c>
      <c r="I63" s="137">
        <v>0</v>
      </c>
      <c r="J63" s="138">
        <v>221</v>
      </c>
      <c r="K63" s="142">
        <f t="shared" si="18"/>
        <v>221</v>
      </c>
      <c r="L63" s="138"/>
      <c r="M63" s="138"/>
      <c r="N63" s="142">
        <f t="shared" si="19"/>
        <v>0</v>
      </c>
      <c r="O63" s="246" t="s">
        <v>870</v>
      </c>
      <c r="P63" s="879">
        <v>94</v>
      </c>
    </row>
    <row r="64" spans="1:17" s="676" customFormat="1" ht="30" customHeight="1">
      <c r="A64" s="797">
        <v>95</v>
      </c>
      <c r="B64" s="271" t="s">
        <v>316</v>
      </c>
      <c r="C64" s="713"/>
      <c r="D64" s="134"/>
      <c r="E64" s="135">
        <f t="shared" si="16"/>
        <v>0</v>
      </c>
      <c r="F64" s="714"/>
      <c r="G64" s="714"/>
      <c r="H64" s="141">
        <f t="shared" si="17"/>
        <v>0</v>
      </c>
      <c r="I64" s="714">
        <v>0</v>
      </c>
      <c r="J64" s="714">
        <v>58</v>
      </c>
      <c r="K64" s="141">
        <f t="shared" si="18"/>
        <v>58</v>
      </c>
      <c r="L64" s="714"/>
      <c r="M64" s="714"/>
      <c r="N64" s="141">
        <f t="shared" si="19"/>
        <v>0</v>
      </c>
      <c r="O64" s="643" t="s">
        <v>871</v>
      </c>
      <c r="P64" s="927">
        <v>95</v>
      </c>
    </row>
    <row r="65" spans="1:22" ht="30" customHeight="1">
      <c r="A65" s="396">
        <v>96</v>
      </c>
      <c r="B65" s="241" t="s">
        <v>317</v>
      </c>
      <c r="C65" s="137"/>
      <c r="D65" s="139"/>
      <c r="E65" s="139">
        <f t="shared" si="16"/>
        <v>0</v>
      </c>
      <c r="F65" s="137"/>
      <c r="G65" s="138"/>
      <c r="H65" s="138">
        <f t="shared" si="17"/>
        <v>0</v>
      </c>
      <c r="I65" s="137">
        <v>0</v>
      </c>
      <c r="J65" s="138">
        <v>179</v>
      </c>
      <c r="K65" s="142">
        <f t="shared" si="18"/>
        <v>179</v>
      </c>
      <c r="L65" s="138"/>
      <c r="M65" s="138"/>
      <c r="N65" s="142">
        <f t="shared" si="19"/>
        <v>0</v>
      </c>
      <c r="O65" s="246" t="s">
        <v>872</v>
      </c>
      <c r="P65" s="879">
        <v>96</v>
      </c>
    </row>
    <row r="66" spans="1:22" ht="30" customHeight="1">
      <c r="A66" s="325"/>
      <c r="B66" s="843" t="s">
        <v>110</v>
      </c>
      <c r="C66" s="713"/>
      <c r="D66" s="134"/>
      <c r="E66" s="134"/>
      <c r="F66" s="713"/>
      <c r="G66" s="714"/>
      <c r="H66" s="714"/>
      <c r="I66" s="713"/>
      <c r="J66" s="714"/>
      <c r="K66" s="141"/>
      <c r="L66" s="714"/>
      <c r="M66" s="714"/>
      <c r="N66" s="141"/>
      <c r="O66" s="635" t="s">
        <v>873</v>
      </c>
      <c r="P66" s="878"/>
    </row>
    <row r="67" spans="1:22" s="676" customFormat="1" ht="30" customHeight="1">
      <c r="A67" s="192">
        <v>97</v>
      </c>
      <c r="B67" s="241" t="s">
        <v>784</v>
      </c>
      <c r="C67" s="137"/>
      <c r="D67" s="139"/>
      <c r="E67" s="140">
        <f t="shared" si="16"/>
        <v>0</v>
      </c>
      <c r="F67" s="138"/>
      <c r="G67" s="138"/>
      <c r="H67" s="142">
        <f t="shared" si="17"/>
        <v>0</v>
      </c>
      <c r="I67" s="138">
        <v>0</v>
      </c>
      <c r="J67" s="138">
        <v>83</v>
      </c>
      <c r="K67" s="142">
        <f t="shared" si="18"/>
        <v>83</v>
      </c>
      <c r="L67" s="138"/>
      <c r="M67" s="138"/>
      <c r="N67" s="142">
        <f t="shared" si="19"/>
        <v>0</v>
      </c>
      <c r="O67" s="1000" t="s">
        <v>31</v>
      </c>
      <c r="P67" s="928">
        <v>97</v>
      </c>
    </row>
    <row r="68" spans="1:22" ht="30" customHeight="1">
      <c r="A68" s="325">
        <v>98</v>
      </c>
      <c r="B68" s="271" t="s">
        <v>778</v>
      </c>
      <c r="C68" s="713"/>
      <c r="D68" s="134"/>
      <c r="E68" s="134">
        <f t="shared" si="16"/>
        <v>0</v>
      </c>
      <c r="F68" s="713"/>
      <c r="G68" s="714"/>
      <c r="H68" s="714">
        <f t="shared" si="17"/>
        <v>0</v>
      </c>
      <c r="I68" s="713">
        <v>0</v>
      </c>
      <c r="J68" s="714">
        <v>85</v>
      </c>
      <c r="K68" s="141">
        <f t="shared" si="18"/>
        <v>85</v>
      </c>
      <c r="L68" s="714"/>
      <c r="M68" s="714"/>
      <c r="N68" s="141">
        <f t="shared" si="19"/>
        <v>0</v>
      </c>
      <c r="O68" s="635" t="s">
        <v>874</v>
      </c>
      <c r="P68" s="878">
        <v>98</v>
      </c>
    </row>
    <row r="69" spans="1:22" s="676" customFormat="1" ht="30" customHeight="1">
      <c r="A69" s="192">
        <v>99</v>
      </c>
      <c r="B69" s="240" t="s">
        <v>780</v>
      </c>
      <c r="C69" s="137"/>
      <c r="D69" s="139"/>
      <c r="E69" s="140">
        <f t="shared" si="16"/>
        <v>0</v>
      </c>
      <c r="F69" s="138"/>
      <c r="G69" s="138"/>
      <c r="H69" s="142">
        <f t="shared" si="17"/>
        <v>0</v>
      </c>
      <c r="I69" s="137">
        <v>0</v>
      </c>
      <c r="J69" s="138">
        <f>452-83</f>
        <v>369</v>
      </c>
      <c r="K69" s="142">
        <f t="shared" si="18"/>
        <v>369</v>
      </c>
      <c r="L69" s="138"/>
      <c r="M69" s="138"/>
      <c r="N69" s="142">
        <f t="shared" si="19"/>
        <v>0</v>
      </c>
      <c r="O69" s="238" t="s">
        <v>875</v>
      </c>
      <c r="P69" s="928">
        <v>99</v>
      </c>
      <c r="R69" s="11"/>
    </row>
    <row r="70" spans="1:22" ht="30" customHeight="1">
      <c r="A70" s="325">
        <v>100</v>
      </c>
      <c r="B70" s="239" t="s">
        <v>318</v>
      </c>
      <c r="C70" s="713"/>
      <c r="D70" s="134"/>
      <c r="E70" s="135">
        <f t="shared" si="16"/>
        <v>0</v>
      </c>
      <c r="F70" s="713"/>
      <c r="G70" s="714"/>
      <c r="H70" s="714">
        <f t="shared" si="17"/>
        <v>0</v>
      </c>
      <c r="I70" s="713">
        <v>0</v>
      </c>
      <c r="J70" s="714">
        <v>0</v>
      </c>
      <c r="K70" s="141">
        <f t="shared" si="18"/>
        <v>0</v>
      </c>
      <c r="L70" s="713"/>
      <c r="M70" s="714"/>
      <c r="N70" s="141">
        <f t="shared" si="19"/>
        <v>0</v>
      </c>
      <c r="O70" s="248" t="s">
        <v>876</v>
      </c>
      <c r="P70" s="878">
        <v>100</v>
      </c>
    </row>
    <row r="71" spans="1:22" ht="30" customHeight="1">
      <c r="A71" s="396"/>
      <c r="B71" s="490" t="s">
        <v>111</v>
      </c>
      <c r="C71" s="137"/>
      <c r="D71" s="139"/>
      <c r="E71" s="140"/>
      <c r="F71" s="137"/>
      <c r="G71" s="138"/>
      <c r="H71" s="138"/>
      <c r="I71" s="137"/>
      <c r="J71" s="138"/>
      <c r="K71" s="142"/>
      <c r="L71" s="137"/>
      <c r="M71" s="138"/>
      <c r="N71" s="142"/>
      <c r="O71" s="247" t="s">
        <v>877</v>
      </c>
      <c r="P71" s="879"/>
    </row>
    <row r="72" spans="1:22" s="676" customFormat="1" ht="30" customHeight="1">
      <c r="A72" s="797">
        <v>101</v>
      </c>
      <c r="B72" s="239" t="s">
        <v>806</v>
      </c>
      <c r="C72" s="713"/>
      <c r="D72" s="134"/>
      <c r="E72" s="135">
        <f t="shared" si="16"/>
        <v>0</v>
      </c>
      <c r="F72" s="713"/>
      <c r="G72" s="714"/>
      <c r="H72" s="714">
        <f t="shared" si="17"/>
        <v>0</v>
      </c>
      <c r="I72" s="713"/>
      <c r="J72" s="714">
        <v>125</v>
      </c>
      <c r="K72" s="141">
        <f t="shared" si="18"/>
        <v>125</v>
      </c>
      <c r="L72" s="713"/>
      <c r="M72" s="714"/>
      <c r="N72" s="141">
        <f t="shared" si="19"/>
        <v>0</v>
      </c>
      <c r="O72" s="248" t="s">
        <v>878</v>
      </c>
      <c r="P72" s="927">
        <v>101</v>
      </c>
    </row>
    <row r="73" spans="1:22" ht="30" customHeight="1">
      <c r="A73" s="396">
        <v>102</v>
      </c>
      <c r="B73" s="240" t="s">
        <v>319</v>
      </c>
      <c r="C73" s="137"/>
      <c r="D73" s="139"/>
      <c r="E73" s="140">
        <f t="shared" si="16"/>
        <v>0</v>
      </c>
      <c r="F73" s="137"/>
      <c r="G73" s="138"/>
      <c r="H73" s="138">
        <f t="shared" si="17"/>
        <v>0</v>
      </c>
      <c r="I73" s="137"/>
      <c r="J73" s="138">
        <v>0</v>
      </c>
      <c r="K73" s="142">
        <f t="shared" si="18"/>
        <v>0</v>
      </c>
      <c r="L73" s="137"/>
      <c r="M73" s="138"/>
      <c r="N73" s="142">
        <f t="shared" si="19"/>
        <v>0</v>
      </c>
      <c r="O73" s="247" t="s">
        <v>879</v>
      </c>
      <c r="P73" s="879">
        <v>102</v>
      </c>
    </row>
    <row r="74" spans="1:22" s="676" customFormat="1" ht="30" customHeight="1">
      <c r="A74" s="800">
        <v>103</v>
      </c>
      <c r="B74" s="275" t="s">
        <v>320</v>
      </c>
      <c r="C74" s="811"/>
      <c r="D74" s="194"/>
      <c r="E74" s="195">
        <f t="shared" si="16"/>
        <v>0</v>
      </c>
      <c r="F74" s="811"/>
      <c r="G74" s="812"/>
      <c r="H74" s="812">
        <f t="shared" si="17"/>
        <v>0</v>
      </c>
      <c r="I74" s="811"/>
      <c r="J74" s="812">
        <v>60</v>
      </c>
      <c r="K74" s="193">
        <f t="shared" si="18"/>
        <v>60</v>
      </c>
      <c r="L74" s="811"/>
      <c r="M74" s="812"/>
      <c r="N74" s="193">
        <f t="shared" si="19"/>
        <v>0</v>
      </c>
      <c r="O74" s="1014" t="s">
        <v>32</v>
      </c>
      <c r="P74" s="930">
        <v>103</v>
      </c>
      <c r="R74" s="11"/>
    </row>
    <row r="75" spans="1:22" ht="24" customHeight="1">
      <c r="A75" s="192"/>
      <c r="B75" s="490" t="s">
        <v>112</v>
      </c>
      <c r="C75" s="137"/>
      <c r="D75" s="139"/>
      <c r="E75" s="140"/>
      <c r="F75" s="137"/>
      <c r="G75" s="138"/>
      <c r="H75" s="138"/>
      <c r="I75" s="137"/>
      <c r="J75" s="138"/>
      <c r="K75" s="142"/>
      <c r="L75" s="137"/>
      <c r="M75" s="138"/>
      <c r="N75" s="142"/>
      <c r="O75" s="607" t="s">
        <v>880</v>
      </c>
      <c r="P75" s="928"/>
    </row>
    <row r="76" spans="1:22" s="676" customFormat="1" ht="24" customHeight="1">
      <c r="A76" s="325">
        <v>104</v>
      </c>
      <c r="B76" s="239" t="s">
        <v>780</v>
      </c>
      <c r="C76" s="713"/>
      <c r="D76" s="134"/>
      <c r="E76" s="135">
        <f>D76+C76</f>
        <v>0</v>
      </c>
      <c r="F76" s="713"/>
      <c r="G76" s="714"/>
      <c r="H76" s="714">
        <f>G76+F76</f>
        <v>0</v>
      </c>
      <c r="I76" s="713"/>
      <c r="J76" s="714">
        <v>48</v>
      </c>
      <c r="K76" s="141">
        <f>J76+I76</f>
        <v>48</v>
      </c>
      <c r="L76" s="713"/>
      <c r="M76" s="714"/>
      <c r="N76" s="141">
        <f>M76+L76</f>
        <v>0</v>
      </c>
      <c r="O76" s="248" t="s">
        <v>881</v>
      </c>
      <c r="P76" s="878">
        <v>104</v>
      </c>
      <c r="V76" s="676" t="s">
        <v>15</v>
      </c>
    </row>
    <row r="77" spans="1:22" ht="28" customHeight="1">
      <c r="A77" s="192">
        <v>105</v>
      </c>
      <c r="B77" s="240" t="s">
        <v>804</v>
      </c>
      <c r="C77" s="137"/>
      <c r="D77" s="139"/>
      <c r="E77" s="140">
        <f>D77+C77</f>
        <v>0</v>
      </c>
      <c r="F77" s="137"/>
      <c r="G77" s="138"/>
      <c r="H77" s="138">
        <f>G77+F77</f>
        <v>0</v>
      </c>
      <c r="I77" s="137"/>
      <c r="J77" s="138">
        <v>240</v>
      </c>
      <c r="K77" s="142">
        <f>J77+I77</f>
        <v>240</v>
      </c>
      <c r="L77" s="137"/>
      <c r="M77" s="138"/>
      <c r="N77" s="142">
        <f>M77+L77</f>
        <v>0</v>
      </c>
      <c r="O77" s="247" t="s">
        <v>882</v>
      </c>
      <c r="P77" s="928">
        <v>105</v>
      </c>
    </row>
    <row r="78" spans="1:22" ht="28" customHeight="1">
      <c r="A78" s="325">
        <v>106</v>
      </c>
      <c r="B78" s="239" t="s">
        <v>784</v>
      </c>
      <c r="C78" s="713"/>
      <c r="D78" s="134"/>
      <c r="E78" s="135">
        <f>D78+C78</f>
        <v>0</v>
      </c>
      <c r="F78" s="713"/>
      <c r="G78" s="714"/>
      <c r="H78" s="714">
        <f>G78+F78</f>
        <v>0</v>
      </c>
      <c r="I78" s="713"/>
      <c r="J78" s="714">
        <v>45</v>
      </c>
      <c r="K78" s="141">
        <f>J78+I78</f>
        <v>45</v>
      </c>
      <c r="L78" s="713"/>
      <c r="M78" s="714"/>
      <c r="N78" s="141">
        <f>M78+L78</f>
        <v>0</v>
      </c>
      <c r="O78" s="248" t="s">
        <v>883</v>
      </c>
      <c r="P78" s="878">
        <v>106</v>
      </c>
    </row>
    <row r="79" spans="1:22" ht="28" customHeight="1">
      <c r="A79" s="192">
        <v>107</v>
      </c>
      <c r="B79" s="240" t="s">
        <v>321</v>
      </c>
      <c r="C79" s="137"/>
      <c r="D79" s="139"/>
      <c r="E79" s="140">
        <f>D79+C79</f>
        <v>0</v>
      </c>
      <c r="F79" s="137"/>
      <c r="G79" s="138"/>
      <c r="H79" s="138">
        <f>G79+F79</f>
        <v>0</v>
      </c>
      <c r="I79" s="137">
        <v>0</v>
      </c>
      <c r="J79" s="138">
        <v>0</v>
      </c>
      <c r="K79" s="142">
        <f>J79+I79</f>
        <v>0</v>
      </c>
      <c r="L79" s="137"/>
      <c r="M79" s="138"/>
      <c r="N79" s="142">
        <f>M79+L79</f>
        <v>0</v>
      </c>
      <c r="O79" s="247" t="s">
        <v>884</v>
      </c>
      <c r="P79" s="928">
        <v>107</v>
      </c>
    </row>
    <row r="80" spans="1:22" ht="28" customHeight="1">
      <c r="A80" s="325">
        <v>108</v>
      </c>
      <c r="B80" s="239" t="s">
        <v>322</v>
      </c>
      <c r="C80" s="713"/>
      <c r="D80" s="134"/>
      <c r="E80" s="135">
        <f>D80+C80</f>
        <v>0</v>
      </c>
      <c r="F80" s="713"/>
      <c r="G80" s="714"/>
      <c r="H80" s="714">
        <f>G80+F80</f>
        <v>0</v>
      </c>
      <c r="I80" s="713">
        <v>0</v>
      </c>
      <c r="J80" s="714">
        <v>0</v>
      </c>
      <c r="K80" s="141">
        <f>J80+I80</f>
        <v>0</v>
      </c>
      <c r="L80" s="713"/>
      <c r="M80" s="714"/>
      <c r="N80" s="141">
        <f>M80+L80</f>
        <v>0</v>
      </c>
      <c r="O80" s="248" t="s">
        <v>885</v>
      </c>
      <c r="P80" s="878">
        <v>108</v>
      </c>
    </row>
    <row r="81" spans="1:17" ht="24" customHeight="1">
      <c r="A81" s="396"/>
      <c r="B81" s="490" t="s">
        <v>113</v>
      </c>
      <c r="C81" s="137"/>
      <c r="D81" s="139"/>
      <c r="E81" s="140"/>
      <c r="F81" s="137"/>
      <c r="G81" s="138"/>
      <c r="H81" s="138"/>
      <c r="I81" s="137"/>
      <c r="J81" s="138"/>
      <c r="K81" s="142"/>
      <c r="L81" s="137"/>
      <c r="M81" s="138"/>
      <c r="N81" s="142"/>
      <c r="O81" s="607" t="s">
        <v>33</v>
      </c>
      <c r="P81" s="879"/>
    </row>
    <row r="82" spans="1:17" ht="24" customHeight="1">
      <c r="A82" s="797">
        <v>109</v>
      </c>
      <c r="B82" s="239" t="s">
        <v>793</v>
      </c>
      <c r="C82" s="713"/>
      <c r="D82" s="134"/>
      <c r="E82" s="135">
        <f>D82+C82</f>
        <v>0</v>
      </c>
      <c r="F82" s="713"/>
      <c r="G82" s="714"/>
      <c r="H82" s="714">
        <f>G82+F82</f>
        <v>0</v>
      </c>
      <c r="I82" s="713">
        <v>0</v>
      </c>
      <c r="J82" s="714">
        <v>0</v>
      </c>
      <c r="K82" s="141">
        <f>J82+I82</f>
        <v>0</v>
      </c>
      <c r="L82" s="713"/>
      <c r="M82" s="714"/>
      <c r="N82" s="141">
        <f>M82+L82</f>
        <v>0</v>
      </c>
      <c r="O82" s="643" t="s">
        <v>886</v>
      </c>
      <c r="P82" s="927">
        <v>109</v>
      </c>
    </row>
    <row r="83" spans="1:17" ht="28" customHeight="1">
      <c r="A83" s="396">
        <v>110</v>
      </c>
      <c r="B83" s="298" t="s">
        <v>807</v>
      </c>
      <c r="C83" s="137"/>
      <c r="D83" s="139"/>
      <c r="E83" s="140">
        <f t="shared" ref="E83:E85" si="20">D83+C83</f>
        <v>0</v>
      </c>
      <c r="F83" s="137"/>
      <c r="G83" s="138"/>
      <c r="H83" s="142">
        <f t="shared" ref="H83:H93" si="21">G83+F83</f>
        <v>0</v>
      </c>
      <c r="I83" s="137">
        <v>0</v>
      </c>
      <c r="J83" s="138">
        <v>0</v>
      </c>
      <c r="K83" s="142">
        <f t="shared" ref="K83:K93" si="22">J83+I83</f>
        <v>0</v>
      </c>
      <c r="L83" s="137"/>
      <c r="M83" s="138"/>
      <c r="N83" s="142">
        <f t="shared" ref="N83:N93" si="23">M83+L83</f>
        <v>0</v>
      </c>
      <c r="O83" s="247" t="s">
        <v>887</v>
      </c>
      <c r="P83" s="879">
        <v>110</v>
      </c>
    </row>
    <row r="84" spans="1:17" s="676" customFormat="1" ht="28" customHeight="1">
      <c r="A84" s="797">
        <v>111</v>
      </c>
      <c r="B84" s="239" t="s">
        <v>778</v>
      </c>
      <c r="C84" s="713"/>
      <c r="D84" s="134"/>
      <c r="E84" s="135">
        <f t="shared" si="20"/>
        <v>0</v>
      </c>
      <c r="F84" s="713"/>
      <c r="G84" s="714"/>
      <c r="H84" s="714">
        <f t="shared" si="21"/>
        <v>0</v>
      </c>
      <c r="I84" s="713"/>
      <c r="J84" s="714">
        <v>142</v>
      </c>
      <c r="K84" s="141">
        <f t="shared" si="22"/>
        <v>142</v>
      </c>
      <c r="L84" s="713"/>
      <c r="M84" s="714"/>
      <c r="N84" s="141">
        <f t="shared" si="23"/>
        <v>0</v>
      </c>
      <c r="O84" s="248" t="s">
        <v>888</v>
      </c>
      <c r="P84" s="927">
        <v>111</v>
      </c>
    </row>
    <row r="85" spans="1:17" ht="28" customHeight="1">
      <c r="A85" s="396">
        <v>112</v>
      </c>
      <c r="B85" s="240" t="s">
        <v>784</v>
      </c>
      <c r="C85" s="137"/>
      <c r="D85" s="139"/>
      <c r="E85" s="140">
        <f t="shared" si="20"/>
        <v>0</v>
      </c>
      <c r="F85" s="137"/>
      <c r="G85" s="138"/>
      <c r="H85" s="138">
        <f t="shared" si="21"/>
        <v>0</v>
      </c>
      <c r="I85" s="137"/>
      <c r="J85" s="138">
        <v>56</v>
      </c>
      <c r="K85" s="142">
        <f t="shared" si="22"/>
        <v>56</v>
      </c>
      <c r="L85" s="137"/>
      <c r="M85" s="138"/>
      <c r="N85" s="142">
        <f t="shared" si="23"/>
        <v>0</v>
      </c>
      <c r="O85" s="238" t="s">
        <v>889</v>
      </c>
      <c r="P85" s="879">
        <v>112</v>
      </c>
    </row>
    <row r="86" spans="1:17" s="676" customFormat="1" ht="28" customHeight="1">
      <c r="A86" s="797">
        <v>113</v>
      </c>
      <c r="B86" s="271" t="s">
        <v>808</v>
      </c>
      <c r="C86" s="713"/>
      <c r="D86" s="134"/>
      <c r="E86" s="135">
        <f>D86+C86</f>
        <v>0</v>
      </c>
      <c r="F86" s="713"/>
      <c r="G86" s="714"/>
      <c r="H86" s="141">
        <f t="shared" si="21"/>
        <v>0</v>
      </c>
      <c r="I86" s="713"/>
      <c r="J86" s="714">
        <v>0</v>
      </c>
      <c r="K86" s="141">
        <f t="shared" si="22"/>
        <v>0</v>
      </c>
      <c r="L86" s="713"/>
      <c r="M86" s="714"/>
      <c r="N86" s="141">
        <f t="shared" si="23"/>
        <v>0</v>
      </c>
      <c r="O86" s="643" t="s">
        <v>890</v>
      </c>
      <c r="P86" s="927">
        <v>113</v>
      </c>
    </row>
    <row r="87" spans="1:17" ht="28" customHeight="1">
      <c r="A87" s="396">
        <v>114</v>
      </c>
      <c r="B87" s="241" t="s">
        <v>809</v>
      </c>
      <c r="C87" s="137"/>
      <c r="D87" s="139"/>
      <c r="E87" s="140">
        <f>D87+C87</f>
        <v>0</v>
      </c>
      <c r="F87" s="137"/>
      <c r="G87" s="138"/>
      <c r="H87" s="142">
        <f t="shared" si="21"/>
        <v>0</v>
      </c>
      <c r="I87" s="137"/>
      <c r="J87" s="138">
        <v>0</v>
      </c>
      <c r="K87" s="142">
        <f t="shared" si="22"/>
        <v>0</v>
      </c>
      <c r="L87" s="137"/>
      <c r="M87" s="138"/>
      <c r="N87" s="142">
        <f t="shared" si="23"/>
        <v>0</v>
      </c>
      <c r="O87" s="246" t="s">
        <v>810</v>
      </c>
      <c r="P87" s="879">
        <v>114</v>
      </c>
    </row>
    <row r="88" spans="1:17" s="676" customFormat="1" ht="28" customHeight="1">
      <c r="A88" s="797">
        <v>115</v>
      </c>
      <c r="B88" s="271" t="s">
        <v>811</v>
      </c>
      <c r="C88" s="713"/>
      <c r="D88" s="134"/>
      <c r="E88" s="135">
        <f>D88+C88</f>
        <v>0</v>
      </c>
      <c r="F88" s="713"/>
      <c r="G88" s="714"/>
      <c r="H88" s="141">
        <f t="shared" si="21"/>
        <v>0</v>
      </c>
      <c r="I88" s="713"/>
      <c r="J88" s="714">
        <v>0</v>
      </c>
      <c r="K88" s="141">
        <f t="shared" si="22"/>
        <v>0</v>
      </c>
      <c r="L88" s="713"/>
      <c r="M88" s="714"/>
      <c r="N88" s="141">
        <f t="shared" si="23"/>
        <v>0</v>
      </c>
      <c r="O88" s="643" t="s">
        <v>891</v>
      </c>
      <c r="P88" s="927">
        <v>115</v>
      </c>
    </row>
    <row r="89" spans="1:17" ht="28" customHeight="1">
      <c r="A89" s="396">
        <v>116</v>
      </c>
      <c r="B89" s="241" t="s">
        <v>812</v>
      </c>
      <c r="C89" s="137"/>
      <c r="D89" s="139"/>
      <c r="E89" s="140">
        <f>D89+C89</f>
        <v>0</v>
      </c>
      <c r="F89" s="137"/>
      <c r="G89" s="138"/>
      <c r="H89" s="142">
        <f t="shared" si="21"/>
        <v>0</v>
      </c>
      <c r="I89" s="137"/>
      <c r="J89" s="138">
        <v>0</v>
      </c>
      <c r="K89" s="142">
        <f t="shared" si="22"/>
        <v>0</v>
      </c>
      <c r="L89" s="137"/>
      <c r="M89" s="138"/>
      <c r="N89" s="142">
        <f t="shared" si="23"/>
        <v>0</v>
      </c>
      <c r="O89" s="246" t="s">
        <v>892</v>
      </c>
      <c r="P89" s="879">
        <v>116</v>
      </c>
    </row>
    <row r="90" spans="1:17" s="676" customFormat="1" ht="28" customHeight="1">
      <c r="A90" s="797">
        <v>117</v>
      </c>
      <c r="B90" s="271" t="s">
        <v>813</v>
      </c>
      <c r="C90" s="713"/>
      <c r="D90" s="134"/>
      <c r="E90" s="135">
        <v>0</v>
      </c>
      <c r="F90" s="713"/>
      <c r="G90" s="714"/>
      <c r="H90" s="141">
        <f t="shared" si="21"/>
        <v>0</v>
      </c>
      <c r="I90" s="713"/>
      <c r="J90" s="714">
        <v>0</v>
      </c>
      <c r="K90" s="141">
        <f t="shared" si="22"/>
        <v>0</v>
      </c>
      <c r="L90" s="713"/>
      <c r="M90" s="714"/>
      <c r="N90" s="141">
        <f t="shared" si="23"/>
        <v>0</v>
      </c>
      <c r="O90" s="643" t="s">
        <v>893</v>
      </c>
      <c r="P90" s="927">
        <v>117</v>
      </c>
    </row>
    <row r="91" spans="1:17" s="676" customFormat="1" ht="24" customHeight="1">
      <c r="A91" s="192"/>
      <c r="B91" s="622" t="s">
        <v>763</v>
      </c>
      <c r="C91" s="137"/>
      <c r="D91" s="139"/>
      <c r="E91" s="140"/>
      <c r="F91" s="137"/>
      <c r="G91" s="138"/>
      <c r="H91" s="142"/>
      <c r="I91" s="137"/>
      <c r="J91" s="138"/>
      <c r="K91" s="142"/>
      <c r="L91" s="137"/>
      <c r="M91" s="138"/>
      <c r="N91" s="142"/>
      <c r="O91" s="246" t="s">
        <v>894</v>
      </c>
      <c r="P91" s="928"/>
    </row>
    <row r="92" spans="1:17" ht="28" customHeight="1">
      <c r="A92" s="325">
        <v>118</v>
      </c>
      <c r="B92" s="271" t="s">
        <v>815</v>
      </c>
      <c r="C92" s="713"/>
      <c r="D92" s="134"/>
      <c r="E92" s="135">
        <f>D92+C92</f>
        <v>0</v>
      </c>
      <c r="F92" s="713"/>
      <c r="G92" s="714"/>
      <c r="H92" s="141">
        <f t="shared" si="21"/>
        <v>0</v>
      </c>
      <c r="I92" s="713"/>
      <c r="J92" s="714">
        <v>214</v>
      </c>
      <c r="K92" s="141">
        <f t="shared" si="22"/>
        <v>214</v>
      </c>
      <c r="L92" s="713"/>
      <c r="M92" s="714"/>
      <c r="N92" s="141">
        <f t="shared" si="23"/>
        <v>0</v>
      </c>
      <c r="O92" s="635" t="s">
        <v>895</v>
      </c>
      <c r="P92" s="878">
        <v>118</v>
      </c>
      <c r="Q92" s="11" t="s">
        <v>34</v>
      </c>
    </row>
    <row r="93" spans="1:17" s="676" customFormat="1" ht="28" customHeight="1">
      <c r="A93" s="586">
        <v>119</v>
      </c>
      <c r="B93" s="297" t="s">
        <v>816</v>
      </c>
      <c r="C93" s="364"/>
      <c r="D93" s="365"/>
      <c r="E93" s="366">
        <f>D93+C93</f>
        <v>0</v>
      </c>
      <c r="F93" s="364"/>
      <c r="G93" s="367"/>
      <c r="H93" s="368">
        <f t="shared" si="21"/>
        <v>0</v>
      </c>
      <c r="I93" s="364"/>
      <c r="J93" s="367">
        <v>0</v>
      </c>
      <c r="K93" s="368">
        <f t="shared" si="22"/>
        <v>0</v>
      </c>
      <c r="L93" s="364"/>
      <c r="M93" s="367"/>
      <c r="N93" s="368">
        <f t="shared" si="23"/>
        <v>0</v>
      </c>
      <c r="O93" s="293" t="s">
        <v>34</v>
      </c>
      <c r="P93" s="929">
        <v>119</v>
      </c>
    </row>
    <row r="94" spans="1:17" ht="22" customHeight="1">
      <c r="A94" s="1508" t="s">
        <v>753</v>
      </c>
      <c r="B94" s="1508"/>
      <c r="C94" s="157"/>
      <c r="D94" s="157"/>
      <c r="E94" s="157"/>
      <c r="F94" s="168"/>
      <c r="G94" s="168"/>
      <c r="H94" s="168"/>
      <c r="I94" s="168"/>
      <c r="J94" s="168"/>
      <c r="K94" s="168"/>
      <c r="L94" s="1509" t="s">
        <v>746</v>
      </c>
      <c r="M94" s="1509"/>
      <c r="N94" s="1509"/>
      <c r="O94" s="1509"/>
      <c r="P94" s="1509"/>
    </row>
    <row r="95" spans="1:17" ht="22" customHeight="1">
      <c r="A95" s="1438" t="s">
        <v>621</v>
      </c>
      <c r="B95" s="1468" t="s">
        <v>286</v>
      </c>
      <c r="C95" s="1320" t="s">
        <v>750</v>
      </c>
      <c r="D95" s="1470"/>
      <c r="E95" s="1470"/>
      <c r="F95" s="1479" t="s">
        <v>744</v>
      </c>
      <c r="G95" s="1510"/>
      <c r="H95" s="1481"/>
      <c r="I95" s="1479" t="s">
        <v>582</v>
      </c>
      <c r="J95" s="1510"/>
      <c r="K95" s="1481"/>
      <c r="L95" s="1479" t="s">
        <v>79</v>
      </c>
      <c r="M95" s="1510"/>
      <c r="N95" s="1481"/>
      <c r="O95" s="1438" t="s">
        <v>709</v>
      </c>
      <c r="P95" s="1471" t="s">
        <v>727</v>
      </c>
    </row>
    <row r="96" spans="1:17" s="676" customFormat="1" ht="22" customHeight="1">
      <c r="A96" s="1439"/>
      <c r="B96" s="1468"/>
      <c r="C96" s="1280"/>
      <c r="D96" s="1474"/>
      <c r="E96" s="1474"/>
      <c r="F96" s="1503"/>
      <c r="G96" s="1504"/>
      <c r="H96" s="1515"/>
      <c r="I96" s="1503"/>
      <c r="J96" s="1504"/>
      <c r="K96" s="1515"/>
      <c r="L96" s="1503"/>
      <c r="M96" s="1504"/>
      <c r="N96" s="1515"/>
      <c r="O96" s="1439"/>
      <c r="P96" s="1472"/>
    </row>
    <row r="97" spans="1:40" ht="28" customHeight="1">
      <c r="A97" s="1439"/>
      <c r="B97" s="1468"/>
      <c r="C97" s="1280" t="s">
        <v>138</v>
      </c>
      <c r="D97" s="1474"/>
      <c r="E97" s="1474"/>
      <c r="F97" s="1503" t="s">
        <v>655</v>
      </c>
      <c r="G97" s="1504"/>
      <c r="H97" s="1515"/>
      <c r="I97" s="1503" t="s">
        <v>587</v>
      </c>
      <c r="J97" s="1504"/>
      <c r="K97" s="1515"/>
      <c r="L97" s="1503" t="s">
        <v>137</v>
      </c>
      <c r="M97" s="1504"/>
      <c r="N97" s="1515"/>
      <c r="O97" s="1439"/>
      <c r="P97" s="1472"/>
    </row>
    <row r="98" spans="1:40" ht="22" customHeight="1">
      <c r="A98" s="1439"/>
      <c r="B98" s="1468"/>
      <c r="C98" s="1280" t="s">
        <v>583</v>
      </c>
      <c r="D98" s="1474" t="s">
        <v>581</v>
      </c>
      <c r="E98" s="1474" t="s">
        <v>489</v>
      </c>
      <c r="F98" s="1280" t="s">
        <v>583</v>
      </c>
      <c r="G98" s="1474" t="s">
        <v>589</v>
      </c>
      <c r="H98" s="1475" t="s">
        <v>489</v>
      </c>
      <c r="I98" s="1280" t="s">
        <v>583</v>
      </c>
      <c r="J98" s="1474" t="s">
        <v>589</v>
      </c>
      <c r="K98" s="1475" t="s">
        <v>489</v>
      </c>
      <c r="L98" s="1280" t="s">
        <v>583</v>
      </c>
      <c r="M98" s="1474" t="s">
        <v>588</v>
      </c>
      <c r="N98" s="1475" t="s">
        <v>489</v>
      </c>
      <c r="O98" s="1439"/>
      <c r="P98" s="1472"/>
    </row>
    <row r="99" spans="1:40" s="676" customFormat="1" ht="22" customHeight="1">
      <c r="A99" s="1439"/>
      <c r="B99" s="1468"/>
      <c r="C99" s="1280"/>
      <c r="D99" s="1474"/>
      <c r="E99" s="1474"/>
      <c r="F99" s="1280"/>
      <c r="G99" s="1474"/>
      <c r="H99" s="1475"/>
      <c r="I99" s="1280"/>
      <c r="J99" s="1474"/>
      <c r="K99" s="1475"/>
      <c r="L99" s="1280"/>
      <c r="M99" s="1474"/>
      <c r="N99" s="1475"/>
      <c r="O99" s="1439"/>
      <c r="P99" s="1472"/>
    </row>
    <row r="100" spans="1:40" s="676" customFormat="1" ht="22" customHeight="1">
      <c r="A100" s="1462"/>
      <c r="B100" s="1468"/>
      <c r="C100" s="872" t="s">
        <v>133</v>
      </c>
      <c r="D100" s="873" t="s">
        <v>134</v>
      </c>
      <c r="E100" s="960" t="s">
        <v>100</v>
      </c>
      <c r="F100" s="872" t="s">
        <v>133</v>
      </c>
      <c r="G100" s="873" t="s">
        <v>134</v>
      </c>
      <c r="H100" s="893" t="s">
        <v>100</v>
      </c>
      <c r="I100" s="872" t="s">
        <v>133</v>
      </c>
      <c r="J100" s="873" t="s">
        <v>134</v>
      </c>
      <c r="K100" s="893" t="s">
        <v>100</v>
      </c>
      <c r="L100" s="872" t="s">
        <v>133</v>
      </c>
      <c r="M100" s="873" t="s">
        <v>134</v>
      </c>
      <c r="N100" s="893" t="s">
        <v>100</v>
      </c>
      <c r="O100" s="1462"/>
      <c r="P100" s="1473"/>
    </row>
    <row r="101" spans="1:40" ht="28" customHeight="1">
      <c r="A101" s="325">
        <v>120</v>
      </c>
      <c r="B101" s="271" t="s">
        <v>817</v>
      </c>
      <c r="C101" s="713"/>
      <c r="D101" s="134"/>
      <c r="E101" s="135">
        <f>D101+C101</f>
        <v>0</v>
      </c>
      <c r="F101" s="713"/>
      <c r="G101" s="714"/>
      <c r="H101" s="141">
        <f>G101+F101</f>
        <v>0</v>
      </c>
      <c r="I101" s="713"/>
      <c r="J101" s="714">
        <v>89</v>
      </c>
      <c r="K101" s="141">
        <f>J101+I101</f>
        <v>89</v>
      </c>
      <c r="L101" s="713"/>
      <c r="M101" s="714"/>
      <c r="N101" s="141">
        <f>M101+L101</f>
        <v>0</v>
      </c>
      <c r="O101" s="635" t="s">
        <v>896</v>
      </c>
      <c r="P101" s="878">
        <v>120</v>
      </c>
    </row>
    <row r="102" spans="1:40" s="676" customFormat="1" ht="28" customHeight="1">
      <c r="A102" s="192">
        <v>121</v>
      </c>
      <c r="B102" s="241" t="s">
        <v>807</v>
      </c>
      <c r="C102" s="137"/>
      <c r="D102" s="139"/>
      <c r="E102" s="140">
        <v>0</v>
      </c>
      <c r="F102" s="137"/>
      <c r="G102" s="138"/>
      <c r="H102" s="142">
        <v>0</v>
      </c>
      <c r="I102" s="137"/>
      <c r="J102" s="138">
        <v>0</v>
      </c>
      <c r="K102" s="142">
        <v>0</v>
      </c>
      <c r="L102" s="137"/>
      <c r="M102" s="138"/>
      <c r="N102" s="142">
        <f>M102+L102</f>
        <v>0</v>
      </c>
      <c r="O102" s="238" t="s">
        <v>873</v>
      </c>
      <c r="P102" s="928">
        <v>121</v>
      </c>
    </row>
    <row r="103" spans="1:40" ht="28" customHeight="1">
      <c r="A103" s="325">
        <v>122</v>
      </c>
      <c r="B103" s="271" t="s">
        <v>769</v>
      </c>
      <c r="C103" s="713"/>
      <c r="D103" s="134"/>
      <c r="E103" s="135">
        <f>D103+C103</f>
        <v>0</v>
      </c>
      <c r="F103" s="713"/>
      <c r="G103" s="714"/>
      <c r="H103" s="141">
        <f>G103+F103</f>
        <v>0</v>
      </c>
      <c r="I103" s="713"/>
      <c r="J103" s="714">
        <v>101</v>
      </c>
      <c r="K103" s="141">
        <f>J103+I103</f>
        <v>101</v>
      </c>
      <c r="L103" s="713"/>
      <c r="M103" s="714"/>
      <c r="N103" s="141">
        <f>M103+L103</f>
        <v>0</v>
      </c>
      <c r="O103" s="635" t="s">
        <v>897</v>
      </c>
      <c r="P103" s="878">
        <v>122</v>
      </c>
    </row>
    <row r="104" spans="1:40" ht="28" customHeight="1">
      <c r="A104" s="192">
        <v>123</v>
      </c>
      <c r="B104" s="241" t="s">
        <v>323</v>
      </c>
      <c r="C104" s="137"/>
      <c r="D104" s="139"/>
      <c r="E104" s="140">
        <f t="shared" ref="E104:E107" si="24">D104+C104</f>
        <v>0</v>
      </c>
      <c r="F104" s="137"/>
      <c r="G104" s="138"/>
      <c r="H104" s="142">
        <f t="shared" ref="H104:H107" si="25">G104+F104</f>
        <v>0</v>
      </c>
      <c r="I104" s="137"/>
      <c r="J104" s="138">
        <v>87</v>
      </c>
      <c r="K104" s="142">
        <f t="shared" ref="K104:K107" si="26">J104+I104</f>
        <v>87</v>
      </c>
      <c r="L104" s="137"/>
      <c r="M104" s="138"/>
      <c r="N104" s="142">
        <f t="shared" ref="N104:N107" si="27">M104+L104</f>
        <v>0</v>
      </c>
      <c r="O104" s="238" t="s">
        <v>898</v>
      </c>
      <c r="P104" s="928">
        <v>123</v>
      </c>
    </row>
    <row r="105" spans="1:40" ht="28" customHeight="1">
      <c r="A105" s="325">
        <v>124</v>
      </c>
      <c r="B105" s="271" t="s">
        <v>770</v>
      </c>
      <c r="C105" s="713"/>
      <c r="D105" s="134"/>
      <c r="E105" s="135">
        <f t="shared" si="24"/>
        <v>0</v>
      </c>
      <c r="F105" s="713"/>
      <c r="G105" s="714"/>
      <c r="H105" s="141">
        <f t="shared" si="25"/>
        <v>0</v>
      </c>
      <c r="I105" s="713"/>
      <c r="J105" s="714">
        <v>112</v>
      </c>
      <c r="K105" s="141">
        <f t="shared" si="26"/>
        <v>112</v>
      </c>
      <c r="L105" s="713"/>
      <c r="M105" s="714"/>
      <c r="N105" s="141">
        <f t="shared" si="27"/>
        <v>0</v>
      </c>
      <c r="O105" s="635" t="s">
        <v>899</v>
      </c>
      <c r="P105" s="878">
        <v>124</v>
      </c>
    </row>
    <row r="106" spans="1:40" ht="28" customHeight="1">
      <c r="A106" s="396"/>
      <c r="B106" s="622" t="s">
        <v>69</v>
      </c>
      <c r="C106" s="137"/>
      <c r="D106" s="139"/>
      <c r="E106" s="140"/>
      <c r="F106" s="137"/>
      <c r="G106" s="138"/>
      <c r="H106" s="142"/>
      <c r="I106" s="137"/>
      <c r="J106" s="138"/>
      <c r="K106" s="142"/>
      <c r="L106" s="137"/>
      <c r="M106" s="138"/>
      <c r="N106" s="142"/>
      <c r="O106" s="523" t="s">
        <v>900</v>
      </c>
      <c r="P106" s="879"/>
    </row>
    <row r="107" spans="1:40" ht="28" customHeight="1">
      <c r="A107" s="797">
        <v>125</v>
      </c>
      <c r="B107" s="271" t="s">
        <v>778</v>
      </c>
      <c r="C107" s="713"/>
      <c r="D107" s="134"/>
      <c r="E107" s="135">
        <f t="shared" si="24"/>
        <v>0</v>
      </c>
      <c r="F107" s="713"/>
      <c r="G107" s="714"/>
      <c r="H107" s="141">
        <f t="shared" si="25"/>
        <v>0</v>
      </c>
      <c r="I107" s="713"/>
      <c r="J107" s="714"/>
      <c r="K107" s="141">
        <f t="shared" si="26"/>
        <v>0</v>
      </c>
      <c r="L107" s="713"/>
      <c r="M107" s="714"/>
      <c r="N107" s="141">
        <f t="shared" si="27"/>
        <v>0</v>
      </c>
      <c r="O107" s="743" t="s">
        <v>814</v>
      </c>
      <c r="P107" s="927">
        <v>125</v>
      </c>
    </row>
    <row r="108" spans="1:40" ht="28" customHeight="1">
      <c r="A108" s="192"/>
      <c r="B108" s="622" t="s">
        <v>147</v>
      </c>
      <c r="C108" s="137"/>
      <c r="D108" s="139"/>
      <c r="E108" s="140"/>
      <c r="F108" s="137"/>
      <c r="G108" s="138"/>
      <c r="H108" s="138"/>
      <c r="I108" s="137"/>
      <c r="J108" s="138"/>
      <c r="K108" s="142"/>
      <c r="L108" s="137"/>
      <c r="M108" s="138"/>
      <c r="N108" s="142"/>
      <c r="O108" s="523" t="s">
        <v>901</v>
      </c>
      <c r="P108" s="928"/>
      <c r="AI108"/>
      <c r="AJ108"/>
      <c r="AK108"/>
      <c r="AL108"/>
      <c r="AM108"/>
      <c r="AN108"/>
    </row>
    <row r="109" spans="1:40" ht="28" customHeight="1">
      <c r="A109" s="797">
        <v>126</v>
      </c>
      <c r="B109" s="239" t="s">
        <v>780</v>
      </c>
      <c r="C109" s="713"/>
      <c r="D109" s="134"/>
      <c r="E109" s="135">
        <f>D109+C109</f>
        <v>0</v>
      </c>
      <c r="F109" s="713"/>
      <c r="G109" s="714"/>
      <c r="H109" s="714">
        <f>G109+F109</f>
        <v>0</v>
      </c>
      <c r="I109" s="713"/>
      <c r="J109" s="714">
        <v>0</v>
      </c>
      <c r="K109" s="141">
        <f>J109+I109</f>
        <v>0</v>
      </c>
      <c r="L109" s="713"/>
      <c r="M109" s="714"/>
      <c r="N109" s="141">
        <f>M109+L109</f>
        <v>0</v>
      </c>
      <c r="O109" s="643" t="s">
        <v>902</v>
      </c>
      <c r="P109" s="927">
        <v>126</v>
      </c>
      <c r="S109" s="192"/>
      <c r="T109" s="622"/>
      <c r="U109" s="137"/>
      <c r="V109" s="139"/>
      <c r="W109" s="140"/>
      <c r="X109" s="137"/>
      <c r="Y109" s="138"/>
      <c r="Z109" s="138"/>
      <c r="AA109" s="137"/>
      <c r="AB109" s="138"/>
      <c r="AC109" s="142"/>
      <c r="AD109" s="137"/>
      <c r="AE109" s="138"/>
      <c r="AF109" s="142"/>
      <c r="AG109" s="1000"/>
      <c r="AH109" s="928"/>
      <c r="AI109"/>
      <c r="AJ109"/>
      <c r="AK109"/>
      <c r="AL109"/>
      <c r="AM109"/>
      <c r="AN109"/>
    </row>
    <row r="110" spans="1:40" ht="28" customHeight="1">
      <c r="A110" s="192">
        <v>127</v>
      </c>
      <c r="B110" s="241" t="s">
        <v>324</v>
      </c>
      <c r="C110" s="137"/>
      <c r="D110" s="139"/>
      <c r="E110" s="140">
        <f>D110+C110</f>
        <v>0</v>
      </c>
      <c r="F110" s="137"/>
      <c r="G110" s="138"/>
      <c r="H110" s="138">
        <f>G110+F110</f>
        <v>0</v>
      </c>
      <c r="I110" s="137"/>
      <c r="J110" s="138">
        <v>119</v>
      </c>
      <c r="K110" s="142">
        <f>J110+I110</f>
        <v>119</v>
      </c>
      <c r="L110" s="137"/>
      <c r="M110" s="138"/>
      <c r="N110" s="142">
        <f>M110+L110</f>
        <v>0</v>
      </c>
      <c r="O110" s="246" t="s">
        <v>903</v>
      </c>
      <c r="P110" s="928">
        <v>127</v>
      </c>
      <c r="S110" s="192"/>
      <c r="T110" s="622"/>
      <c r="U110" s="137"/>
      <c r="V110" s="139"/>
      <c r="W110" s="140"/>
      <c r="X110" s="137"/>
      <c r="Y110" s="138"/>
      <c r="Z110" s="138"/>
      <c r="AA110" s="137"/>
      <c r="AB110" s="138"/>
      <c r="AC110" s="142"/>
      <c r="AD110" s="137"/>
      <c r="AE110" s="138"/>
      <c r="AF110" s="142"/>
      <c r="AG110" s="1000"/>
      <c r="AH110" s="928"/>
      <c r="AI110"/>
      <c r="AJ110"/>
      <c r="AK110"/>
      <c r="AL110"/>
      <c r="AM110"/>
      <c r="AN110"/>
    </row>
    <row r="111" spans="1:40" ht="28" customHeight="1">
      <c r="A111" s="797">
        <v>128</v>
      </c>
      <c r="B111" s="239" t="s">
        <v>484</v>
      </c>
      <c r="C111" s="713"/>
      <c r="D111" s="134"/>
      <c r="E111" s="134">
        <f t="shared" ref="E111:E138" si="28">D111+C111</f>
        <v>0</v>
      </c>
      <c r="F111" s="713"/>
      <c r="G111" s="714"/>
      <c r="H111" s="141">
        <f t="shared" ref="H111:H131" si="29">G111+F111</f>
        <v>0</v>
      </c>
      <c r="I111" s="713"/>
      <c r="J111" s="714">
        <v>0</v>
      </c>
      <c r="K111" s="141">
        <f t="shared" ref="K111:K138" si="30">J111+I111</f>
        <v>0</v>
      </c>
      <c r="L111" s="714"/>
      <c r="M111" s="714"/>
      <c r="N111" s="141">
        <f t="shared" ref="N111:N138" si="31">M111+L111</f>
        <v>0</v>
      </c>
      <c r="O111" s="643" t="s">
        <v>904</v>
      </c>
      <c r="P111" s="927">
        <v>128</v>
      </c>
      <c r="AI111"/>
      <c r="AJ111"/>
      <c r="AK111"/>
      <c r="AL111"/>
      <c r="AM111"/>
      <c r="AN111"/>
    </row>
    <row r="112" spans="1:40" s="676" customFormat="1" ht="28" customHeight="1">
      <c r="A112" s="192">
        <v>129</v>
      </c>
      <c r="B112" s="241" t="s">
        <v>325</v>
      </c>
      <c r="C112" s="137"/>
      <c r="D112" s="139"/>
      <c r="E112" s="139">
        <f t="shared" si="28"/>
        <v>0</v>
      </c>
      <c r="F112" s="137"/>
      <c r="G112" s="138"/>
      <c r="H112" s="138">
        <f t="shared" si="29"/>
        <v>0</v>
      </c>
      <c r="I112" s="137"/>
      <c r="J112" s="138">
        <v>65</v>
      </c>
      <c r="K112" s="142">
        <f t="shared" si="30"/>
        <v>65</v>
      </c>
      <c r="L112" s="138"/>
      <c r="M112" s="138"/>
      <c r="N112" s="142">
        <f t="shared" si="31"/>
        <v>0</v>
      </c>
      <c r="O112" s="246" t="s">
        <v>905</v>
      </c>
      <c r="P112" s="928">
        <v>129</v>
      </c>
      <c r="Y112" s="639"/>
      <c r="Z112" s="639"/>
      <c r="AA112" s="639"/>
      <c r="AB112" s="639"/>
      <c r="AC112" s="639"/>
      <c r="AD112" s="639"/>
      <c r="AE112" s="639"/>
      <c r="AF112" s="639"/>
      <c r="AG112" s="639"/>
      <c r="AH112" s="639"/>
      <c r="AI112" s="639"/>
      <c r="AJ112" s="639"/>
      <c r="AK112" s="639"/>
      <c r="AL112" s="639"/>
      <c r="AM112" s="639"/>
      <c r="AN112" s="639"/>
    </row>
    <row r="113" spans="1:40" ht="28" customHeight="1">
      <c r="A113" s="797">
        <v>130</v>
      </c>
      <c r="B113" s="271" t="s">
        <v>326</v>
      </c>
      <c r="C113" s="713"/>
      <c r="D113" s="134"/>
      <c r="E113" s="134">
        <f t="shared" si="28"/>
        <v>0</v>
      </c>
      <c r="F113" s="713"/>
      <c r="G113" s="714"/>
      <c r="H113" s="714">
        <f t="shared" si="29"/>
        <v>0</v>
      </c>
      <c r="I113" s="713"/>
      <c r="J113" s="714">
        <v>57</v>
      </c>
      <c r="K113" s="141">
        <f t="shared" si="30"/>
        <v>57</v>
      </c>
      <c r="L113" s="714"/>
      <c r="M113" s="714"/>
      <c r="N113" s="141">
        <f t="shared" si="31"/>
        <v>0</v>
      </c>
      <c r="O113" s="635" t="s">
        <v>906</v>
      </c>
      <c r="P113" s="927">
        <v>130</v>
      </c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</row>
    <row r="114" spans="1:40" s="676" customFormat="1" ht="28" customHeight="1">
      <c r="A114" s="192">
        <v>131</v>
      </c>
      <c r="B114" s="241" t="s">
        <v>657</v>
      </c>
      <c r="C114" s="137"/>
      <c r="D114" s="139"/>
      <c r="E114" s="139">
        <f t="shared" si="28"/>
        <v>0</v>
      </c>
      <c r="F114" s="137"/>
      <c r="G114" s="138"/>
      <c r="H114" s="138">
        <f t="shared" si="29"/>
        <v>0</v>
      </c>
      <c r="I114" s="137"/>
      <c r="J114" s="138">
        <v>0</v>
      </c>
      <c r="K114" s="142">
        <f t="shared" si="30"/>
        <v>0</v>
      </c>
      <c r="L114" s="138"/>
      <c r="M114" s="138"/>
      <c r="N114" s="142">
        <f t="shared" si="31"/>
        <v>0</v>
      </c>
      <c r="O114" s="443" t="s">
        <v>35</v>
      </c>
      <c r="P114" s="928">
        <v>131</v>
      </c>
      <c r="Y114" s="639"/>
      <c r="Z114" s="639"/>
      <c r="AA114" s="639"/>
      <c r="AB114" s="639"/>
      <c r="AC114" s="639"/>
      <c r="AD114" s="639"/>
      <c r="AE114" s="639"/>
      <c r="AF114" s="639"/>
      <c r="AG114" s="639"/>
      <c r="AH114" s="639"/>
      <c r="AI114" s="639"/>
      <c r="AJ114" s="639"/>
      <c r="AK114" s="639"/>
      <c r="AL114" s="639"/>
      <c r="AM114" s="639"/>
      <c r="AN114" s="639"/>
    </row>
    <row r="115" spans="1:40" ht="28" customHeight="1">
      <c r="A115" s="797">
        <v>132</v>
      </c>
      <c r="B115" s="271" t="s">
        <v>771</v>
      </c>
      <c r="C115" s="713"/>
      <c r="D115" s="134"/>
      <c r="E115" s="134">
        <f t="shared" si="28"/>
        <v>0</v>
      </c>
      <c r="F115" s="713"/>
      <c r="G115" s="714"/>
      <c r="H115" s="714">
        <f t="shared" si="29"/>
        <v>0</v>
      </c>
      <c r="I115" s="713"/>
      <c r="J115" s="714">
        <v>45</v>
      </c>
      <c r="K115" s="141">
        <f t="shared" si="30"/>
        <v>45</v>
      </c>
      <c r="L115" s="714"/>
      <c r="M115" s="714"/>
      <c r="N115" s="141">
        <f t="shared" si="31"/>
        <v>0</v>
      </c>
      <c r="O115" s="635" t="s">
        <v>907</v>
      </c>
      <c r="P115" s="927">
        <v>132</v>
      </c>
      <c r="Q115" s="443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</row>
    <row r="116" spans="1:40" s="676" customFormat="1" ht="28" customHeight="1">
      <c r="A116" s="192">
        <v>133</v>
      </c>
      <c r="B116" s="241" t="s">
        <v>327</v>
      </c>
      <c r="C116" s="137"/>
      <c r="D116" s="139"/>
      <c r="E116" s="139">
        <f t="shared" si="28"/>
        <v>0</v>
      </c>
      <c r="F116" s="137"/>
      <c r="G116" s="138"/>
      <c r="H116" s="138">
        <f t="shared" si="29"/>
        <v>0</v>
      </c>
      <c r="I116" s="137"/>
      <c r="J116" s="138">
        <v>0</v>
      </c>
      <c r="K116" s="142">
        <f t="shared" si="30"/>
        <v>0</v>
      </c>
      <c r="L116" s="138"/>
      <c r="M116" s="138"/>
      <c r="N116" s="142">
        <f t="shared" si="31"/>
        <v>0</v>
      </c>
      <c r="O116" s="246" t="s">
        <v>908</v>
      </c>
      <c r="P116" s="928">
        <v>133</v>
      </c>
    </row>
    <row r="117" spans="1:40" ht="28" customHeight="1">
      <c r="A117" s="797">
        <v>134</v>
      </c>
      <c r="B117" s="271" t="s">
        <v>328</v>
      </c>
      <c r="C117" s="713"/>
      <c r="D117" s="134"/>
      <c r="E117" s="134">
        <f t="shared" si="28"/>
        <v>0</v>
      </c>
      <c r="F117" s="713"/>
      <c r="G117" s="714"/>
      <c r="H117" s="714">
        <f t="shared" si="29"/>
        <v>0</v>
      </c>
      <c r="I117" s="713"/>
      <c r="J117" s="714">
        <v>60</v>
      </c>
      <c r="K117" s="141">
        <f t="shared" si="30"/>
        <v>60</v>
      </c>
      <c r="L117" s="714"/>
      <c r="M117" s="714"/>
      <c r="N117" s="141">
        <f t="shared" si="31"/>
        <v>0</v>
      </c>
      <c r="O117" s="635" t="s">
        <v>909</v>
      </c>
      <c r="P117" s="927">
        <v>134</v>
      </c>
      <c r="Q117" s="1000" t="s">
        <v>36</v>
      </c>
    </row>
    <row r="118" spans="1:40" s="676" customFormat="1" ht="28" customHeight="1">
      <c r="A118" s="586">
        <v>135</v>
      </c>
      <c r="B118" s="297" t="s">
        <v>715</v>
      </c>
      <c r="C118" s="364"/>
      <c r="D118" s="365"/>
      <c r="E118" s="365">
        <f t="shared" si="28"/>
        <v>0</v>
      </c>
      <c r="F118" s="364"/>
      <c r="G118" s="367"/>
      <c r="H118" s="367">
        <f t="shared" si="29"/>
        <v>0</v>
      </c>
      <c r="I118" s="364"/>
      <c r="J118" s="367">
        <v>0</v>
      </c>
      <c r="K118" s="368">
        <f t="shared" si="30"/>
        <v>0</v>
      </c>
      <c r="L118" s="367"/>
      <c r="M118" s="367"/>
      <c r="N118" s="368">
        <f t="shared" si="31"/>
        <v>0</v>
      </c>
      <c r="O118" s="370" t="s">
        <v>910</v>
      </c>
      <c r="P118" s="929">
        <v>135</v>
      </c>
    </row>
    <row r="119" spans="1:40" s="676" customFormat="1" ht="24" customHeight="1">
      <c r="A119" s="1508" t="s">
        <v>753</v>
      </c>
      <c r="B119" s="1508"/>
      <c r="C119" s="157"/>
      <c r="D119" s="157"/>
      <c r="E119" s="157"/>
      <c r="F119" s="168"/>
      <c r="G119" s="168"/>
      <c r="H119" s="168"/>
      <c r="I119" s="168"/>
      <c r="J119" s="168"/>
      <c r="K119" s="168"/>
      <c r="L119" s="1509" t="s">
        <v>747</v>
      </c>
      <c r="M119" s="1509"/>
      <c r="N119" s="1509"/>
      <c r="O119" s="1509"/>
      <c r="P119" s="1509"/>
    </row>
    <row r="120" spans="1:40" s="676" customFormat="1" ht="22" customHeight="1">
      <c r="A120" s="1438" t="s">
        <v>621</v>
      </c>
      <c r="B120" s="1468" t="s">
        <v>286</v>
      </c>
      <c r="C120" s="1320" t="s">
        <v>750</v>
      </c>
      <c r="D120" s="1470"/>
      <c r="E120" s="1470"/>
      <c r="F120" s="1479" t="s">
        <v>744</v>
      </c>
      <c r="G120" s="1510"/>
      <c r="H120" s="1510"/>
      <c r="I120" s="1320" t="s">
        <v>582</v>
      </c>
      <c r="J120" s="1470"/>
      <c r="K120" s="1470"/>
      <c r="L120" s="1511" t="s">
        <v>79</v>
      </c>
      <c r="M120" s="1512"/>
      <c r="N120" s="1513"/>
      <c r="O120" s="1513" t="s">
        <v>709</v>
      </c>
      <c r="P120" s="1471" t="s">
        <v>727</v>
      </c>
    </row>
    <row r="121" spans="1:40" s="676" customFormat="1" ht="22" customHeight="1">
      <c r="A121" s="1439"/>
      <c r="B121" s="1468"/>
      <c r="C121" s="1280"/>
      <c r="D121" s="1474"/>
      <c r="E121" s="1474"/>
      <c r="F121" s="1503"/>
      <c r="G121" s="1504"/>
      <c r="H121" s="1504"/>
      <c r="I121" s="1280"/>
      <c r="J121" s="1474"/>
      <c r="K121" s="1474"/>
      <c r="L121" s="1505"/>
      <c r="M121" s="1506"/>
      <c r="N121" s="1507"/>
      <c r="O121" s="1507"/>
      <c r="P121" s="1472"/>
    </row>
    <row r="122" spans="1:40" s="676" customFormat="1" ht="30" customHeight="1">
      <c r="A122" s="1439"/>
      <c r="B122" s="1468"/>
      <c r="C122" s="1280" t="s">
        <v>138</v>
      </c>
      <c r="D122" s="1474"/>
      <c r="E122" s="1474"/>
      <c r="F122" s="1503" t="s">
        <v>655</v>
      </c>
      <c r="G122" s="1504"/>
      <c r="H122" s="1504"/>
      <c r="I122" s="1280" t="s">
        <v>587</v>
      </c>
      <c r="J122" s="1474"/>
      <c r="K122" s="1474"/>
      <c r="L122" s="1505" t="s">
        <v>137</v>
      </c>
      <c r="M122" s="1506"/>
      <c r="N122" s="1507"/>
      <c r="O122" s="1507"/>
      <c r="P122" s="1472"/>
    </row>
    <row r="123" spans="1:40" s="676" customFormat="1" ht="22" customHeight="1">
      <c r="A123" s="1439"/>
      <c r="B123" s="1468"/>
      <c r="C123" s="1280" t="s">
        <v>583</v>
      </c>
      <c r="D123" s="1474" t="s">
        <v>581</v>
      </c>
      <c r="E123" s="1474" t="s">
        <v>489</v>
      </c>
      <c r="F123" s="1280" t="s">
        <v>583</v>
      </c>
      <c r="G123" s="1474" t="s">
        <v>589</v>
      </c>
      <c r="H123" s="1474" t="s">
        <v>489</v>
      </c>
      <c r="I123" s="1280" t="s">
        <v>583</v>
      </c>
      <c r="J123" s="1474" t="s">
        <v>589</v>
      </c>
      <c r="K123" s="1474" t="s">
        <v>489</v>
      </c>
      <c r="L123" s="1280" t="s">
        <v>583</v>
      </c>
      <c r="M123" s="1474" t="s">
        <v>588</v>
      </c>
      <c r="N123" s="1475" t="s">
        <v>489</v>
      </c>
      <c r="O123" s="1507"/>
      <c r="P123" s="1472"/>
    </row>
    <row r="124" spans="1:40" s="676" customFormat="1" ht="22" customHeight="1">
      <c r="A124" s="1439"/>
      <c r="B124" s="1468"/>
      <c r="C124" s="1280"/>
      <c r="D124" s="1474"/>
      <c r="E124" s="1474"/>
      <c r="F124" s="1280"/>
      <c r="G124" s="1474"/>
      <c r="H124" s="1474"/>
      <c r="I124" s="1280"/>
      <c r="J124" s="1474"/>
      <c r="K124" s="1474"/>
      <c r="L124" s="1280"/>
      <c r="M124" s="1474"/>
      <c r="N124" s="1475"/>
      <c r="O124" s="1507"/>
      <c r="P124" s="1472"/>
    </row>
    <row r="125" spans="1:40" s="676" customFormat="1" ht="30" customHeight="1">
      <c r="A125" s="1462"/>
      <c r="B125" s="1468"/>
      <c r="C125" s="872" t="s">
        <v>133</v>
      </c>
      <c r="D125" s="873" t="s">
        <v>134</v>
      </c>
      <c r="E125" s="960" t="s">
        <v>100</v>
      </c>
      <c r="F125" s="872" t="s">
        <v>133</v>
      </c>
      <c r="G125" s="873" t="s">
        <v>134</v>
      </c>
      <c r="H125" s="960" t="s">
        <v>100</v>
      </c>
      <c r="I125" s="872" t="s">
        <v>133</v>
      </c>
      <c r="J125" s="873" t="s">
        <v>134</v>
      </c>
      <c r="K125" s="960" t="s">
        <v>100</v>
      </c>
      <c r="L125" s="872" t="s">
        <v>133</v>
      </c>
      <c r="M125" s="873" t="s">
        <v>134</v>
      </c>
      <c r="N125" s="893" t="s">
        <v>100</v>
      </c>
      <c r="O125" s="1514"/>
      <c r="P125" s="1473"/>
    </row>
    <row r="126" spans="1:40" s="676" customFormat="1" ht="30" customHeight="1">
      <c r="A126" s="797"/>
      <c r="B126" s="843" t="s">
        <v>148</v>
      </c>
      <c r="C126" s="713"/>
      <c r="D126" s="134"/>
      <c r="E126" s="134"/>
      <c r="F126" s="713"/>
      <c r="G126" s="714"/>
      <c r="H126" s="714"/>
      <c r="I126" s="713"/>
      <c r="J126" s="714"/>
      <c r="K126" s="141"/>
      <c r="L126" s="714"/>
      <c r="M126" s="714"/>
      <c r="N126" s="141"/>
      <c r="O126" s="727" t="s">
        <v>36</v>
      </c>
      <c r="P126" s="927"/>
    </row>
    <row r="127" spans="1:40" ht="30" customHeight="1">
      <c r="A127" s="192">
        <v>136</v>
      </c>
      <c r="B127" s="241" t="s">
        <v>783</v>
      </c>
      <c r="C127" s="137"/>
      <c r="D127" s="139"/>
      <c r="E127" s="139">
        <f t="shared" si="28"/>
        <v>0</v>
      </c>
      <c r="F127" s="137"/>
      <c r="G127" s="138"/>
      <c r="H127" s="138">
        <f t="shared" si="29"/>
        <v>0</v>
      </c>
      <c r="I127" s="137">
        <v>0</v>
      </c>
      <c r="J127" s="138">
        <v>180</v>
      </c>
      <c r="K127" s="142">
        <f t="shared" si="30"/>
        <v>180</v>
      </c>
      <c r="L127" s="138"/>
      <c r="M127" s="138"/>
      <c r="N127" s="142">
        <f t="shared" si="31"/>
        <v>0</v>
      </c>
      <c r="O127" s="246" t="s">
        <v>911</v>
      </c>
      <c r="P127" s="928">
        <v>136</v>
      </c>
    </row>
    <row r="128" spans="1:40" s="676" customFormat="1" ht="30" customHeight="1">
      <c r="A128" s="797">
        <v>137</v>
      </c>
      <c r="B128" s="271" t="s">
        <v>329</v>
      </c>
      <c r="C128" s="713"/>
      <c r="D128" s="134"/>
      <c r="E128" s="134">
        <f t="shared" si="28"/>
        <v>0</v>
      </c>
      <c r="F128" s="713"/>
      <c r="G128" s="714"/>
      <c r="H128" s="714">
        <f t="shared" si="29"/>
        <v>0</v>
      </c>
      <c r="I128" s="713"/>
      <c r="J128" s="714">
        <v>89</v>
      </c>
      <c r="K128" s="141">
        <f t="shared" si="30"/>
        <v>89</v>
      </c>
      <c r="L128" s="714"/>
      <c r="M128" s="714"/>
      <c r="N128" s="141">
        <f t="shared" si="31"/>
        <v>0</v>
      </c>
      <c r="O128" s="635" t="s">
        <v>912</v>
      </c>
      <c r="P128" s="927">
        <v>137</v>
      </c>
    </row>
    <row r="129" spans="1:19" ht="30" customHeight="1">
      <c r="A129" s="192">
        <v>138</v>
      </c>
      <c r="B129" s="241" t="s">
        <v>330</v>
      </c>
      <c r="C129" s="137"/>
      <c r="D129" s="139"/>
      <c r="E129" s="139">
        <f t="shared" si="28"/>
        <v>0</v>
      </c>
      <c r="F129" s="137"/>
      <c r="G129" s="138"/>
      <c r="H129" s="138">
        <f t="shared" si="29"/>
        <v>0</v>
      </c>
      <c r="I129" s="137">
        <v>0</v>
      </c>
      <c r="J129" s="138">
        <v>85</v>
      </c>
      <c r="K129" s="142">
        <f t="shared" si="30"/>
        <v>85</v>
      </c>
      <c r="L129" s="138"/>
      <c r="M129" s="138"/>
      <c r="N129" s="142">
        <f t="shared" si="31"/>
        <v>0</v>
      </c>
      <c r="O129" s="246" t="s">
        <v>913</v>
      </c>
      <c r="P129" s="928">
        <v>138</v>
      </c>
    </row>
    <row r="130" spans="1:19" s="676" customFormat="1" ht="30" customHeight="1">
      <c r="A130" s="797">
        <v>139</v>
      </c>
      <c r="B130" s="271" t="s">
        <v>485</v>
      </c>
      <c r="C130" s="713"/>
      <c r="D130" s="134"/>
      <c r="E130" s="134">
        <f t="shared" si="28"/>
        <v>0</v>
      </c>
      <c r="F130" s="713"/>
      <c r="G130" s="714"/>
      <c r="H130" s="714">
        <f t="shared" si="29"/>
        <v>0</v>
      </c>
      <c r="I130" s="713">
        <v>0</v>
      </c>
      <c r="J130" s="714">
        <v>0</v>
      </c>
      <c r="K130" s="141">
        <f t="shared" si="30"/>
        <v>0</v>
      </c>
      <c r="L130" s="714"/>
      <c r="M130" s="714"/>
      <c r="N130" s="141">
        <f t="shared" si="31"/>
        <v>0</v>
      </c>
      <c r="O130" s="635" t="s">
        <v>873</v>
      </c>
      <c r="P130" s="927">
        <v>139</v>
      </c>
    </row>
    <row r="131" spans="1:19" ht="30" customHeight="1">
      <c r="A131" s="192">
        <v>140</v>
      </c>
      <c r="B131" s="241" t="s">
        <v>658</v>
      </c>
      <c r="C131" s="137"/>
      <c r="D131" s="139"/>
      <c r="E131" s="139">
        <f t="shared" si="28"/>
        <v>0</v>
      </c>
      <c r="F131" s="137"/>
      <c r="G131" s="138"/>
      <c r="H131" s="138">
        <f t="shared" si="29"/>
        <v>0</v>
      </c>
      <c r="I131" s="137"/>
      <c r="J131" s="138">
        <v>248</v>
      </c>
      <c r="K131" s="142">
        <f t="shared" si="30"/>
        <v>248</v>
      </c>
      <c r="L131" s="138"/>
      <c r="M131" s="138"/>
      <c r="N131" s="142">
        <f t="shared" si="31"/>
        <v>0</v>
      </c>
      <c r="O131" s="443" t="s">
        <v>37</v>
      </c>
      <c r="P131" s="928">
        <v>140</v>
      </c>
    </row>
    <row r="132" spans="1:19" ht="30" customHeight="1">
      <c r="A132" s="797"/>
      <c r="B132" s="843" t="s">
        <v>149</v>
      </c>
      <c r="C132" s="713"/>
      <c r="D132" s="134"/>
      <c r="E132" s="134"/>
      <c r="F132" s="713"/>
      <c r="G132" s="714"/>
      <c r="H132" s="714"/>
      <c r="I132" s="713"/>
      <c r="J132" s="714"/>
      <c r="K132" s="141"/>
      <c r="L132" s="714"/>
      <c r="M132" s="714"/>
      <c r="N132" s="141"/>
      <c r="O132" s="635" t="s">
        <v>918</v>
      </c>
      <c r="P132" s="927"/>
    </row>
    <row r="133" spans="1:19" s="676" customFormat="1" ht="30" customHeight="1">
      <c r="A133" s="192">
        <v>141</v>
      </c>
      <c r="B133" s="241" t="s">
        <v>784</v>
      </c>
      <c r="C133" s="137"/>
      <c r="D133" s="139"/>
      <c r="E133" s="139">
        <f t="shared" si="28"/>
        <v>0</v>
      </c>
      <c r="F133" s="137"/>
      <c r="G133" s="138"/>
      <c r="H133" s="138">
        <f>G133+F133</f>
        <v>0</v>
      </c>
      <c r="I133" s="137">
        <v>0</v>
      </c>
      <c r="J133" s="138">
        <v>321</v>
      </c>
      <c r="K133" s="142">
        <f t="shared" si="30"/>
        <v>321</v>
      </c>
      <c r="L133" s="138"/>
      <c r="M133" s="138"/>
      <c r="N133" s="142">
        <f t="shared" si="31"/>
        <v>0</v>
      </c>
      <c r="O133" s="246" t="s">
        <v>919</v>
      </c>
      <c r="P133" s="928">
        <v>141</v>
      </c>
    </row>
    <row r="134" spans="1:19" ht="30" customHeight="1">
      <c r="A134" s="797">
        <v>142</v>
      </c>
      <c r="B134" s="271" t="s">
        <v>818</v>
      </c>
      <c r="C134" s="713"/>
      <c r="D134" s="134"/>
      <c r="E134" s="134">
        <f t="shared" si="28"/>
        <v>0</v>
      </c>
      <c r="F134" s="713"/>
      <c r="G134" s="714"/>
      <c r="H134" s="714">
        <f>G134+F134</f>
        <v>0</v>
      </c>
      <c r="I134" s="713">
        <v>0</v>
      </c>
      <c r="J134" s="714">
        <v>89</v>
      </c>
      <c r="K134" s="141">
        <f t="shared" si="30"/>
        <v>89</v>
      </c>
      <c r="L134" s="714"/>
      <c r="M134" s="714"/>
      <c r="N134" s="141">
        <f t="shared" si="31"/>
        <v>0</v>
      </c>
      <c r="O134" s="635" t="s">
        <v>920</v>
      </c>
      <c r="P134" s="927">
        <v>142</v>
      </c>
    </row>
    <row r="135" spans="1:19" s="676" customFormat="1" ht="30" customHeight="1">
      <c r="A135" s="192">
        <v>143</v>
      </c>
      <c r="B135" s="241" t="s">
        <v>804</v>
      </c>
      <c r="C135" s="137"/>
      <c r="D135" s="139"/>
      <c r="E135" s="139">
        <f t="shared" si="28"/>
        <v>0</v>
      </c>
      <c r="F135" s="137"/>
      <c r="G135" s="138"/>
      <c r="H135" s="138">
        <f>G135+F135</f>
        <v>0</v>
      </c>
      <c r="I135" s="137">
        <v>0</v>
      </c>
      <c r="J135" s="138">
        <v>216</v>
      </c>
      <c r="K135" s="142">
        <f t="shared" si="30"/>
        <v>216</v>
      </c>
      <c r="L135" s="138"/>
      <c r="M135" s="138"/>
      <c r="N135" s="142">
        <f t="shared" si="31"/>
        <v>0</v>
      </c>
      <c r="O135" s="246" t="s">
        <v>835</v>
      </c>
      <c r="P135" s="928">
        <v>143</v>
      </c>
    </row>
    <row r="136" spans="1:19" ht="30" customHeight="1">
      <c r="A136" s="797">
        <v>144</v>
      </c>
      <c r="B136" s="271" t="s">
        <v>716</v>
      </c>
      <c r="C136" s="713"/>
      <c r="D136" s="134"/>
      <c r="E136" s="134">
        <f t="shared" si="28"/>
        <v>0</v>
      </c>
      <c r="F136" s="713"/>
      <c r="G136" s="714"/>
      <c r="H136" s="714">
        <f>G136+F136</f>
        <v>0</v>
      </c>
      <c r="I136" s="713">
        <v>0</v>
      </c>
      <c r="J136" s="714">
        <v>0</v>
      </c>
      <c r="K136" s="141">
        <f t="shared" si="30"/>
        <v>0</v>
      </c>
      <c r="L136" s="714"/>
      <c r="M136" s="714"/>
      <c r="N136" s="141">
        <f t="shared" si="31"/>
        <v>0</v>
      </c>
      <c r="O136" s="727" t="s">
        <v>914</v>
      </c>
      <c r="P136" s="927">
        <v>144</v>
      </c>
    </row>
    <row r="137" spans="1:19" ht="30" customHeight="1">
      <c r="A137" s="192"/>
      <c r="B137" s="622" t="s">
        <v>150</v>
      </c>
      <c r="C137" s="137"/>
      <c r="D137" s="139"/>
      <c r="E137" s="139"/>
      <c r="F137" s="137"/>
      <c r="G137" s="138"/>
      <c r="H137" s="138"/>
      <c r="I137" s="137"/>
      <c r="J137" s="138"/>
      <c r="K137" s="142"/>
      <c r="L137" s="138"/>
      <c r="M137" s="138"/>
      <c r="N137" s="142"/>
      <c r="O137" s="523" t="s">
        <v>915</v>
      </c>
      <c r="P137" s="928"/>
    </row>
    <row r="138" spans="1:19" s="676" customFormat="1" ht="30" customHeight="1">
      <c r="A138" s="797">
        <v>145</v>
      </c>
      <c r="B138" s="271" t="s">
        <v>783</v>
      </c>
      <c r="C138" s="713"/>
      <c r="D138" s="134"/>
      <c r="E138" s="134">
        <f t="shared" si="28"/>
        <v>0</v>
      </c>
      <c r="F138" s="713"/>
      <c r="G138" s="714"/>
      <c r="H138" s="141">
        <f>G138+F138</f>
        <v>0</v>
      </c>
      <c r="I138" s="713">
        <v>0</v>
      </c>
      <c r="J138" s="714">
        <v>0</v>
      </c>
      <c r="K138" s="141">
        <f t="shared" si="30"/>
        <v>0</v>
      </c>
      <c r="L138" s="714"/>
      <c r="M138" s="714"/>
      <c r="N138" s="141">
        <f t="shared" si="31"/>
        <v>0</v>
      </c>
      <c r="O138" s="643" t="s">
        <v>916</v>
      </c>
      <c r="P138" s="927">
        <v>145</v>
      </c>
      <c r="R138" s="443"/>
    </row>
    <row r="139" spans="1:19" ht="30" customHeight="1">
      <c r="A139" s="192">
        <v>146</v>
      </c>
      <c r="B139" s="240" t="s">
        <v>819</v>
      </c>
      <c r="C139" s="137"/>
      <c r="D139" s="139"/>
      <c r="E139" s="140">
        <f>D139+C139</f>
        <v>0</v>
      </c>
      <c r="F139" s="137"/>
      <c r="G139" s="138"/>
      <c r="H139" s="142">
        <f>G139+F139</f>
        <v>0</v>
      </c>
      <c r="I139" s="137">
        <v>0</v>
      </c>
      <c r="J139" s="138">
        <v>0</v>
      </c>
      <c r="K139" s="142">
        <f>J139+I139</f>
        <v>0</v>
      </c>
      <c r="L139" s="137"/>
      <c r="M139" s="138"/>
      <c r="N139" s="142">
        <f>M139+L139</f>
        <v>0</v>
      </c>
      <c r="O139" s="238" t="s">
        <v>917</v>
      </c>
      <c r="P139" s="928">
        <v>146</v>
      </c>
    </row>
    <row r="140" spans="1:19" ht="30" customHeight="1">
      <c r="A140" s="797">
        <v>147</v>
      </c>
      <c r="B140" s="271" t="s">
        <v>820</v>
      </c>
      <c r="C140" s="713"/>
      <c r="D140" s="134"/>
      <c r="E140" s="135">
        <f>D140+C140</f>
        <v>0</v>
      </c>
      <c r="F140" s="713"/>
      <c r="G140" s="714"/>
      <c r="H140" s="141">
        <f>G140+F140</f>
        <v>0</v>
      </c>
      <c r="I140" s="713">
        <v>0</v>
      </c>
      <c r="J140" s="714">
        <f>64+34</f>
        <v>98</v>
      </c>
      <c r="K140" s="141">
        <f>J140+I140</f>
        <v>98</v>
      </c>
      <c r="L140" s="713"/>
      <c r="M140" s="714"/>
      <c r="N140" s="141">
        <f>M140+L140</f>
        <v>0</v>
      </c>
      <c r="O140" s="743" t="s">
        <v>39</v>
      </c>
      <c r="P140" s="931">
        <v>147</v>
      </c>
    </row>
    <row r="141" spans="1:19" ht="30" customHeight="1">
      <c r="A141" s="586">
        <v>148</v>
      </c>
      <c r="B141" s="297" t="s">
        <v>821</v>
      </c>
      <c r="C141" s="364"/>
      <c r="D141" s="365"/>
      <c r="E141" s="366">
        <f>D141+C141</f>
        <v>0</v>
      </c>
      <c r="F141" s="364"/>
      <c r="G141" s="367"/>
      <c r="H141" s="368">
        <f>G141+F141</f>
        <v>0</v>
      </c>
      <c r="I141" s="364">
        <v>0</v>
      </c>
      <c r="J141" s="367">
        <v>26</v>
      </c>
      <c r="K141" s="368">
        <f>J141+I141</f>
        <v>26</v>
      </c>
      <c r="L141" s="364"/>
      <c r="M141" s="367"/>
      <c r="N141" s="368">
        <f>M141+L141</f>
        <v>0</v>
      </c>
      <c r="O141" s="293" t="s">
        <v>921</v>
      </c>
      <c r="P141" s="1001">
        <v>148</v>
      </c>
    </row>
    <row r="142" spans="1:19" ht="22" customHeight="1">
      <c r="A142" s="1508" t="s">
        <v>753</v>
      </c>
      <c r="B142" s="1508"/>
      <c r="C142" s="157"/>
      <c r="D142" s="157"/>
      <c r="E142" s="157"/>
      <c r="F142" s="168"/>
      <c r="G142" s="168"/>
      <c r="H142" s="168"/>
      <c r="I142" s="168"/>
      <c r="J142" s="168"/>
      <c r="K142" s="168"/>
      <c r="L142" s="1509" t="s">
        <v>747</v>
      </c>
      <c r="M142" s="1509"/>
      <c r="N142" s="1509"/>
      <c r="O142" s="1509"/>
      <c r="P142" s="1509"/>
    </row>
    <row r="143" spans="1:19" ht="18" customHeight="1">
      <c r="A143" s="1438" t="s">
        <v>621</v>
      </c>
      <c r="B143" s="1438" t="s">
        <v>286</v>
      </c>
      <c r="C143" s="1320" t="s">
        <v>750</v>
      </c>
      <c r="D143" s="1470"/>
      <c r="E143" s="1449"/>
      <c r="F143" s="1479" t="s">
        <v>744</v>
      </c>
      <c r="G143" s="1510"/>
      <c r="H143" s="1481"/>
      <c r="I143" s="1320" t="s">
        <v>582</v>
      </c>
      <c r="J143" s="1470"/>
      <c r="K143" s="1449"/>
      <c r="L143" s="1511" t="s">
        <v>79</v>
      </c>
      <c r="M143" s="1512"/>
      <c r="N143" s="1513"/>
      <c r="O143" s="1438" t="s">
        <v>709</v>
      </c>
      <c r="P143" s="1471" t="s">
        <v>727</v>
      </c>
      <c r="R143" s="11">
        <v>2</v>
      </c>
      <c r="S143" s="11" t="s">
        <v>85</v>
      </c>
    </row>
    <row r="144" spans="1:19" ht="18" customHeight="1">
      <c r="A144" s="1439"/>
      <c r="B144" s="1439"/>
      <c r="C144" s="1280"/>
      <c r="D144" s="1474"/>
      <c r="E144" s="1475"/>
      <c r="F144" s="1503"/>
      <c r="G144" s="1504"/>
      <c r="H144" s="1515"/>
      <c r="I144" s="1280"/>
      <c r="J144" s="1474"/>
      <c r="K144" s="1475"/>
      <c r="L144" s="1505"/>
      <c r="M144" s="1506"/>
      <c r="N144" s="1507"/>
      <c r="O144" s="1439"/>
      <c r="P144" s="1472"/>
    </row>
    <row r="145" spans="1:18" ht="21.75" customHeight="1">
      <c r="A145" s="1439"/>
      <c r="B145" s="1439"/>
      <c r="C145" s="1280" t="s">
        <v>138</v>
      </c>
      <c r="D145" s="1474"/>
      <c r="E145" s="1475"/>
      <c r="F145" s="1503" t="s">
        <v>655</v>
      </c>
      <c r="G145" s="1504"/>
      <c r="H145" s="1515"/>
      <c r="I145" s="1280" t="s">
        <v>587</v>
      </c>
      <c r="J145" s="1474"/>
      <c r="K145" s="1475"/>
      <c r="L145" s="1505" t="s">
        <v>137</v>
      </c>
      <c r="M145" s="1506"/>
      <c r="N145" s="1507"/>
      <c r="O145" s="1439"/>
      <c r="P145" s="1472"/>
      <c r="Q145" s="2"/>
      <c r="R145" s="2"/>
    </row>
    <row r="146" spans="1:18" ht="30" customHeight="1">
      <c r="A146" s="1439"/>
      <c r="B146" s="1439"/>
      <c r="C146" s="1002" t="s">
        <v>583</v>
      </c>
      <c r="D146" s="1003" t="s">
        <v>581</v>
      </c>
      <c r="E146" s="1003" t="s">
        <v>489</v>
      </c>
      <c r="F146" s="1002" t="s">
        <v>583</v>
      </c>
      <c r="G146" s="1003" t="s">
        <v>589</v>
      </c>
      <c r="H146" s="1003" t="s">
        <v>489</v>
      </c>
      <c r="I146" s="1002" t="s">
        <v>583</v>
      </c>
      <c r="J146" s="1003" t="s">
        <v>589</v>
      </c>
      <c r="K146" s="1003" t="s">
        <v>489</v>
      </c>
      <c r="L146" s="1002" t="s">
        <v>583</v>
      </c>
      <c r="M146" s="1003" t="s">
        <v>588</v>
      </c>
      <c r="N146" s="1004" t="s">
        <v>489</v>
      </c>
      <c r="O146" s="1439"/>
      <c r="P146" s="1472"/>
    </row>
    <row r="147" spans="1:18" ht="30" customHeight="1">
      <c r="A147" s="1462"/>
      <c r="B147" s="1462"/>
      <c r="C147" s="872" t="s">
        <v>133</v>
      </c>
      <c r="D147" s="873" t="s">
        <v>134</v>
      </c>
      <c r="E147" s="960" t="s">
        <v>100</v>
      </c>
      <c r="F147" s="872" t="s">
        <v>133</v>
      </c>
      <c r="G147" s="873" t="s">
        <v>134</v>
      </c>
      <c r="H147" s="960" t="s">
        <v>100</v>
      </c>
      <c r="I147" s="872" t="s">
        <v>133</v>
      </c>
      <c r="J147" s="873" t="s">
        <v>134</v>
      </c>
      <c r="K147" s="960" t="s">
        <v>100</v>
      </c>
      <c r="L147" s="872" t="s">
        <v>133</v>
      </c>
      <c r="M147" s="873" t="s">
        <v>134</v>
      </c>
      <c r="N147" s="893" t="s">
        <v>100</v>
      </c>
      <c r="O147" s="1462"/>
      <c r="P147" s="1473"/>
    </row>
    <row r="148" spans="1:18" ht="30" customHeight="1">
      <c r="A148" s="797"/>
      <c r="B148" s="843" t="s">
        <v>151</v>
      </c>
      <c r="C148" s="713"/>
      <c r="D148" s="134"/>
      <c r="E148" s="135"/>
      <c r="F148" s="713"/>
      <c r="G148" s="714"/>
      <c r="H148" s="141"/>
      <c r="I148" s="713"/>
      <c r="J148" s="714"/>
      <c r="K148" s="141"/>
      <c r="L148" s="713"/>
      <c r="M148" s="714"/>
      <c r="N148" s="141"/>
      <c r="O148" s="643" t="s">
        <v>922</v>
      </c>
      <c r="P148" s="931"/>
    </row>
    <row r="149" spans="1:18" s="676" customFormat="1" ht="30" customHeight="1">
      <c r="A149" s="192">
        <v>149</v>
      </c>
      <c r="B149" s="241" t="s">
        <v>822</v>
      </c>
      <c r="C149" s="137"/>
      <c r="D149" s="139"/>
      <c r="E149" s="140">
        <f t="shared" ref="E149:E155" si="32">D149+C149</f>
        <v>0</v>
      </c>
      <c r="F149" s="137"/>
      <c r="G149" s="138"/>
      <c r="H149" s="142">
        <f t="shared" ref="H149:H155" si="33">G149+F149</f>
        <v>0</v>
      </c>
      <c r="I149" s="137">
        <v>0</v>
      </c>
      <c r="J149" s="138">
        <v>116</v>
      </c>
      <c r="K149" s="142">
        <f t="shared" ref="K149:K155" si="34">J149+I149</f>
        <v>116</v>
      </c>
      <c r="L149" s="137"/>
      <c r="M149" s="138"/>
      <c r="N149" s="142">
        <f t="shared" ref="N149:N155" si="35">M149+L149</f>
        <v>0</v>
      </c>
      <c r="O149" s="238" t="s">
        <v>923</v>
      </c>
      <c r="P149" s="932">
        <v>149</v>
      </c>
    </row>
    <row r="150" spans="1:18" ht="30" customHeight="1">
      <c r="A150" s="797">
        <v>150</v>
      </c>
      <c r="B150" s="271" t="s">
        <v>823</v>
      </c>
      <c r="C150" s="713"/>
      <c r="D150" s="134"/>
      <c r="E150" s="135">
        <f t="shared" si="32"/>
        <v>0</v>
      </c>
      <c r="F150" s="713"/>
      <c r="G150" s="714"/>
      <c r="H150" s="141">
        <f t="shared" si="33"/>
        <v>0</v>
      </c>
      <c r="I150" s="713">
        <v>0</v>
      </c>
      <c r="J150" s="714">
        <v>0</v>
      </c>
      <c r="K150" s="141">
        <f t="shared" si="34"/>
        <v>0</v>
      </c>
      <c r="L150" s="713"/>
      <c r="M150" s="714"/>
      <c r="N150" s="141">
        <f t="shared" si="35"/>
        <v>0</v>
      </c>
      <c r="O150" s="743" t="s">
        <v>40</v>
      </c>
      <c r="P150" s="931">
        <v>150</v>
      </c>
    </row>
    <row r="151" spans="1:18" s="676" customFormat="1" ht="30" customHeight="1">
      <c r="A151" s="192">
        <v>151</v>
      </c>
      <c r="B151" s="241" t="s">
        <v>778</v>
      </c>
      <c r="C151" s="137"/>
      <c r="D151" s="139"/>
      <c r="E151" s="140">
        <f t="shared" si="32"/>
        <v>0</v>
      </c>
      <c r="F151" s="137"/>
      <c r="G151" s="138"/>
      <c r="H151" s="142">
        <f t="shared" si="33"/>
        <v>0</v>
      </c>
      <c r="I151" s="137">
        <v>0</v>
      </c>
      <c r="J151" s="138">
        <v>100</v>
      </c>
      <c r="K151" s="142">
        <f t="shared" si="34"/>
        <v>100</v>
      </c>
      <c r="L151" s="137"/>
      <c r="M151" s="138"/>
      <c r="N151" s="142">
        <f t="shared" si="35"/>
        <v>0</v>
      </c>
      <c r="O151" s="238" t="s">
        <v>924</v>
      </c>
      <c r="P151" s="932">
        <v>151</v>
      </c>
    </row>
    <row r="152" spans="1:18" ht="30" customHeight="1">
      <c r="A152" s="797">
        <v>152</v>
      </c>
      <c r="B152" s="271" t="s">
        <v>486</v>
      </c>
      <c r="C152" s="713"/>
      <c r="D152" s="134"/>
      <c r="E152" s="135">
        <f t="shared" si="32"/>
        <v>0</v>
      </c>
      <c r="F152" s="713"/>
      <c r="G152" s="714"/>
      <c r="H152" s="141">
        <f t="shared" si="33"/>
        <v>0</v>
      </c>
      <c r="I152" s="713">
        <v>0</v>
      </c>
      <c r="J152" s="714">
        <v>0</v>
      </c>
      <c r="K152" s="141">
        <f t="shared" si="34"/>
        <v>0</v>
      </c>
      <c r="L152" s="713"/>
      <c r="M152" s="714"/>
      <c r="N152" s="141">
        <f t="shared" si="35"/>
        <v>0</v>
      </c>
      <c r="O152" s="643" t="s">
        <v>925</v>
      </c>
      <c r="P152" s="927">
        <v>152</v>
      </c>
    </row>
    <row r="153" spans="1:18" s="676" customFormat="1" ht="30" customHeight="1">
      <c r="A153" s="192">
        <v>153</v>
      </c>
      <c r="B153" s="241" t="s">
        <v>824</v>
      </c>
      <c r="C153" s="137"/>
      <c r="D153" s="139"/>
      <c r="E153" s="140">
        <f t="shared" si="32"/>
        <v>0</v>
      </c>
      <c r="F153" s="137"/>
      <c r="G153" s="138"/>
      <c r="H153" s="142">
        <f t="shared" si="33"/>
        <v>0</v>
      </c>
      <c r="I153" s="137">
        <v>0</v>
      </c>
      <c r="J153" s="138">
        <v>0</v>
      </c>
      <c r="K153" s="142">
        <f t="shared" si="34"/>
        <v>0</v>
      </c>
      <c r="L153" s="137"/>
      <c r="M153" s="138"/>
      <c r="N153" s="142">
        <f t="shared" si="35"/>
        <v>0</v>
      </c>
      <c r="O153" s="238" t="s">
        <v>926</v>
      </c>
      <c r="P153" s="928">
        <v>153</v>
      </c>
    </row>
    <row r="154" spans="1:18" ht="30" customHeight="1">
      <c r="A154" s="797">
        <v>154</v>
      </c>
      <c r="B154" s="271" t="s">
        <v>825</v>
      </c>
      <c r="C154" s="713"/>
      <c r="D154" s="134"/>
      <c r="E154" s="135">
        <f t="shared" si="32"/>
        <v>0</v>
      </c>
      <c r="F154" s="713"/>
      <c r="G154" s="714"/>
      <c r="H154" s="141">
        <f t="shared" si="33"/>
        <v>0</v>
      </c>
      <c r="I154" s="713">
        <v>0</v>
      </c>
      <c r="J154" s="714">
        <v>0</v>
      </c>
      <c r="K154" s="141">
        <f t="shared" si="34"/>
        <v>0</v>
      </c>
      <c r="L154" s="713"/>
      <c r="M154" s="714"/>
      <c r="N154" s="141">
        <f t="shared" si="35"/>
        <v>0</v>
      </c>
      <c r="O154" s="643" t="s">
        <v>927</v>
      </c>
      <c r="P154" s="927">
        <v>154</v>
      </c>
    </row>
    <row r="155" spans="1:18" s="676" customFormat="1" ht="30" customHeight="1">
      <c r="A155" s="192">
        <v>155</v>
      </c>
      <c r="B155" s="241" t="s">
        <v>826</v>
      </c>
      <c r="C155" s="137"/>
      <c r="D155" s="139"/>
      <c r="E155" s="140">
        <f t="shared" si="32"/>
        <v>0</v>
      </c>
      <c r="F155" s="137"/>
      <c r="G155" s="138"/>
      <c r="H155" s="142">
        <f t="shared" si="33"/>
        <v>0</v>
      </c>
      <c r="I155" s="137">
        <v>0</v>
      </c>
      <c r="J155" s="138">
        <v>0</v>
      </c>
      <c r="K155" s="142">
        <f t="shared" si="34"/>
        <v>0</v>
      </c>
      <c r="L155" s="137"/>
      <c r="M155" s="138"/>
      <c r="N155" s="142">
        <f t="shared" si="35"/>
        <v>0</v>
      </c>
      <c r="O155" s="238" t="s">
        <v>928</v>
      </c>
      <c r="P155" s="928">
        <v>155</v>
      </c>
    </row>
    <row r="156" spans="1:18" s="676" customFormat="1" ht="30" customHeight="1">
      <c r="A156" s="797"/>
      <c r="B156" s="843" t="s">
        <v>827</v>
      </c>
      <c r="C156" s="713"/>
      <c r="D156" s="134"/>
      <c r="E156" s="135"/>
      <c r="F156" s="713"/>
      <c r="G156" s="714"/>
      <c r="H156" s="141"/>
      <c r="I156" s="713"/>
      <c r="J156" s="714"/>
      <c r="K156" s="141"/>
      <c r="L156" s="713"/>
      <c r="M156" s="714"/>
      <c r="N156" s="141"/>
      <c r="O156" s="643" t="s">
        <v>929</v>
      </c>
      <c r="P156" s="927"/>
    </row>
    <row r="157" spans="1:18" ht="30" customHeight="1">
      <c r="A157" s="192">
        <v>156</v>
      </c>
      <c r="B157" s="241" t="s">
        <v>823</v>
      </c>
      <c r="C157" s="137"/>
      <c r="D157" s="139"/>
      <c r="E157" s="140">
        <f t="shared" ref="E157:E164" si="36">D157+C157</f>
        <v>0</v>
      </c>
      <c r="F157" s="137"/>
      <c r="G157" s="138"/>
      <c r="H157" s="142">
        <f t="shared" ref="H157:H164" si="37">G157+F157</f>
        <v>0</v>
      </c>
      <c r="I157" s="137"/>
      <c r="J157" s="138">
        <v>0</v>
      </c>
      <c r="K157" s="142">
        <f t="shared" ref="K157:K164" si="38">J157+I157</f>
        <v>0</v>
      </c>
      <c r="L157" s="137"/>
      <c r="M157" s="138"/>
      <c r="N157" s="142">
        <f t="shared" ref="N157:N164" si="39">M157+L157</f>
        <v>0</v>
      </c>
      <c r="O157" s="238" t="s">
        <v>930</v>
      </c>
      <c r="P157" s="928">
        <v>156</v>
      </c>
    </row>
    <row r="158" spans="1:18" s="676" customFormat="1" ht="30" customHeight="1">
      <c r="A158" s="797">
        <v>157</v>
      </c>
      <c r="B158" s="271" t="s">
        <v>784</v>
      </c>
      <c r="C158" s="713"/>
      <c r="D158" s="134"/>
      <c r="E158" s="135">
        <f t="shared" si="36"/>
        <v>0</v>
      </c>
      <c r="F158" s="713"/>
      <c r="G158" s="714"/>
      <c r="H158" s="141">
        <f t="shared" si="37"/>
        <v>0</v>
      </c>
      <c r="I158" s="713"/>
      <c r="J158" s="714">
        <v>67</v>
      </c>
      <c r="K158" s="141">
        <f t="shared" si="38"/>
        <v>67</v>
      </c>
      <c r="L158" s="713"/>
      <c r="M158" s="714"/>
      <c r="N158" s="141">
        <f t="shared" si="39"/>
        <v>0</v>
      </c>
      <c r="O158" s="643" t="s">
        <v>873</v>
      </c>
      <c r="P158" s="927">
        <v>157</v>
      </c>
    </row>
    <row r="159" spans="1:18" ht="30" customHeight="1">
      <c r="A159" s="192">
        <v>158</v>
      </c>
      <c r="B159" s="240" t="s">
        <v>778</v>
      </c>
      <c r="C159" s="137"/>
      <c r="D159" s="139"/>
      <c r="E159" s="140">
        <f t="shared" si="36"/>
        <v>0</v>
      </c>
      <c r="F159" s="137"/>
      <c r="G159" s="138"/>
      <c r="H159" s="142">
        <f t="shared" si="37"/>
        <v>0</v>
      </c>
      <c r="I159" s="137"/>
      <c r="J159" s="138">
        <v>0</v>
      </c>
      <c r="K159" s="142">
        <f t="shared" si="38"/>
        <v>0</v>
      </c>
      <c r="L159" s="137"/>
      <c r="M159" s="138"/>
      <c r="N159" s="142">
        <f t="shared" si="39"/>
        <v>0</v>
      </c>
      <c r="O159" s="1000" t="s">
        <v>41</v>
      </c>
      <c r="P159" s="928">
        <v>158</v>
      </c>
    </row>
    <row r="160" spans="1:18" ht="30" customHeight="1">
      <c r="A160" s="797"/>
      <c r="B160" s="1005" t="s">
        <v>121</v>
      </c>
      <c r="C160" s="713"/>
      <c r="D160" s="134"/>
      <c r="E160" s="135"/>
      <c r="F160" s="713"/>
      <c r="G160" s="714"/>
      <c r="H160" s="141"/>
      <c r="I160" s="713"/>
      <c r="J160" s="714"/>
      <c r="K160" s="141"/>
      <c r="L160" s="714"/>
      <c r="M160" s="714"/>
      <c r="N160" s="714"/>
      <c r="O160" s="643" t="s">
        <v>931</v>
      </c>
      <c r="P160" s="927"/>
    </row>
    <row r="161" spans="1:16" s="676" customFormat="1" ht="30" customHeight="1">
      <c r="A161" s="192">
        <v>159</v>
      </c>
      <c r="B161" s="315" t="s">
        <v>783</v>
      </c>
      <c r="C161" s="137"/>
      <c r="D161" s="139"/>
      <c r="E161" s="140">
        <f t="shared" si="36"/>
        <v>0</v>
      </c>
      <c r="F161" s="137"/>
      <c r="G161" s="138"/>
      <c r="H161" s="142">
        <f t="shared" si="37"/>
        <v>0</v>
      </c>
      <c r="I161" s="137">
        <v>0</v>
      </c>
      <c r="J161" s="138">
        <v>0</v>
      </c>
      <c r="K161" s="142">
        <f t="shared" si="38"/>
        <v>0</v>
      </c>
      <c r="L161" s="138"/>
      <c r="M161" s="138"/>
      <c r="N161" s="138">
        <f t="shared" si="39"/>
        <v>0</v>
      </c>
      <c r="O161" s="238" t="s">
        <v>932</v>
      </c>
      <c r="P161" s="928">
        <v>159</v>
      </c>
    </row>
    <row r="162" spans="1:16" ht="33" customHeight="1">
      <c r="A162" s="797">
        <v>160</v>
      </c>
      <c r="B162" s="814" t="s">
        <v>784</v>
      </c>
      <c r="C162" s="713"/>
      <c r="D162" s="134"/>
      <c r="E162" s="135">
        <f t="shared" si="36"/>
        <v>0</v>
      </c>
      <c r="F162" s="713"/>
      <c r="G162" s="714"/>
      <c r="H162" s="141">
        <f t="shared" si="37"/>
        <v>0</v>
      </c>
      <c r="I162" s="713">
        <v>0</v>
      </c>
      <c r="J162" s="714">
        <v>121</v>
      </c>
      <c r="K162" s="141">
        <f t="shared" si="38"/>
        <v>121</v>
      </c>
      <c r="L162" s="714"/>
      <c r="M162" s="714"/>
      <c r="N162" s="714">
        <f t="shared" si="39"/>
        <v>0</v>
      </c>
      <c r="O162" s="643" t="s">
        <v>933</v>
      </c>
      <c r="P162" s="927">
        <v>160</v>
      </c>
    </row>
    <row r="163" spans="1:16" s="676" customFormat="1" ht="33" customHeight="1">
      <c r="A163" s="192">
        <v>161</v>
      </c>
      <c r="B163" s="315" t="s">
        <v>331</v>
      </c>
      <c r="C163" s="137"/>
      <c r="D163" s="139"/>
      <c r="E163" s="140">
        <f t="shared" si="36"/>
        <v>0</v>
      </c>
      <c r="F163" s="137"/>
      <c r="G163" s="138"/>
      <c r="H163" s="142">
        <f t="shared" si="37"/>
        <v>0</v>
      </c>
      <c r="I163" s="137">
        <v>0</v>
      </c>
      <c r="J163" s="138">
        <v>0</v>
      </c>
      <c r="K163" s="142">
        <f t="shared" si="38"/>
        <v>0</v>
      </c>
      <c r="L163" s="138"/>
      <c r="M163" s="138"/>
      <c r="N163" s="138">
        <f t="shared" si="39"/>
        <v>0</v>
      </c>
      <c r="O163" s="238" t="s">
        <v>934</v>
      </c>
      <c r="P163" s="928">
        <v>161</v>
      </c>
    </row>
    <row r="164" spans="1:16" ht="33" customHeight="1">
      <c r="A164" s="800">
        <v>162</v>
      </c>
      <c r="B164" s="816" t="s">
        <v>332</v>
      </c>
      <c r="C164" s="811"/>
      <c r="D164" s="194"/>
      <c r="E164" s="195">
        <f t="shared" si="36"/>
        <v>0</v>
      </c>
      <c r="F164" s="811"/>
      <c r="G164" s="812"/>
      <c r="H164" s="193">
        <f t="shared" si="37"/>
        <v>0</v>
      </c>
      <c r="I164" s="811"/>
      <c r="J164" s="812">
        <v>0</v>
      </c>
      <c r="K164" s="193">
        <f t="shared" si="38"/>
        <v>0</v>
      </c>
      <c r="L164" s="812"/>
      <c r="M164" s="812"/>
      <c r="N164" s="812">
        <f t="shared" si="39"/>
        <v>0</v>
      </c>
      <c r="O164" s="696" t="s">
        <v>935</v>
      </c>
      <c r="P164" s="930">
        <v>162</v>
      </c>
    </row>
    <row r="165" spans="1:16" ht="15" customHeight="1">
      <c r="A165" s="1508" t="s">
        <v>753</v>
      </c>
      <c r="B165" s="1508"/>
      <c r="C165" s="1508"/>
      <c r="D165" s="1508"/>
      <c r="E165" s="1508"/>
      <c r="F165" s="168"/>
      <c r="G165" s="168"/>
      <c r="H165" s="168"/>
      <c r="I165" s="1509" t="s">
        <v>748</v>
      </c>
      <c r="J165" s="1509"/>
      <c r="K165" s="1509"/>
      <c r="L165" s="1509"/>
      <c r="M165" s="1509"/>
      <c r="N165" s="1509"/>
      <c r="O165" s="1509"/>
      <c r="P165" s="1509"/>
    </row>
    <row r="166" spans="1:16" ht="18" customHeight="1">
      <c r="A166" s="1438" t="s">
        <v>621</v>
      </c>
      <c r="B166" s="1468" t="s">
        <v>286</v>
      </c>
      <c r="C166" s="1320" t="s">
        <v>750</v>
      </c>
      <c r="D166" s="1470"/>
      <c r="E166" s="1470"/>
      <c r="F166" s="1479" t="s">
        <v>744</v>
      </c>
      <c r="G166" s="1510"/>
      <c r="H166" s="1510"/>
      <c r="I166" s="1320" t="s">
        <v>582</v>
      </c>
      <c r="J166" s="1470"/>
      <c r="K166" s="1470"/>
      <c r="L166" s="1511" t="s">
        <v>79</v>
      </c>
      <c r="M166" s="1512"/>
      <c r="N166" s="1513"/>
      <c r="O166" s="1513" t="s">
        <v>709</v>
      </c>
      <c r="P166" s="1471" t="s">
        <v>728</v>
      </c>
    </row>
    <row r="167" spans="1:16" ht="18" customHeight="1">
      <c r="A167" s="1439"/>
      <c r="B167" s="1468"/>
      <c r="C167" s="1280"/>
      <c r="D167" s="1474"/>
      <c r="E167" s="1474"/>
      <c r="F167" s="1503"/>
      <c r="G167" s="1504"/>
      <c r="H167" s="1504"/>
      <c r="I167" s="1280"/>
      <c r="J167" s="1474"/>
      <c r="K167" s="1474"/>
      <c r="L167" s="1505"/>
      <c r="M167" s="1506"/>
      <c r="N167" s="1507"/>
      <c r="O167" s="1507"/>
      <c r="P167" s="1472"/>
    </row>
    <row r="168" spans="1:16" ht="28" customHeight="1">
      <c r="A168" s="1439"/>
      <c r="B168" s="1468"/>
      <c r="C168" s="1280" t="s">
        <v>138</v>
      </c>
      <c r="D168" s="1474"/>
      <c r="E168" s="1474"/>
      <c r="F168" s="1503" t="s">
        <v>655</v>
      </c>
      <c r="G168" s="1504"/>
      <c r="H168" s="1504"/>
      <c r="I168" s="1280" t="s">
        <v>587</v>
      </c>
      <c r="J168" s="1474"/>
      <c r="K168" s="1474"/>
      <c r="L168" s="1505" t="s">
        <v>137</v>
      </c>
      <c r="M168" s="1506"/>
      <c r="N168" s="1507"/>
      <c r="O168" s="1507"/>
      <c r="P168" s="1472"/>
    </row>
    <row r="169" spans="1:16" ht="18" customHeight="1">
      <c r="A169" s="1439"/>
      <c r="B169" s="1468"/>
      <c r="C169" s="1280" t="s">
        <v>583</v>
      </c>
      <c r="D169" s="1474" t="s">
        <v>581</v>
      </c>
      <c r="E169" s="1474" t="s">
        <v>489</v>
      </c>
      <c r="F169" s="1280" t="s">
        <v>583</v>
      </c>
      <c r="G169" s="1474" t="s">
        <v>589</v>
      </c>
      <c r="H169" s="1474" t="s">
        <v>489</v>
      </c>
      <c r="I169" s="1280" t="s">
        <v>583</v>
      </c>
      <c r="J169" s="1474" t="s">
        <v>589</v>
      </c>
      <c r="K169" s="1474" t="s">
        <v>489</v>
      </c>
      <c r="L169" s="1280" t="s">
        <v>583</v>
      </c>
      <c r="M169" s="1474" t="s">
        <v>588</v>
      </c>
      <c r="N169" s="1475" t="s">
        <v>489</v>
      </c>
      <c r="O169" s="1507"/>
      <c r="P169" s="1472"/>
    </row>
    <row r="170" spans="1:16" ht="18" customHeight="1">
      <c r="A170" s="1439"/>
      <c r="B170" s="1468"/>
      <c r="C170" s="1280"/>
      <c r="D170" s="1474"/>
      <c r="E170" s="1474"/>
      <c r="F170" s="1280"/>
      <c r="G170" s="1474"/>
      <c r="H170" s="1474"/>
      <c r="I170" s="1280"/>
      <c r="J170" s="1474"/>
      <c r="K170" s="1474"/>
      <c r="L170" s="1280"/>
      <c r="M170" s="1474"/>
      <c r="N170" s="1475"/>
      <c r="O170" s="1507"/>
      <c r="P170" s="1472"/>
    </row>
    <row r="171" spans="1:16" ht="18.75" customHeight="1">
      <c r="A171" s="1462"/>
      <c r="B171" s="1468"/>
      <c r="C171" s="872" t="s">
        <v>133</v>
      </c>
      <c r="D171" s="873" t="s">
        <v>134</v>
      </c>
      <c r="E171" s="960" t="s">
        <v>100</v>
      </c>
      <c r="F171" s="872" t="s">
        <v>133</v>
      </c>
      <c r="G171" s="873" t="s">
        <v>134</v>
      </c>
      <c r="H171" s="960" t="s">
        <v>100</v>
      </c>
      <c r="I171" s="872" t="s">
        <v>133</v>
      </c>
      <c r="J171" s="873" t="s">
        <v>134</v>
      </c>
      <c r="K171" s="960" t="s">
        <v>100</v>
      </c>
      <c r="L171" s="872" t="s">
        <v>133</v>
      </c>
      <c r="M171" s="873" t="s">
        <v>134</v>
      </c>
      <c r="N171" s="893" t="s">
        <v>100</v>
      </c>
      <c r="O171" s="1514"/>
      <c r="P171" s="1473"/>
    </row>
    <row r="172" spans="1:16" ht="29" customHeight="1">
      <c r="A172" s="604"/>
      <c r="B172" s="1006" t="s">
        <v>122</v>
      </c>
      <c r="C172" s="849"/>
      <c r="D172" s="491"/>
      <c r="E172" s="842"/>
      <c r="F172" s="849"/>
      <c r="G172" s="491"/>
      <c r="H172" s="842"/>
      <c r="I172" s="849"/>
      <c r="J172" s="491"/>
      <c r="K172" s="842"/>
      <c r="L172" s="987"/>
      <c r="M172" s="491"/>
      <c r="N172" s="842"/>
      <c r="O172" s="1007" t="s">
        <v>22</v>
      </c>
      <c r="P172" s="1008"/>
    </row>
    <row r="173" spans="1:16" s="676" customFormat="1" ht="29" customHeight="1">
      <c r="A173" s="797">
        <v>163</v>
      </c>
      <c r="B173" s="814" t="s">
        <v>780</v>
      </c>
      <c r="C173" s="713"/>
      <c r="D173" s="134"/>
      <c r="E173" s="135">
        <f>D173+C173</f>
        <v>0</v>
      </c>
      <c r="F173" s="713"/>
      <c r="G173" s="714"/>
      <c r="H173" s="141">
        <f>G173+F173</f>
        <v>0</v>
      </c>
      <c r="I173" s="713">
        <v>0</v>
      </c>
      <c r="J173" s="714">
        <v>0</v>
      </c>
      <c r="K173" s="141">
        <f>J173+I173</f>
        <v>0</v>
      </c>
      <c r="L173" s="714"/>
      <c r="M173" s="714"/>
      <c r="N173" s="714">
        <f>M173+L173</f>
        <v>0</v>
      </c>
      <c r="O173" s="643" t="s">
        <v>936</v>
      </c>
      <c r="P173" s="927">
        <v>163</v>
      </c>
    </row>
    <row r="174" spans="1:16" ht="29" customHeight="1">
      <c r="A174" s="192">
        <v>164</v>
      </c>
      <c r="B174" s="315" t="s">
        <v>822</v>
      </c>
      <c r="C174" s="137"/>
      <c r="D174" s="139"/>
      <c r="E174" s="140">
        <f>D174+C174</f>
        <v>0</v>
      </c>
      <c r="F174" s="137"/>
      <c r="G174" s="138"/>
      <c r="H174" s="142">
        <f>G174+F174</f>
        <v>0</v>
      </c>
      <c r="I174" s="137">
        <v>0</v>
      </c>
      <c r="J174" s="138">
        <v>0</v>
      </c>
      <c r="K174" s="142">
        <f>J174+I174</f>
        <v>0</v>
      </c>
      <c r="L174" s="138"/>
      <c r="M174" s="138"/>
      <c r="N174" s="138">
        <f>M174+L174</f>
        <v>0</v>
      </c>
      <c r="O174" s="238" t="s">
        <v>937</v>
      </c>
      <c r="P174" s="932">
        <v>164</v>
      </c>
    </row>
    <row r="175" spans="1:16" s="676" customFormat="1" ht="29" customHeight="1">
      <c r="A175" s="797">
        <v>165</v>
      </c>
      <c r="B175" s="814" t="s">
        <v>333</v>
      </c>
      <c r="C175" s="713"/>
      <c r="D175" s="134"/>
      <c r="E175" s="135">
        <f t="shared" ref="E175:E181" si="40">D175+C175</f>
        <v>0</v>
      </c>
      <c r="F175" s="713"/>
      <c r="G175" s="714"/>
      <c r="H175" s="141">
        <f t="shared" ref="H175:H181" si="41">G175+F175</f>
        <v>0</v>
      </c>
      <c r="I175" s="713">
        <v>0</v>
      </c>
      <c r="J175" s="714">
        <v>0</v>
      </c>
      <c r="K175" s="141">
        <f t="shared" ref="K175:K181" si="42">J175+I175</f>
        <v>0</v>
      </c>
      <c r="L175" s="714"/>
      <c r="M175" s="714"/>
      <c r="N175" s="714">
        <f t="shared" ref="N175:N181" si="43">M175+L175</f>
        <v>0</v>
      </c>
      <c r="O175" s="743" t="s">
        <v>23</v>
      </c>
      <c r="P175" s="931">
        <v>165</v>
      </c>
    </row>
    <row r="176" spans="1:16" ht="29" customHeight="1">
      <c r="A176" s="192">
        <v>166</v>
      </c>
      <c r="B176" s="315" t="s">
        <v>660</v>
      </c>
      <c r="C176" s="137"/>
      <c r="D176" s="139"/>
      <c r="E176" s="140">
        <f t="shared" si="40"/>
        <v>0</v>
      </c>
      <c r="F176" s="137"/>
      <c r="G176" s="138"/>
      <c r="H176" s="142">
        <f t="shared" si="41"/>
        <v>0</v>
      </c>
      <c r="I176" s="137">
        <v>0</v>
      </c>
      <c r="J176" s="138">
        <v>49</v>
      </c>
      <c r="K176" s="142">
        <f t="shared" si="42"/>
        <v>49</v>
      </c>
      <c r="L176" s="138"/>
      <c r="M176" s="138"/>
      <c r="N176" s="138">
        <f t="shared" si="43"/>
        <v>0</v>
      </c>
      <c r="O176" s="238" t="s">
        <v>938</v>
      </c>
      <c r="P176" s="932">
        <v>166</v>
      </c>
    </row>
    <row r="177" spans="1:18" ht="29" customHeight="1">
      <c r="A177" s="797"/>
      <c r="B177" s="1005" t="s">
        <v>123</v>
      </c>
      <c r="C177" s="713"/>
      <c r="D177" s="134"/>
      <c r="E177" s="135"/>
      <c r="F177" s="713"/>
      <c r="G177" s="714"/>
      <c r="H177" s="141"/>
      <c r="I177" s="713"/>
      <c r="J177" s="714"/>
      <c r="K177" s="141"/>
      <c r="L177" s="714"/>
      <c r="M177" s="714"/>
      <c r="N177" s="714"/>
      <c r="O177" s="643" t="s">
        <v>939</v>
      </c>
      <c r="P177" s="931"/>
    </row>
    <row r="178" spans="1:18" s="676" customFormat="1" ht="29" customHeight="1">
      <c r="A178" s="192">
        <v>167</v>
      </c>
      <c r="B178" s="315" t="s">
        <v>780</v>
      </c>
      <c r="C178" s="137"/>
      <c r="D178" s="139"/>
      <c r="E178" s="140">
        <f t="shared" si="40"/>
        <v>0</v>
      </c>
      <c r="F178" s="137"/>
      <c r="G178" s="138"/>
      <c r="H178" s="142">
        <f t="shared" si="41"/>
        <v>0</v>
      </c>
      <c r="I178" s="137">
        <v>0</v>
      </c>
      <c r="J178" s="138">
        <v>110</v>
      </c>
      <c r="K178" s="142">
        <f t="shared" si="42"/>
        <v>110</v>
      </c>
      <c r="L178" s="138"/>
      <c r="M178" s="138"/>
      <c r="N178" s="138">
        <f t="shared" si="43"/>
        <v>0</v>
      </c>
      <c r="O178" s="238" t="s">
        <v>940</v>
      </c>
      <c r="P178" s="932">
        <v>167</v>
      </c>
    </row>
    <row r="179" spans="1:18" s="676" customFormat="1" ht="29" customHeight="1">
      <c r="A179" s="797"/>
      <c r="B179" s="1005" t="s">
        <v>153</v>
      </c>
      <c r="C179" s="713"/>
      <c r="D179" s="134"/>
      <c r="E179" s="135"/>
      <c r="F179" s="713"/>
      <c r="G179" s="714"/>
      <c r="H179" s="141"/>
      <c r="I179" s="713"/>
      <c r="J179" s="714"/>
      <c r="K179" s="141"/>
      <c r="L179" s="714"/>
      <c r="M179" s="714"/>
      <c r="N179" s="714"/>
      <c r="O179" s="643" t="s">
        <v>941</v>
      </c>
      <c r="P179" s="931"/>
    </row>
    <row r="180" spans="1:18" ht="29" customHeight="1">
      <c r="A180" s="192">
        <v>168</v>
      </c>
      <c r="B180" s="315" t="s">
        <v>778</v>
      </c>
      <c r="C180" s="137"/>
      <c r="D180" s="139"/>
      <c r="E180" s="140">
        <f t="shared" si="40"/>
        <v>0</v>
      </c>
      <c r="F180" s="137"/>
      <c r="G180" s="138"/>
      <c r="H180" s="142">
        <f t="shared" si="41"/>
        <v>0</v>
      </c>
      <c r="I180" s="137">
        <v>0</v>
      </c>
      <c r="J180" s="138">
        <v>81</v>
      </c>
      <c r="K180" s="142">
        <f t="shared" si="42"/>
        <v>81</v>
      </c>
      <c r="L180" s="138"/>
      <c r="M180" s="138"/>
      <c r="N180" s="138">
        <f t="shared" si="43"/>
        <v>0</v>
      </c>
      <c r="O180" s="238" t="s">
        <v>828</v>
      </c>
      <c r="P180" s="932">
        <v>168</v>
      </c>
    </row>
    <row r="181" spans="1:18" s="676" customFormat="1" ht="29" customHeight="1">
      <c r="A181" s="797">
        <v>169</v>
      </c>
      <c r="B181" s="814" t="s">
        <v>784</v>
      </c>
      <c r="C181" s="713"/>
      <c r="D181" s="134"/>
      <c r="E181" s="135">
        <f t="shared" si="40"/>
        <v>0</v>
      </c>
      <c r="F181" s="713"/>
      <c r="G181" s="714"/>
      <c r="H181" s="141">
        <f t="shared" si="41"/>
        <v>0</v>
      </c>
      <c r="I181" s="713">
        <v>0</v>
      </c>
      <c r="J181" s="714">
        <v>67</v>
      </c>
      <c r="K181" s="141">
        <f t="shared" si="42"/>
        <v>67</v>
      </c>
      <c r="L181" s="714"/>
      <c r="M181" s="714"/>
      <c r="N181" s="714">
        <f t="shared" si="43"/>
        <v>0</v>
      </c>
      <c r="O181" s="643" t="s">
        <v>943</v>
      </c>
      <c r="P181" s="931">
        <v>169</v>
      </c>
    </row>
    <row r="182" spans="1:18" s="676" customFormat="1" ht="29" customHeight="1">
      <c r="A182" s="192"/>
      <c r="B182" s="1009" t="s">
        <v>154</v>
      </c>
      <c r="C182" s="137"/>
      <c r="D182" s="139"/>
      <c r="E182" s="140"/>
      <c r="F182" s="137"/>
      <c r="G182" s="138"/>
      <c r="H182" s="142"/>
      <c r="I182" s="137"/>
      <c r="J182" s="138"/>
      <c r="K182" s="142"/>
      <c r="L182" s="138"/>
      <c r="M182" s="138"/>
      <c r="N182" s="138"/>
      <c r="O182" s="1000" t="s">
        <v>942</v>
      </c>
      <c r="P182" s="932"/>
    </row>
    <row r="183" spans="1:18" ht="29" customHeight="1">
      <c r="A183" s="797">
        <v>170</v>
      </c>
      <c r="B183" s="239" t="s">
        <v>804</v>
      </c>
      <c r="C183" s="713"/>
      <c r="D183" s="134"/>
      <c r="E183" s="135">
        <f t="shared" ref="E183:E189" si="44">D183+C183</f>
        <v>0</v>
      </c>
      <c r="F183" s="713"/>
      <c r="G183" s="714"/>
      <c r="H183" s="141">
        <f t="shared" ref="H183:H189" si="45">G183+F183</f>
        <v>0</v>
      </c>
      <c r="I183" s="713">
        <v>0</v>
      </c>
      <c r="J183" s="714">
        <v>114</v>
      </c>
      <c r="K183" s="141">
        <f t="shared" ref="K183:K189" si="46">J183+I183</f>
        <v>114</v>
      </c>
      <c r="L183" s="714"/>
      <c r="M183" s="714"/>
      <c r="N183" s="714">
        <f t="shared" ref="N183:N189" si="47">M183+L183</f>
        <v>0</v>
      </c>
      <c r="O183" s="643" t="s">
        <v>944</v>
      </c>
      <c r="P183" s="931">
        <v>170</v>
      </c>
    </row>
    <row r="184" spans="1:18" s="676" customFormat="1" ht="29" customHeight="1">
      <c r="A184" s="192">
        <v>171</v>
      </c>
      <c r="B184" s="315" t="s">
        <v>780</v>
      </c>
      <c r="C184" s="137"/>
      <c r="D184" s="139"/>
      <c r="E184" s="140">
        <f t="shared" si="44"/>
        <v>0</v>
      </c>
      <c r="F184" s="137"/>
      <c r="G184" s="138"/>
      <c r="H184" s="142">
        <f t="shared" si="45"/>
        <v>0</v>
      </c>
      <c r="I184" s="137">
        <v>0</v>
      </c>
      <c r="J184" s="138">
        <v>0</v>
      </c>
      <c r="K184" s="142">
        <f t="shared" si="46"/>
        <v>0</v>
      </c>
      <c r="L184" s="137"/>
      <c r="M184" s="138"/>
      <c r="N184" s="142">
        <f t="shared" si="47"/>
        <v>0</v>
      </c>
      <c r="O184" s="238" t="s">
        <v>945</v>
      </c>
      <c r="P184" s="932">
        <v>171</v>
      </c>
    </row>
    <row r="185" spans="1:18" ht="29" customHeight="1">
      <c r="A185" s="797">
        <v>172</v>
      </c>
      <c r="B185" s="814" t="s">
        <v>778</v>
      </c>
      <c r="C185" s="713"/>
      <c r="D185" s="134"/>
      <c r="E185" s="135">
        <f t="shared" si="44"/>
        <v>0</v>
      </c>
      <c r="F185" s="713"/>
      <c r="G185" s="714"/>
      <c r="H185" s="141">
        <f t="shared" si="45"/>
        <v>0</v>
      </c>
      <c r="I185" s="713">
        <v>0</v>
      </c>
      <c r="J185" s="714">
        <v>0</v>
      </c>
      <c r="K185" s="141">
        <f t="shared" si="46"/>
        <v>0</v>
      </c>
      <c r="L185" s="714"/>
      <c r="M185" s="714"/>
      <c r="N185" s="714">
        <f t="shared" si="47"/>
        <v>0</v>
      </c>
      <c r="O185" s="743" t="s">
        <v>946</v>
      </c>
      <c r="P185" s="931">
        <v>172</v>
      </c>
      <c r="R185" s="11" t="s">
        <v>45</v>
      </c>
    </row>
    <row r="186" spans="1:18" s="676" customFormat="1" ht="29" customHeight="1">
      <c r="A186" s="192">
        <v>173</v>
      </c>
      <c r="B186" s="315" t="s">
        <v>829</v>
      </c>
      <c r="C186" s="137"/>
      <c r="D186" s="139"/>
      <c r="E186" s="140">
        <f t="shared" si="44"/>
        <v>0</v>
      </c>
      <c r="F186" s="137"/>
      <c r="G186" s="138"/>
      <c r="H186" s="142">
        <f t="shared" si="45"/>
        <v>0</v>
      </c>
      <c r="I186" s="137">
        <v>0</v>
      </c>
      <c r="J186" s="138">
        <v>152</v>
      </c>
      <c r="K186" s="142">
        <f t="shared" si="46"/>
        <v>152</v>
      </c>
      <c r="L186" s="138"/>
      <c r="M186" s="138"/>
      <c r="N186" s="138">
        <f t="shared" si="47"/>
        <v>0</v>
      </c>
      <c r="O186" s="238" t="s">
        <v>947</v>
      </c>
      <c r="P186" s="932">
        <v>173</v>
      </c>
    </row>
    <row r="187" spans="1:18" ht="29" customHeight="1">
      <c r="A187" s="797">
        <v>174</v>
      </c>
      <c r="B187" s="814" t="s">
        <v>334</v>
      </c>
      <c r="C187" s="713"/>
      <c r="D187" s="134"/>
      <c r="E187" s="135">
        <f t="shared" si="44"/>
        <v>0</v>
      </c>
      <c r="F187" s="713"/>
      <c r="G187" s="714"/>
      <c r="H187" s="141">
        <f t="shared" si="45"/>
        <v>0</v>
      </c>
      <c r="I187" s="713">
        <v>0</v>
      </c>
      <c r="J187" s="714">
        <v>29</v>
      </c>
      <c r="K187" s="141">
        <f t="shared" si="46"/>
        <v>29</v>
      </c>
      <c r="L187" s="713"/>
      <c r="M187" s="714"/>
      <c r="N187" s="714">
        <f t="shared" si="47"/>
        <v>0</v>
      </c>
      <c r="O187" s="643" t="s">
        <v>948</v>
      </c>
      <c r="P187" s="927">
        <v>174</v>
      </c>
    </row>
    <row r="188" spans="1:18" s="676" customFormat="1" ht="29" customHeight="1">
      <c r="A188" s="192">
        <v>175</v>
      </c>
      <c r="B188" s="315" t="s">
        <v>830</v>
      </c>
      <c r="C188" s="1010"/>
      <c r="D188" s="213"/>
      <c r="E188" s="295">
        <f t="shared" si="44"/>
        <v>0</v>
      </c>
      <c r="F188" s="1010"/>
      <c r="G188" s="213"/>
      <c r="H188" s="295">
        <f t="shared" si="45"/>
        <v>0</v>
      </c>
      <c r="I188" s="1010">
        <v>0</v>
      </c>
      <c r="J188" s="213">
        <v>0</v>
      </c>
      <c r="K188" s="311">
        <f t="shared" si="46"/>
        <v>0</v>
      </c>
      <c r="L188" s="137"/>
      <c r="M188" s="138"/>
      <c r="N188" s="142">
        <f t="shared" si="47"/>
        <v>0</v>
      </c>
      <c r="O188" s="238" t="s">
        <v>949</v>
      </c>
      <c r="P188" s="928">
        <v>175</v>
      </c>
    </row>
    <row r="189" spans="1:18" ht="29" customHeight="1">
      <c r="A189" s="800">
        <v>176</v>
      </c>
      <c r="B189" s="816" t="s">
        <v>831</v>
      </c>
      <c r="C189" s="811"/>
      <c r="D189" s="194"/>
      <c r="E189" s="195">
        <f t="shared" si="44"/>
        <v>0</v>
      </c>
      <c r="F189" s="811"/>
      <c r="G189" s="812"/>
      <c r="H189" s="193">
        <f t="shared" si="45"/>
        <v>0</v>
      </c>
      <c r="I189" s="811">
        <v>0</v>
      </c>
      <c r="J189" s="812">
        <v>0</v>
      </c>
      <c r="K189" s="193">
        <f t="shared" si="46"/>
        <v>0</v>
      </c>
      <c r="L189" s="811"/>
      <c r="M189" s="812"/>
      <c r="N189" s="193">
        <f t="shared" si="47"/>
        <v>0</v>
      </c>
      <c r="O189" s="817" t="s">
        <v>950</v>
      </c>
      <c r="P189" s="930">
        <v>176</v>
      </c>
    </row>
    <row r="190" spans="1:18" ht="22" customHeight="1">
      <c r="A190" s="1508" t="s">
        <v>753</v>
      </c>
      <c r="B190" s="1508"/>
      <c r="C190" s="157"/>
      <c r="D190" s="157"/>
      <c r="E190" s="157"/>
      <c r="F190" s="168"/>
      <c r="G190" s="168"/>
      <c r="H190" s="168"/>
      <c r="I190" s="168"/>
      <c r="J190" s="168"/>
      <c r="K190" s="1509" t="s">
        <v>749</v>
      </c>
      <c r="L190" s="1509"/>
      <c r="M190" s="1509"/>
      <c r="N190" s="1509"/>
      <c r="O190" s="1509"/>
      <c r="P190" s="1509"/>
    </row>
    <row r="191" spans="1:18" s="676" customFormat="1" ht="16" customHeight="1">
      <c r="A191" s="1438" t="s">
        <v>621</v>
      </c>
      <c r="B191" s="1468" t="s">
        <v>286</v>
      </c>
      <c r="C191" s="1320" t="s">
        <v>750</v>
      </c>
      <c r="D191" s="1470"/>
      <c r="E191" s="1470"/>
      <c r="F191" s="1479" t="s">
        <v>744</v>
      </c>
      <c r="G191" s="1510"/>
      <c r="H191" s="1510"/>
      <c r="I191" s="1320" t="s">
        <v>582</v>
      </c>
      <c r="J191" s="1470"/>
      <c r="K191" s="1470"/>
      <c r="L191" s="1511" t="s">
        <v>79</v>
      </c>
      <c r="M191" s="1512"/>
      <c r="N191" s="1513"/>
      <c r="O191" s="1513" t="s">
        <v>709</v>
      </c>
      <c r="P191" s="1471" t="s">
        <v>727</v>
      </c>
    </row>
    <row r="192" spans="1:18" ht="16" customHeight="1">
      <c r="A192" s="1439"/>
      <c r="B192" s="1468"/>
      <c r="C192" s="1280"/>
      <c r="D192" s="1474"/>
      <c r="E192" s="1474"/>
      <c r="F192" s="1503"/>
      <c r="G192" s="1504"/>
      <c r="H192" s="1504"/>
      <c r="I192" s="1280"/>
      <c r="J192" s="1474"/>
      <c r="K192" s="1474"/>
      <c r="L192" s="1505"/>
      <c r="M192" s="1506"/>
      <c r="N192" s="1507"/>
      <c r="O192" s="1507"/>
      <c r="P192" s="1472"/>
    </row>
    <row r="193" spans="1:20" s="676" customFormat="1" ht="28" customHeight="1">
      <c r="A193" s="1439"/>
      <c r="B193" s="1468"/>
      <c r="C193" s="1280" t="s">
        <v>138</v>
      </c>
      <c r="D193" s="1474"/>
      <c r="E193" s="1474"/>
      <c r="F193" s="1503" t="s">
        <v>655</v>
      </c>
      <c r="G193" s="1504"/>
      <c r="H193" s="1504"/>
      <c r="I193" s="1280" t="s">
        <v>587</v>
      </c>
      <c r="J193" s="1474"/>
      <c r="K193" s="1474"/>
      <c r="L193" s="1505" t="s">
        <v>137</v>
      </c>
      <c r="M193" s="1506"/>
      <c r="N193" s="1507"/>
      <c r="O193" s="1507"/>
      <c r="P193" s="1472"/>
      <c r="R193" s="815"/>
      <c r="T193" s="32"/>
    </row>
    <row r="194" spans="1:20" s="676" customFormat="1" ht="16" customHeight="1">
      <c r="A194" s="1439"/>
      <c r="B194" s="1468"/>
      <c r="C194" s="1280" t="s">
        <v>583</v>
      </c>
      <c r="D194" s="1474" t="s">
        <v>581</v>
      </c>
      <c r="E194" s="1474" t="s">
        <v>489</v>
      </c>
      <c r="F194" s="1280" t="s">
        <v>583</v>
      </c>
      <c r="G194" s="1474" t="s">
        <v>589</v>
      </c>
      <c r="H194" s="1474" t="s">
        <v>489</v>
      </c>
      <c r="I194" s="1280" t="s">
        <v>583</v>
      </c>
      <c r="J194" s="1474" t="s">
        <v>589</v>
      </c>
      <c r="K194" s="1474" t="s">
        <v>489</v>
      </c>
      <c r="L194" s="1280" t="s">
        <v>583</v>
      </c>
      <c r="M194" s="1474" t="s">
        <v>588</v>
      </c>
      <c r="N194" s="1475" t="s">
        <v>489</v>
      </c>
      <c r="O194" s="1507"/>
      <c r="P194" s="1472"/>
      <c r="R194" s="815"/>
      <c r="T194" s="32"/>
    </row>
    <row r="195" spans="1:20" ht="16" customHeight="1">
      <c r="A195" s="1439"/>
      <c r="B195" s="1468"/>
      <c r="C195" s="1280"/>
      <c r="D195" s="1474"/>
      <c r="E195" s="1474"/>
      <c r="F195" s="1280"/>
      <c r="G195" s="1474"/>
      <c r="H195" s="1474"/>
      <c r="I195" s="1280"/>
      <c r="J195" s="1474"/>
      <c r="K195" s="1474"/>
      <c r="L195" s="1280"/>
      <c r="M195" s="1474"/>
      <c r="N195" s="1475"/>
      <c r="O195" s="1507"/>
      <c r="P195" s="1472"/>
    </row>
    <row r="196" spans="1:20" s="676" customFormat="1" ht="22" customHeight="1">
      <c r="A196" s="1462"/>
      <c r="B196" s="1468"/>
      <c r="C196" s="872" t="s">
        <v>133</v>
      </c>
      <c r="D196" s="873" t="s">
        <v>134</v>
      </c>
      <c r="E196" s="960" t="s">
        <v>100</v>
      </c>
      <c r="F196" s="872" t="s">
        <v>133</v>
      </c>
      <c r="G196" s="873" t="s">
        <v>134</v>
      </c>
      <c r="H196" s="960" t="s">
        <v>100</v>
      </c>
      <c r="I196" s="872" t="s">
        <v>133</v>
      </c>
      <c r="J196" s="873" t="s">
        <v>134</v>
      </c>
      <c r="K196" s="960" t="s">
        <v>100</v>
      </c>
      <c r="L196" s="872" t="s">
        <v>133</v>
      </c>
      <c r="M196" s="873" t="s">
        <v>134</v>
      </c>
      <c r="N196" s="893" t="s">
        <v>100</v>
      </c>
      <c r="O196" s="1514"/>
      <c r="P196" s="1473"/>
      <c r="R196" s="815"/>
      <c r="T196" s="32"/>
    </row>
    <row r="197" spans="1:20" ht="30" customHeight="1">
      <c r="A197" s="192"/>
      <c r="B197" s="1009" t="s">
        <v>155</v>
      </c>
      <c r="C197" s="137"/>
      <c r="D197" s="139"/>
      <c r="E197" s="139"/>
      <c r="F197" s="137"/>
      <c r="G197" s="138"/>
      <c r="H197" s="138"/>
      <c r="I197" s="137"/>
      <c r="J197" s="138"/>
      <c r="K197" s="138"/>
      <c r="L197" s="137"/>
      <c r="M197" s="138"/>
      <c r="N197" s="138"/>
      <c r="O197" s="316" t="s">
        <v>873</v>
      </c>
      <c r="P197" s="928"/>
    </row>
    <row r="198" spans="1:20" ht="30" customHeight="1">
      <c r="A198" s="797">
        <v>177</v>
      </c>
      <c r="B198" s="814" t="s">
        <v>783</v>
      </c>
      <c r="C198" s="713"/>
      <c r="D198" s="714"/>
      <c r="E198" s="134">
        <f>D198+C198</f>
        <v>0</v>
      </c>
      <c r="F198" s="713"/>
      <c r="G198" s="714"/>
      <c r="H198" s="714">
        <f>G198+F198</f>
        <v>0</v>
      </c>
      <c r="I198" s="713">
        <v>0</v>
      </c>
      <c r="J198" s="714">
        <v>0</v>
      </c>
      <c r="K198" s="714">
        <f>J198+I198</f>
        <v>0</v>
      </c>
      <c r="L198" s="713"/>
      <c r="M198" s="714"/>
      <c r="N198" s="714">
        <f>M198+L198</f>
        <v>0</v>
      </c>
      <c r="O198" s="644" t="s">
        <v>45</v>
      </c>
      <c r="P198" s="927">
        <v>177</v>
      </c>
    </row>
    <row r="199" spans="1:20" ht="30" customHeight="1">
      <c r="A199" s="192">
        <v>178</v>
      </c>
      <c r="B199" s="315" t="s">
        <v>784</v>
      </c>
      <c r="C199" s="137"/>
      <c r="D199" s="139"/>
      <c r="E199" s="139">
        <f>D199+C199</f>
        <v>0</v>
      </c>
      <c r="F199" s="137"/>
      <c r="G199" s="138"/>
      <c r="H199" s="138">
        <f>G199+F199</f>
        <v>0</v>
      </c>
      <c r="I199" s="137">
        <v>0</v>
      </c>
      <c r="J199" s="138">
        <v>122</v>
      </c>
      <c r="K199" s="138">
        <f>J199+I199</f>
        <v>122</v>
      </c>
      <c r="L199" s="137"/>
      <c r="M199" s="138"/>
      <c r="N199" s="138">
        <f>M199+L199</f>
        <v>0</v>
      </c>
      <c r="O199" s="316" t="s">
        <v>951</v>
      </c>
      <c r="P199" s="928">
        <v>178</v>
      </c>
    </row>
    <row r="200" spans="1:20" ht="30" customHeight="1">
      <c r="A200" s="797">
        <v>179</v>
      </c>
      <c r="B200" s="814" t="s">
        <v>778</v>
      </c>
      <c r="C200" s="713"/>
      <c r="D200" s="714"/>
      <c r="E200" s="134">
        <f>D200+C200</f>
        <v>0</v>
      </c>
      <c r="F200" s="713"/>
      <c r="G200" s="714"/>
      <c r="H200" s="714">
        <f>G200+F200</f>
        <v>0</v>
      </c>
      <c r="I200" s="713">
        <v>0</v>
      </c>
      <c r="J200" s="714">
        <v>50</v>
      </c>
      <c r="K200" s="714">
        <f>J200+I200</f>
        <v>50</v>
      </c>
      <c r="L200" s="713"/>
      <c r="M200" s="714"/>
      <c r="N200" s="714">
        <f>M200+L200</f>
        <v>0</v>
      </c>
      <c r="O200" s="644" t="s">
        <v>952</v>
      </c>
      <c r="P200" s="927">
        <v>179</v>
      </c>
      <c r="Q200" s="16"/>
    </row>
    <row r="201" spans="1:20" ht="30" customHeight="1">
      <c r="A201" s="192"/>
      <c r="B201" s="1009" t="s">
        <v>156</v>
      </c>
      <c r="C201" s="137"/>
      <c r="D201" s="138"/>
      <c r="E201" s="139"/>
      <c r="F201" s="137"/>
      <c r="G201" s="138"/>
      <c r="H201" s="138"/>
      <c r="I201" s="137"/>
      <c r="J201" s="138"/>
      <c r="K201" s="138"/>
      <c r="L201" s="137"/>
      <c r="M201" s="138"/>
      <c r="N201" s="138"/>
      <c r="O201" s="316" t="s">
        <v>953</v>
      </c>
      <c r="P201" s="928"/>
      <c r="Q201" s="44"/>
    </row>
    <row r="202" spans="1:20" ht="30" customHeight="1">
      <c r="A202" s="797">
        <v>180</v>
      </c>
      <c r="B202" s="814" t="s">
        <v>780</v>
      </c>
      <c r="C202" s="713"/>
      <c r="D202" s="134"/>
      <c r="E202" s="134">
        <f>D202+C202</f>
        <v>0</v>
      </c>
      <c r="F202" s="713"/>
      <c r="G202" s="714"/>
      <c r="H202" s="714">
        <f>G202+F202</f>
        <v>0</v>
      </c>
      <c r="I202" s="713">
        <v>0</v>
      </c>
      <c r="J202" s="714">
        <v>177</v>
      </c>
      <c r="K202" s="714">
        <f>J202+I202</f>
        <v>177</v>
      </c>
      <c r="L202" s="713"/>
      <c r="M202" s="714"/>
      <c r="N202" s="714">
        <f>M202+L202</f>
        <v>0</v>
      </c>
      <c r="O202" s="644" t="s">
        <v>954</v>
      </c>
      <c r="P202" s="927">
        <v>180</v>
      </c>
    </row>
    <row r="203" spans="1:20" ht="30" customHeight="1">
      <c r="A203" s="192">
        <v>181</v>
      </c>
      <c r="B203" s="315" t="s">
        <v>832</v>
      </c>
      <c r="C203" s="137"/>
      <c r="D203" s="138"/>
      <c r="E203" s="139">
        <f>D203+C203</f>
        <v>0</v>
      </c>
      <c r="F203" s="137"/>
      <c r="G203" s="138"/>
      <c r="H203" s="138">
        <f>G203+F203</f>
        <v>0</v>
      </c>
      <c r="I203" s="137">
        <v>0</v>
      </c>
      <c r="J203" s="138">
        <v>0</v>
      </c>
      <c r="K203" s="138">
        <f>J203+I203</f>
        <v>0</v>
      </c>
      <c r="L203" s="137"/>
      <c r="M203" s="138"/>
      <c r="N203" s="138">
        <f>M203+L203</f>
        <v>0</v>
      </c>
      <c r="O203" s="316" t="s">
        <v>955</v>
      </c>
      <c r="P203" s="928">
        <v>181</v>
      </c>
    </row>
    <row r="204" spans="1:20" ht="30" customHeight="1">
      <c r="A204" s="797">
        <v>182</v>
      </c>
      <c r="B204" s="239" t="s">
        <v>822</v>
      </c>
      <c r="C204" s="713"/>
      <c r="D204" s="134"/>
      <c r="E204" s="135">
        <f>D204+C204</f>
        <v>0</v>
      </c>
      <c r="F204" s="713"/>
      <c r="G204" s="714"/>
      <c r="H204" s="141">
        <f>G204+F204</f>
        <v>0</v>
      </c>
      <c r="I204" s="713">
        <v>0</v>
      </c>
      <c r="J204" s="714">
        <v>0</v>
      </c>
      <c r="K204" s="141">
        <f>J204+I204</f>
        <v>0</v>
      </c>
      <c r="L204" s="713"/>
      <c r="M204" s="714"/>
      <c r="N204" s="141">
        <f t="shared" ref="N204:N234" si="48">M204+L204</f>
        <v>0</v>
      </c>
      <c r="O204" s="643" t="s">
        <v>873</v>
      </c>
      <c r="P204" s="927">
        <v>182</v>
      </c>
      <c r="R204" s="179"/>
      <c r="T204" s="16"/>
    </row>
    <row r="205" spans="1:20" s="676" customFormat="1" ht="30" customHeight="1">
      <c r="A205" s="192">
        <v>183</v>
      </c>
      <c r="B205" s="315" t="s">
        <v>833</v>
      </c>
      <c r="C205" s="137"/>
      <c r="D205" s="139"/>
      <c r="E205" s="139">
        <f>D205+C205</f>
        <v>0</v>
      </c>
      <c r="F205" s="137"/>
      <c r="G205" s="138"/>
      <c r="H205" s="138">
        <f>G205+F205</f>
        <v>0</v>
      </c>
      <c r="I205" s="137">
        <v>0</v>
      </c>
      <c r="J205" s="138">
        <v>0</v>
      </c>
      <c r="K205" s="138">
        <f>J205+I205</f>
        <v>0</v>
      </c>
      <c r="L205" s="137"/>
      <c r="M205" s="138"/>
      <c r="N205" s="138">
        <f t="shared" si="48"/>
        <v>0</v>
      </c>
      <c r="O205" s="1011" t="s">
        <v>46</v>
      </c>
      <c r="P205" s="928">
        <v>183</v>
      </c>
      <c r="R205" s="815"/>
      <c r="T205" s="32"/>
    </row>
    <row r="206" spans="1:20" s="676" customFormat="1" ht="30" customHeight="1">
      <c r="A206" s="797"/>
      <c r="B206" s="1005" t="s">
        <v>157</v>
      </c>
      <c r="C206" s="713"/>
      <c r="D206" s="134"/>
      <c r="E206" s="134"/>
      <c r="F206" s="713"/>
      <c r="G206" s="714"/>
      <c r="H206" s="714"/>
      <c r="I206" s="713"/>
      <c r="J206" s="714"/>
      <c r="K206" s="714"/>
      <c r="L206" s="713"/>
      <c r="M206" s="714"/>
      <c r="N206" s="714"/>
      <c r="O206" s="644" t="s">
        <v>956</v>
      </c>
      <c r="P206" s="927"/>
      <c r="R206" s="815"/>
      <c r="T206" s="32"/>
    </row>
    <row r="207" spans="1:20" ht="30" customHeight="1">
      <c r="A207" s="192">
        <v>184</v>
      </c>
      <c r="B207" s="315" t="s">
        <v>784</v>
      </c>
      <c r="C207" s="137"/>
      <c r="D207" s="138"/>
      <c r="E207" s="139">
        <f>D207+C207</f>
        <v>0</v>
      </c>
      <c r="F207" s="137"/>
      <c r="G207" s="138"/>
      <c r="H207" s="138">
        <f>G207+F207</f>
        <v>0</v>
      </c>
      <c r="I207" s="137">
        <v>0</v>
      </c>
      <c r="J207" s="138">
        <v>273</v>
      </c>
      <c r="K207" s="138">
        <f>J207+I207</f>
        <v>273</v>
      </c>
      <c r="L207" s="137"/>
      <c r="M207" s="138"/>
      <c r="N207" s="138">
        <f t="shared" si="48"/>
        <v>0</v>
      </c>
      <c r="O207" s="316" t="s">
        <v>957</v>
      </c>
      <c r="P207" s="928">
        <v>184</v>
      </c>
      <c r="R207" s="179"/>
      <c r="T207" s="16"/>
    </row>
    <row r="208" spans="1:20" s="676" customFormat="1" ht="30" customHeight="1">
      <c r="A208" s="797">
        <v>185</v>
      </c>
      <c r="B208" s="814" t="s">
        <v>807</v>
      </c>
      <c r="C208" s="713"/>
      <c r="D208" s="134"/>
      <c r="E208" s="134">
        <f>D208+C208</f>
        <v>0</v>
      </c>
      <c r="F208" s="713"/>
      <c r="G208" s="714"/>
      <c r="H208" s="714">
        <f>G208+F208</f>
        <v>0</v>
      </c>
      <c r="I208" s="713">
        <v>0</v>
      </c>
      <c r="J208" s="714">
        <v>0</v>
      </c>
      <c r="K208" s="714">
        <f>J208+I208</f>
        <v>0</v>
      </c>
      <c r="L208" s="713"/>
      <c r="M208" s="714"/>
      <c r="N208" s="714">
        <f t="shared" si="48"/>
        <v>0</v>
      </c>
      <c r="O208" s="644" t="s">
        <v>958</v>
      </c>
      <c r="P208" s="927">
        <v>185</v>
      </c>
      <c r="T208" s="32"/>
    </row>
    <row r="209" spans="1:20" ht="30" customHeight="1">
      <c r="A209" s="192">
        <v>186</v>
      </c>
      <c r="B209" s="315" t="s">
        <v>778</v>
      </c>
      <c r="C209" s="137"/>
      <c r="D209" s="138"/>
      <c r="E209" s="139">
        <f t="shared" ref="E209:E224" si="49">D209+C209</f>
        <v>0</v>
      </c>
      <c r="F209" s="137"/>
      <c r="G209" s="138"/>
      <c r="H209" s="138">
        <f t="shared" ref="H209:H224" si="50">G209+F209</f>
        <v>0</v>
      </c>
      <c r="I209" s="137">
        <v>0</v>
      </c>
      <c r="J209" s="138">
        <v>85</v>
      </c>
      <c r="K209" s="138">
        <f t="shared" ref="K209:K234" si="51">J209+I209</f>
        <v>85</v>
      </c>
      <c r="L209" s="137"/>
      <c r="M209" s="138"/>
      <c r="N209" s="138">
        <f t="shared" si="48"/>
        <v>0</v>
      </c>
      <c r="O209" s="316" t="s">
        <v>959</v>
      </c>
      <c r="P209" s="928">
        <v>186</v>
      </c>
      <c r="T209" s="16"/>
    </row>
    <row r="210" spans="1:20" s="676" customFormat="1" ht="30" customHeight="1">
      <c r="A210" s="797">
        <v>187</v>
      </c>
      <c r="B210" s="814" t="s">
        <v>717</v>
      </c>
      <c r="C210" s="713"/>
      <c r="D210" s="714"/>
      <c r="E210" s="134">
        <f t="shared" si="49"/>
        <v>0</v>
      </c>
      <c r="F210" s="713"/>
      <c r="G210" s="714"/>
      <c r="H210" s="714">
        <f t="shared" si="50"/>
        <v>0</v>
      </c>
      <c r="I210" s="713">
        <v>0</v>
      </c>
      <c r="J210" s="714">
        <v>102</v>
      </c>
      <c r="K210" s="714">
        <f t="shared" si="51"/>
        <v>102</v>
      </c>
      <c r="L210" s="713"/>
      <c r="M210" s="714"/>
      <c r="N210" s="714">
        <f t="shared" si="48"/>
        <v>0</v>
      </c>
      <c r="O210" s="644" t="s">
        <v>960</v>
      </c>
      <c r="P210" s="927">
        <v>187</v>
      </c>
      <c r="T210" s="32"/>
    </row>
    <row r="211" spans="1:20" s="676" customFormat="1" ht="30" customHeight="1">
      <c r="A211" s="192"/>
      <c r="B211" s="1009" t="s">
        <v>129</v>
      </c>
      <c r="C211" s="137"/>
      <c r="D211" s="138"/>
      <c r="E211" s="139"/>
      <c r="F211" s="137"/>
      <c r="G211" s="138"/>
      <c r="H211" s="138"/>
      <c r="I211" s="137"/>
      <c r="J211" s="138"/>
      <c r="K211" s="138"/>
      <c r="L211" s="137"/>
      <c r="M211" s="138"/>
      <c r="N211" s="138"/>
      <c r="O211" s="1011" t="s">
        <v>47</v>
      </c>
      <c r="P211" s="928"/>
      <c r="T211" s="32"/>
    </row>
    <row r="212" spans="1:20" ht="30" customHeight="1">
      <c r="A212" s="797">
        <v>188</v>
      </c>
      <c r="B212" s="814" t="s">
        <v>778</v>
      </c>
      <c r="C212" s="713"/>
      <c r="D212" s="134"/>
      <c r="E212" s="134">
        <f t="shared" si="49"/>
        <v>0</v>
      </c>
      <c r="F212" s="713"/>
      <c r="G212" s="714"/>
      <c r="H212" s="714">
        <f t="shared" si="50"/>
        <v>0</v>
      </c>
      <c r="I212" s="713">
        <v>0</v>
      </c>
      <c r="J212" s="714">
        <v>163</v>
      </c>
      <c r="K212" s="714">
        <f t="shared" si="51"/>
        <v>163</v>
      </c>
      <c r="L212" s="713"/>
      <c r="M212" s="714"/>
      <c r="N212" s="714">
        <f t="shared" si="48"/>
        <v>0</v>
      </c>
      <c r="O212" s="644" t="s">
        <v>961</v>
      </c>
      <c r="P212" s="927">
        <v>188</v>
      </c>
      <c r="T212" s="16"/>
    </row>
    <row r="213" spans="1:20" s="676" customFormat="1" ht="30" customHeight="1">
      <c r="A213" s="586">
        <v>189</v>
      </c>
      <c r="B213" s="373" t="s">
        <v>335</v>
      </c>
      <c r="C213" s="364"/>
      <c r="D213" s="367"/>
      <c r="E213" s="365">
        <f t="shared" si="49"/>
        <v>0</v>
      </c>
      <c r="F213" s="364"/>
      <c r="G213" s="367"/>
      <c r="H213" s="367">
        <f t="shared" si="50"/>
        <v>0</v>
      </c>
      <c r="I213" s="364">
        <v>0</v>
      </c>
      <c r="J213" s="367">
        <v>188</v>
      </c>
      <c r="K213" s="367">
        <f t="shared" si="51"/>
        <v>188</v>
      </c>
      <c r="L213" s="364"/>
      <c r="M213" s="367"/>
      <c r="N213" s="367">
        <f t="shared" si="48"/>
        <v>0</v>
      </c>
      <c r="O213" s="1013" t="s">
        <v>962</v>
      </c>
      <c r="P213" s="929">
        <v>189</v>
      </c>
      <c r="T213" s="32"/>
    </row>
    <row r="214" spans="1:20" s="676" customFormat="1" ht="26" customHeight="1">
      <c r="A214" s="1508" t="s">
        <v>753</v>
      </c>
      <c r="B214" s="1508"/>
      <c r="C214" s="157"/>
      <c r="D214" s="157"/>
      <c r="E214" s="157"/>
      <c r="F214" s="168"/>
      <c r="G214" s="168"/>
      <c r="H214" s="168"/>
      <c r="I214" s="168"/>
      <c r="J214" s="168"/>
      <c r="K214" s="1509" t="s">
        <v>749</v>
      </c>
      <c r="L214" s="1509"/>
      <c r="M214" s="1509"/>
      <c r="N214" s="1509"/>
      <c r="O214" s="1509"/>
      <c r="P214" s="1509"/>
      <c r="T214" s="32"/>
    </row>
    <row r="215" spans="1:20" s="676" customFormat="1" ht="20" customHeight="1">
      <c r="A215" s="1438" t="s">
        <v>621</v>
      </c>
      <c r="B215" s="1468" t="s">
        <v>286</v>
      </c>
      <c r="C215" s="1320" t="s">
        <v>750</v>
      </c>
      <c r="D215" s="1470"/>
      <c r="E215" s="1470"/>
      <c r="F215" s="1479" t="s">
        <v>744</v>
      </c>
      <c r="G215" s="1510"/>
      <c r="H215" s="1510"/>
      <c r="I215" s="1320" t="s">
        <v>582</v>
      </c>
      <c r="J215" s="1470"/>
      <c r="K215" s="1470"/>
      <c r="L215" s="1511" t="s">
        <v>79</v>
      </c>
      <c r="M215" s="1512"/>
      <c r="N215" s="1513"/>
      <c r="O215" s="1513" t="s">
        <v>709</v>
      </c>
      <c r="P215" s="1471" t="s">
        <v>727</v>
      </c>
      <c r="T215" s="32"/>
    </row>
    <row r="216" spans="1:20" s="676" customFormat="1" ht="20" customHeight="1">
      <c r="A216" s="1439"/>
      <c r="B216" s="1468"/>
      <c r="C216" s="1280"/>
      <c r="D216" s="1474"/>
      <c r="E216" s="1474"/>
      <c r="F216" s="1503"/>
      <c r="G216" s="1504"/>
      <c r="H216" s="1504"/>
      <c r="I216" s="1280"/>
      <c r="J216" s="1474"/>
      <c r="K216" s="1474"/>
      <c r="L216" s="1505"/>
      <c r="M216" s="1506"/>
      <c r="N216" s="1507"/>
      <c r="O216" s="1507"/>
      <c r="P216" s="1472"/>
      <c r="T216" s="32"/>
    </row>
    <row r="217" spans="1:20" s="676" customFormat="1" ht="30" customHeight="1">
      <c r="A217" s="1439"/>
      <c r="B217" s="1468"/>
      <c r="C217" s="1280" t="s">
        <v>138</v>
      </c>
      <c r="D217" s="1474"/>
      <c r="E217" s="1474"/>
      <c r="F217" s="1503" t="s">
        <v>655</v>
      </c>
      <c r="G217" s="1504"/>
      <c r="H217" s="1504"/>
      <c r="I217" s="1280" t="s">
        <v>587</v>
      </c>
      <c r="J217" s="1474"/>
      <c r="K217" s="1474"/>
      <c r="L217" s="1505" t="s">
        <v>137</v>
      </c>
      <c r="M217" s="1506"/>
      <c r="N217" s="1507"/>
      <c r="O217" s="1507"/>
      <c r="P217" s="1472"/>
      <c r="T217" s="32"/>
    </row>
    <row r="218" spans="1:20" s="676" customFormat="1" ht="22" customHeight="1">
      <c r="A218" s="1439"/>
      <c r="B218" s="1468"/>
      <c r="C218" s="1280" t="s">
        <v>583</v>
      </c>
      <c r="D218" s="1474" t="s">
        <v>581</v>
      </c>
      <c r="E218" s="1474" t="s">
        <v>489</v>
      </c>
      <c r="F218" s="1280" t="s">
        <v>583</v>
      </c>
      <c r="G218" s="1474" t="s">
        <v>589</v>
      </c>
      <c r="H218" s="1474" t="s">
        <v>489</v>
      </c>
      <c r="I218" s="1280" t="s">
        <v>583</v>
      </c>
      <c r="J218" s="1474" t="s">
        <v>589</v>
      </c>
      <c r="K218" s="1474" t="s">
        <v>489</v>
      </c>
      <c r="L218" s="1280" t="s">
        <v>583</v>
      </c>
      <c r="M218" s="1474" t="s">
        <v>588</v>
      </c>
      <c r="N218" s="1475" t="s">
        <v>489</v>
      </c>
      <c r="O218" s="1507"/>
      <c r="P218" s="1472"/>
      <c r="T218" s="32"/>
    </row>
    <row r="219" spans="1:20" s="676" customFormat="1" ht="22" customHeight="1">
      <c r="A219" s="1439"/>
      <c r="B219" s="1468"/>
      <c r="C219" s="1280"/>
      <c r="D219" s="1474"/>
      <c r="E219" s="1474"/>
      <c r="F219" s="1280"/>
      <c r="G219" s="1474"/>
      <c r="H219" s="1474"/>
      <c r="I219" s="1280"/>
      <c r="J219" s="1474"/>
      <c r="K219" s="1474"/>
      <c r="L219" s="1280"/>
      <c r="M219" s="1474"/>
      <c r="N219" s="1475"/>
      <c r="O219" s="1507"/>
      <c r="P219" s="1472"/>
      <c r="T219" s="32"/>
    </row>
    <row r="220" spans="1:20" s="676" customFormat="1" ht="22" customHeight="1">
      <c r="A220" s="1462"/>
      <c r="B220" s="1468"/>
      <c r="C220" s="872" t="s">
        <v>133</v>
      </c>
      <c r="D220" s="873" t="s">
        <v>134</v>
      </c>
      <c r="E220" s="960" t="s">
        <v>100</v>
      </c>
      <c r="F220" s="872" t="s">
        <v>133</v>
      </c>
      <c r="G220" s="873" t="s">
        <v>134</v>
      </c>
      <c r="H220" s="960" t="s">
        <v>100</v>
      </c>
      <c r="I220" s="872" t="s">
        <v>133</v>
      </c>
      <c r="J220" s="873" t="s">
        <v>134</v>
      </c>
      <c r="K220" s="960" t="s">
        <v>100</v>
      </c>
      <c r="L220" s="872" t="s">
        <v>133</v>
      </c>
      <c r="M220" s="873" t="s">
        <v>134</v>
      </c>
      <c r="N220" s="893" t="s">
        <v>100</v>
      </c>
      <c r="O220" s="1514"/>
      <c r="P220" s="1473"/>
      <c r="T220" s="32"/>
    </row>
    <row r="221" spans="1:20" s="676" customFormat="1" ht="30" customHeight="1">
      <c r="A221" s="797"/>
      <c r="B221" s="1005" t="s">
        <v>164</v>
      </c>
      <c r="C221" s="713"/>
      <c r="D221" s="714"/>
      <c r="E221" s="134"/>
      <c r="F221" s="713"/>
      <c r="G221" s="714"/>
      <c r="H221" s="714"/>
      <c r="I221" s="713"/>
      <c r="J221" s="714"/>
      <c r="K221" s="714"/>
      <c r="L221" s="713"/>
      <c r="M221" s="714"/>
      <c r="N221" s="714"/>
      <c r="O221" s="644" t="s">
        <v>963</v>
      </c>
      <c r="P221" s="927"/>
      <c r="R221" s="815"/>
      <c r="T221" s="32"/>
    </row>
    <row r="222" spans="1:20" ht="30" customHeight="1">
      <c r="A222" s="192">
        <v>190</v>
      </c>
      <c r="B222" s="315" t="s">
        <v>778</v>
      </c>
      <c r="C222" s="137"/>
      <c r="D222" s="139"/>
      <c r="E222" s="139">
        <f t="shared" si="49"/>
        <v>0</v>
      </c>
      <c r="F222" s="137"/>
      <c r="G222" s="138"/>
      <c r="H222" s="138">
        <f t="shared" si="50"/>
        <v>0</v>
      </c>
      <c r="I222" s="137">
        <v>0</v>
      </c>
      <c r="J222" s="138">
        <v>187</v>
      </c>
      <c r="K222" s="138">
        <f t="shared" si="51"/>
        <v>187</v>
      </c>
      <c r="L222" s="137"/>
      <c r="M222" s="138"/>
      <c r="N222" s="138">
        <f t="shared" si="48"/>
        <v>0</v>
      </c>
      <c r="O222" s="316" t="s">
        <v>964</v>
      </c>
      <c r="P222" s="928">
        <v>190</v>
      </c>
      <c r="R222" s="179"/>
      <c r="T222" s="16"/>
    </row>
    <row r="223" spans="1:20" s="676" customFormat="1" ht="30" customHeight="1">
      <c r="A223" s="797">
        <v>191</v>
      </c>
      <c r="B223" s="814" t="s">
        <v>336</v>
      </c>
      <c r="C223" s="713"/>
      <c r="D223" s="714"/>
      <c r="E223" s="134">
        <f t="shared" si="49"/>
        <v>0</v>
      </c>
      <c r="F223" s="713"/>
      <c r="G223" s="714"/>
      <c r="H223" s="714">
        <f t="shared" si="50"/>
        <v>0</v>
      </c>
      <c r="I223" s="713">
        <v>0</v>
      </c>
      <c r="J223" s="714"/>
      <c r="K223" s="714">
        <f t="shared" si="51"/>
        <v>0</v>
      </c>
      <c r="L223" s="713"/>
      <c r="M223" s="714"/>
      <c r="N223" s="714">
        <f t="shared" si="48"/>
        <v>0</v>
      </c>
      <c r="O223" s="644" t="s">
        <v>965</v>
      </c>
      <c r="P223" s="927">
        <v>191</v>
      </c>
      <c r="R223" s="815"/>
    </row>
    <row r="224" spans="1:20" ht="30" customHeight="1">
      <c r="A224" s="192">
        <v>192</v>
      </c>
      <c r="B224" s="315" t="s">
        <v>784</v>
      </c>
      <c r="C224" s="137"/>
      <c r="D224" s="139"/>
      <c r="E224" s="139">
        <f t="shared" si="49"/>
        <v>0</v>
      </c>
      <c r="F224" s="137"/>
      <c r="G224" s="138"/>
      <c r="H224" s="142">
        <f t="shared" si="50"/>
        <v>0</v>
      </c>
      <c r="I224" s="137">
        <v>0</v>
      </c>
      <c r="J224" s="138">
        <v>299</v>
      </c>
      <c r="K224" s="138">
        <f t="shared" si="51"/>
        <v>299</v>
      </c>
      <c r="L224" s="137"/>
      <c r="M224" s="138"/>
      <c r="N224" s="142">
        <f t="shared" si="48"/>
        <v>0</v>
      </c>
      <c r="O224" s="238" t="s">
        <v>929</v>
      </c>
      <c r="P224" s="928">
        <v>192</v>
      </c>
      <c r="Q224" s="676"/>
      <c r="R224" s="815"/>
    </row>
    <row r="225" spans="1:33" s="676" customFormat="1" ht="30" customHeight="1">
      <c r="A225" s="325">
        <v>193</v>
      </c>
      <c r="B225" s="239" t="s">
        <v>783</v>
      </c>
      <c r="C225" s="713"/>
      <c r="D225" s="714"/>
      <c r="E225" s="135">
        <f>D225+C225</f>
        <v>0</v>
      </c>
      <c r="F225" s="713"/>
      <c r="G225" s="714"/>
      <c r="H225" s="141">
        <f>G225+F225</f>
        <v>0</v>
      </c>
      <c r="I225" s="713">
        <v>0</v>
      </c>
      <c r="J225" s="714">
        <v>0</v>
      </c>
      <c r="K225" s="141">
        <f t="shared" si="51"/>
        <v>0</v>
      </c>
      <c r="L225" s="713"/>
      <c r="M225" s="714"/>
      <c r="N225" s="141">
        <f t="shared" si="48"/>
        <v>0</v>
      </c>
      <c r="O225" s="643" t="s">
        <v>966</v>
      </c>
      <c r="P225" s="878">
        <v>193</v>
      </c>
      <c r="Q225" s="11"/>
      <c r="R225" s="179"/>
    </row>
    <row r="226" spans="1:33" ht="30" customHeight="1">
      <c r="A226" s="396">
        <v>194</v>
      </c>
      <c r="B226" s="241" t="s">
        <v>337</v>
      </c>
      <c r="C226" s="137"/>
      <c r="D226" s="139"/>
      <c r="E226" s="140">
        <f>D226+C226</f>
        <v>0</v>
      </c>
      <c r="F226" s="138"/>
      <c r="G226" s="138"/>
      <c r="H226" s="142">
        <f>G226+F226</f>
        <v>0</v>
      </c>
      <c r="I226" s="137">
        <v>0</v>
      </c>
      <c r="J226" s="138">
        <v>0</v>
      </c>
      <c r="K226" s="142">
        <f t="shared" si="51"/>
        <v>0</v>
      </c>
      <c r="L226" s="137"/>
      <c r="M226" s="138"/>
      <c r="N226" s="142">
        <f t="shared" si="48"/>
        <v>0</v>
      </c>
      <c r="O226" s="238" t="s">
        <v>967</v>
      </c>
      <c r="P226" s="879">
        <v>194</v>
      </c>
      <c r="Q226" s="676"/>
      <c r="R226" s="815"/>
    </row>
    <row r="227" spans="1:33" ht="30" customHeight="1">
      <c r="A227" s="325"/>
      <c r="B227" s="843" t="s">
        <v>131</v>
      </c>
      <c r="C227" s="713"/>
      <c r="D227" s="134"/>
      <c r="E227" s="135"/>
      <c r="F227" s="714"/>
      <c r="G227" s="714"/>
      <c r="H227" s="141"/>
      <c r="I227" s="713"/>
      <c r="J227" s="714"/>
      <c r="K227" s="141"/>
      <c r="L227" s="713"/>
      <c r="M227" s="714"/>
      <c r="N227" s="141"/>
      <c r="O227" s="643" t="s">
        <v>968</v>
      </c>
      <c r="P227" s="878"/>
      <c r="Q227" s="676"/>
      <c r="R227" s="815"/>
    </row>
    <row r="228" spans="1:33" s="676" customFormat="1" ht="30" customHeight="1">
      <c r="A228" s="396">
        <v>195</v>
      </c>
      <c r="B228" s="241" t="s">
        <v>822</v>
      </c>
      <c r="C228" s="137"/>
      <c r="D228" s="138"/>
      <c r="E228" s="140">
        <f>D228+C228</f>
        <v>0</v>
      </c>
      <c r="F228" s="138"/>
      <c r="G228" s="138"/>
      <c r="H228" s="142">
        <f>G228+F228</f>
        <v>0</v>
      </c>
      <c r="I228" s="137">
        <v>0</v>
      </c>
      <c r="J228" s="138">
        <v>116</v>
      </c>
      <c r="K228" s="142">
        <f t="shared" si="51"/>
        <v>116</v>
      </c>
      <c r="L228" s="137"/>
      <c r="M228" s="138"/>
      <c r="N228" s="142">
        <f t="shared" si="48"/>
        <v>0</v>
      </c>
      <c r="O228" s="1000" t="s">
        <v>48</v>
      </c>
      <c r="P228" s="879">
        <v>195</v>
      </c>
      <c r="R228" s="815"/>
      <c r="S228" s="673"/>
    </row>
    <row r="229" spans="1:33" ht="30" customHeight="1">
      <c r="A229" s="325">
        <v>196</v>
      </c>
      <c r="B229" s="271" t="s">
        <v>780</v>
      </c>
      <c r="C229" s="713"/>
      <c r="D229" s="134"/>
      <c r="E229" s="135">
        <f>D229+C229</f>
        <v>0</v>
      </c>
      <c r="F229" s="714"/>
      <c r="G229" s="714"/>
      <c r="H229" s="141">
        <f>G229+F229</f>
        <v>0</v>
      </c>
      <c r="I229" s="713">
        <v>0</v>
      </c>
      <c r="J229" s="714">
        <v>0</v>
      </c>
      <c r="K229" s="141">
        <f t="shared" si="51"/>
        <v>0</v>
      </c>
      <c r="L229" s="713"/>
      <c r="M229" s="714"/>
      <c r="N229" s="141">
        <f t="shared" si="48"/>
        <v>0</v>
      </c>
      <c r="O229" s="643" t="s">
        <v>969</v>
      </c>
      <c r="P229" s="878">
        <v>196</v>
      </c>
      <c r="Q229" s="676"/>
      <c r="R229" s="815"/>
    </row>
    <row r="230" spans="1:33" s="676" customFormat="1" ht="30" customHeight="1">
      <c r="A230" s="396">
        <v>197</v>
      </c>
      <c r="B230" s="241" t="s">
        <v>804</v>
      </c>
      <c r="C230" s="137"/>
      <c r="D230" s="138"/>
      <c r="E230" s="140">
        <f>D230+C230</f>
        <v>0</v>
      </c>
      <c r="F230" s="138"/>
      <c r="G230" s="138"/>
      <c r="H230" s="142">
        <f>G230+F230</f>
        <v>0</v>
      </c>
      <c r="I230" s="137">
        <v>0</v>
      </c>
      <c r="J230" s="138">
        <v>46</v>
      </c>
      <c r="K230" s="142">
        <f t="shared" si="51"/>
        <v>46</v>
      </c>
      <c r="L230" s="137"/>
      <c r="M230" s="138"/>
      <c r="N230" s="142">
        <f t="shared" si="48"/>
        <v>0</v>
      </c>
      <c r="O230" s="238" t="s">
        <v>970</v>
      </c>
      <c r="P230" s="879">
        <v>197</v>
      </c>
      <c r="R230" s="815"/>
    </row>
    <row r="231" spans="1:33" ht="30" customHeight="1">
      <c r="A231" s="325">
        <v>198</v>
      </c>
      <c r="B231" s="271" t="s">
        <v>834</v>
      </c>
      <c r="C231" s="713"/>
      <c r="D231" s="134"/>
      <c r="E231" s="135">
        <v>0</v>
      </c>
      <c r="F231" s="714"/>
      <c r="G231" s="714"/>
      <c r="H231" s="141">
        <v>0</v>
      </c>
      <c r="I231" s="713">
        <v>0</v>
      </c>
      <c r="J231" s="714">
        <v>0</v>
      </c>
      <c r="K231" s="141">
        <f t="shared" si="51"/>
        <v>0</v>
      </c>
      <c r="L231" s="713"/>
      <c r="M231" s="714"/>
      <c r="N231" s="141">
        <f t="shared" si="48"/>
        <v>0</v>
      </c>
      <c r="O231" s="643" t="s">
        <v>971</v>
      </c>
      <c r="P231" s="878">
        <v>198</v>
      </c>
      <c r="Q231" s="676"/>
      <c r="R231" s="815"/>
    </row>
    <row r="232" spans="1:33" ht="30" customHeight="1">
      <c r="A232" s="396"/>
      <c r="B232" s="622" t="s">
        <v>158</v>
      </c>
      <c r="C232" s="137"/>
      <c r="D232" s="139"/>
      <c r="E232" s="140"/>
      <c r="F232" s="138"/>
      <c r="G232" s="138"/>
      <c r="H232" s="142"/>
      <c r="I232" s="137"/>
      <c r="J232" s="138"/>
      <c r="K232" s="142"/>
      <c r="L232" s="137"/>
      <c r="M232" s="138"/>
      <c r="N232" s="142"/>
      <c r="O232" s="238" t="s">
        <v>972</v>
      </c>
      <c r="P232" s="879"/>
      <c r="Q232" s="676"/>
      <c r="R232" s="815"/>
    </row>
    <row r="233" spans="1:33" s="676" customFormat="1" ht="30" customHeight="1">
      <c r="A233" s="325">
        <v>199</v>
      </c>
      <c r="B233" s="271" t="s">
        <v>778</v>
      </c>
      <c r="C233" s="713"/>
      <c r="D233" s="714"/>
      <c r="E233" s="135">
        <f>D233+C233</f>
        <v>0</v>
      </c>
      <c r="F233" s="714"/>
      <c r="G233" s="714"/>
      <c r="H233" s="141">
        <f>G233+F233</f>
        <v>0</v>
      </c>
      <c r="I233" s="713">
        <v>0</v>
      </c>
      <c r="J233" s="714">
        <v>62</v>
      </c>
      <c r="K233" s="141">
        <f t="shared" si="51"/>
        <v>62</v>
      </c>
      <c r="L233" s="713"/>
      <c r="M233" s="714"/>
      <c r="N233" s="141">
        <f t="shared" si="48"/>
        <v>0</v>
      </c>
      <c r="O233" s="643" t="s">
        <v>973</v>
      </c>
      <c r="P233" s="878">
        <v>199</v>
      </c>
      <c r="R233" s="815"/>
      <c r="S233" s="639"/>
      <c r="T233" s="639"/>
      <c r="U233" s="639"/>
      <c r="V233" s="639"/>
      <c r="W233" s="639"/>
      <c r="X233" s="639"/>
      <c r="Y233" s="639"/>
      <c r="Z233" s="639"/>
      <c r="AA233" s="639"/>
      <c r="AB233" s="639"/>
      <c r="AC233" s="639"/>
      <c r="AD233" s="639"/>
      <c r="AE233" s="639"/>
      <c r="AF233" s="639"/>
      <c r="AG233" s="639"/>
    </row>
    <row r="234" spans="1:33" ht="30" customHeight="1">
      <c r="A234" s="396">
        <v>200</v>
      </c>
      <c r="B234" s="241" t="s">
        <v>822</v>
      </c>
      <c r="C234" s="137"/>
      <c r="D234" s="139"/>
      <c r="E234" s="140">
        <v>0</v>
      </c>
      <c r="F234" s="138"/>
      <c r="G234" s="138"/>
      <c r="H234" s="142">
        <f>G234+F234</f>
        <v>0</v>
      </c>
      <c r="I234" s="137"/>
      <c r="J234" s="138">
        <v>43</v>
      </c>
      <c r="K234" s="142">
        <f t="shared" si="51"/>
        <v>43</v>
      </c>
      <c r="L234" s="137"/>
      <c r="M234" s="138"/>
      <c r="N234" s="142">
        <f t="shared" si="48"/>
        <v>0</v>
      </c>
      <c r="O234" s="238" t="s">
        <v>25</v>
      </c>
      <c r="P234" s="879">
        <v>200</v>
      </c>
      <c r="Q234" s="676"/>
      <c r="R234" s="815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</row>
    <row r="235" spans="1:33" ht="30" customHeight="1">
      <c r="A235" s="396"/>
      <c r="B235" s="241"/>
      <c r="C235" s="137"/>
      <c r="D235" s="139"/>
      <c r="E235" s="140"/>
      <c r="F235" s="138"/>
      <c r="G235" s="138"/>
      <c r="H235" s="142"/>
      <c r="I235" s="137"/>
      <c r="J235" s="138"/>
      <c r="K235" s="142"/>
      <c r="L235" s="137"/>
      <c r="M235" s="138"/>
      <c r="N235" s="142"/>
      <c r="O235" s="696" t="s">
        <v>974</v>
      </c>
      <c r="P235" s="879"/>
      <c r="Q235" s="676"/>
      <c r="R235" s="81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</row>
    <row r="236" spans="1:33" ht="30" customHeight="1">
      <c r="A236" s="396"/>
      <c r="B236" s="241"/>
      <c r="C236" s="137"/>
      <c r="D236" s="139"/>
      <c r="E236" s="140"/>
      <c r="F236" s="138"/>
      <c r="G236" s="138"/>
      <c r="H236" s="142"/>
      <c r="I236" s="137"/>
      <c r="J236" s="138"/>
      <c r="K236" s="142"/>
      <c r="L236" s="137"/>
      <c r="M236" s="138"/>
      <c r="N236" s="142"/>
      <c r="O236" s="238" t="s">
        <v>975</v>
      </c>
      <c r="P236" s="879"/>
      <c r="Q236" s="676"/>
      <c r="R236" s="815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</row>
    <row r="237" spans="1:33" ht="30" customHeight="1">
      <c r="A237" s="396"/>
      <c r="B237" s="241"/>
      <c r="C237" s="137"/>
      <c r="D237" s="139"/>
      <c r="E237" s="140"/>
      <c r="F237" s="138"/>
      <c r="G237" s="138"/>
      <c r="H237" s="142"/>
      <c r="I237" s="137"/>
      <c r="J237" s="138"/>
      <c r="K237" s="142"/>
      <c r="L237" s="137"/>
      <c r="M237" s="138"/>
      <c r="N237" s="142"/>
      <c r="O237" s="676" t="s">
        <v>976</v>
      </c>
      <c r="P237" s="879"/>
      <c r="Q237" s="676"/>
      <c r="R237" s="815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</row>
    <row r="238" spans="1:33" ht="30" customHeight="1">
      <c r="A238" s="396"/>
      <c r="B238" s="241"/>
      <c r="C238" s="137"/>
      <c r="D238" s="139"/>
      <c r="E238" s="140"/>
      <c r="F238" s="138"/>
      <c r="G238" s="138"/>
      <c r="H238" s="142"/>
      <c r="I238" s="137"/>
      <c r="J238" s="138"/>
      <c r="K238" s="142"/>
      <c r="L238" s="137"/>
      <c r="M238" s="138"/>
      <c r="N238" s="142"/>
      <c r="O238" s="676" t="s">
        <v>977</v>
      </c>
      <c r="P238" s="879"/>
      <c r="Q238" s="676"/>
      <c r="R238" s="815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</row>
    <row r="239" spans="1:33" ht="30" customHeight="1">
      <c r="A239" s="396"/>
      <c r="B239" s="241"/>
      <c r="C239" s="137"/>
      <c r="D239" s="139"/>
      <c r="E239" s="140"/>
      <c r="F239" s="138"/>
      <c r="G239" s="138"/>
      <c r="H239" s="142"/>
      <c r="I239" s="137"/>
      <c r="J239" s="138"/>
      <c r="K239" s="142"/>
      <c r="L239" s="137"/>
      <c r="M239" s="138"/>
      <c r="N239" s="142"/>
      <c r="O239" s="676" t="s">
        <v>978</v>
      </c>
      <c r="P239" s="879"/>
      <c r="Q239" s="676"/>
      <c r="R239" s="815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</row>
    <row r="240" spans="1:33" ht="30" customHeight="1">
      <c r="A240" s="396"/>
      <c r="B240" s="241"/>
      <c r="C240" s="137"/>
      <c r="D240" s="139"/>
      <c r="E240" s="140"/>
      <c r="F240" s="138"/>
      <c r="G240" s="138"/>
      <c r="H240" s="142"/>
      <c r="I240" s="137"/>
      <c r="J240" s="138"/>
      <c r="K240" s="142"/>
      <c r="L240" s="137"/>
      <c r="M240" s="138"/>
      <c r="N240" s="142"/>
      <c r="O240" s="676" t="s">
        <v>979</v>
      </c>
      <c r="P240" s="879"/>
      <c r="Q240" s="676"/>
      <c r="R240" s="815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</row>
    <row r="241" spans="1:33" ht="30" customHeight="1">
      <c r="A241" s="396"/>
      <c r="B241" s="241"/>
      <c r="C241" s="137"/>
      <c r="D241" s="139"/>
      <c r="E241" s="140"/>
      <c r="F241" s="138"/>
      <c r="G241" s="138"/>
      <c r="H241" s="142"/>
      <c r="I241" s="137"/>
      <c r="J241" s="138"/>
      <c r="K241" s="142"/>
      <c r="L241" s="137"/>
      <c r="M241" s="138"/>
      <c r="N241" s="142"/>
      <c r="O241" s="676" t="s">
        <v>59</v>
      </c>
      <c r="P241" s="879"/>
      <c r="Q241" s="676"/>
      <c r="R241" s="815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</row>
    <row r="242" spans="1:33" ht="30" customHeight="1">
      <c r="A242" s="396"/>
      <c r="B242" s="241"/>
      <c r="C242" s="137"/>
      <c r="D242" s="139"/>
      <c r="E242" s="140"/>
      <c r="F242" s="138"/>
      <c r="G242" s="138"/>
      <c r="H242" s="142"/>
      <c r="I242" s="137"/>
      <c r="J242" s="138"/>
      <c r="K242" s="142"/>
      <c r="L242" s="137"/>
      <c r="M242" s="138"/>
      <c r="N242" s="142"/>
      <c r="O242" s="676" t="s">
        <v>980</v>
      </c>
      <c r="P242" s="879"/>
      <c r="Q242" s="676"/>
      <c r="R242" s="815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</row>
    <row r="243" spans="1:33" ht="30" customHeight="1">
      <c r="A243" s="396"/>
      <c r="B243" s="241"/>
      <c r="C243" s="137"/>
      <c r="D243" s="139"/>
      <c r="E243" s="140"/>
      <c r="F243" s="138"/>
      <c r="G243" s="138"/>
      <c r="H243" s="142"/>
      <c r="I243" s="137"/>
      <c r="J243" s="138"/>
      <c r="K243" s="142"/>
      <c r="L243" s="137"/>
      <c r="M243" s="138"/>
      <c r="N243" s="142"/>
      <c r="O243" s="676" t="s">
        <v>981</v>
      </c>
      <c r="P243" s="879"/>
      <c r="Q243" s="676"/>
      <c r="R243" s="815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</row>
    <row r="244" spans="1:33" ht="30" customHeight="1">
      <c r="A244" s="396"/>
      <c r="B244" s="241"/>
      <c r="C244" s="137"/>
      <c r="D244" s="139"/>
      <c r="E244" s="140"/>
      <c r="F244" s="138"/>
      <c r="G244" s="138"/>
      <c r="H244" s="142"/>
      <c r="I244" s="137"/>
      <c r="J244" s="138"/>
      <c r="K244" s="142"/>
      <c r="L244" s="137"/>
      <c r="M244" s="138"/>
      <c r="N244" s="142"/>
      <c r="O244" s="676" t="s">
        <v>982</v>
      </c>
      <c r="P244" s="879"/>
      <c r="Q244" s="676"/>
      <c r="R244" s="815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</row>
    <row r="245" spans="1:33" ht="30" customHeight="1">
      <c r="A245" s="396"/>
      <c r="B245" s="241"/>
      <c r="C245" s="137"/>
      <c r="D245" s="139"/>
      <c r="E245" s="140"/>
      <c r="F245" s="138"/>
      <c r="G245" s="138"/>
      <c r="H245" s="142"/>
      <c r="I245" s="137"/>
      <c r="J245" s="138"/>
      <c r="K245" s="142"/>
      <c r="L245" s="137"/>
      <c r="M245" s="138"/>
      <c r="N245" s="142"/>
      <c r="O245" s="676" t="s">
        <v>983</v>
      </c>
      <c r="P245" s="879"/>
      <c r="Q245" s="676"/>
      <c r="R245" s="81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</row>
    <row r="246" spans="1:33" ht="30" customHeight="1">
      <c r="A246" s="396"/>
      <c r="B246" s="241"/>
      <c r="C246" s="137"/>
      <c r="D246" s="139"/>
      <c r="E246" s="140"/>
      <c r="F246" s="138"/>
      <c r="G246" s="138"/>
      <c r="H246" s="142"/>
      <c r="I246" s="137"/>
      <c r="J246" s="138"/>
      <c r="K246" s="142"/>
      <c r="L246" s="137"/>
      <c r="M246" s="138"/>
      <c r="N246" s="142"/>
      <c r="O246" s="676" t="s">
        <v>984</v>
      </c>
      <c r="P246" s="879"/>
      <c r="Q246" s="676"/>
      <c r="R246" s="815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</row>
    <row r="247" spans="1:33" ht="30" customHeight="1">
      <c r="A247" s="396"/>
      <c r="B247" s="241"/>
      <c r="C247" s="137"/>
      <c r="D247" s="139"/>
      <c r="E247" s="140"/>
      <c r="F247" s="138"/>
      <c r="G247" s="138"/>
      <c r="H247" s="142"/>
      <c r="I247" s="137"/>
      <c r="J247" s="138"/>
      <c r="K247" s="142"/>
      <c r="L247" s="137"/>
      <c r="M247" s="138"/>
      <c r="N247" s="142"/>
      <c r="O247" s="676" t="s">
        <v>980</v>
      </c>
      <c r="P247" s="879"/>
      <c r="Q247" s="676"/>
      <c r="R247" s="815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</row>
    <row r="248" spans="1:33" ht="30" customHeight="1">
      <c r="A248" s="396"/>
      <c r="B248" s="241"/>
      <c r="C248" s="137"/>
      <c r="D248" s="139"/>
      <c r="E248" s="140"/>
      <c r="F248" s="138"/>
      <c r="G248" s="138"/>
      <c r="H248" s="142"/>
      <c r="I248" s="137"/>
      <c r="J248" s="138"/>
      <c r="K248" s="142"/>
      <c r="L248" s="137"/>
      <c r="M248" s="138"/>
      <c r="N248" s="142"/>
      <c r="O248" s="676" t="s">
        <v>985</v>
      </c>
      <c r="P248" s="879"/>
      <c r="Q248" s="676"/>
      <c r="R248" s="815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</row>
    <row r="249" spans="1:33" ht="30" customHeight="1">
      <c r="A249" s="396"/>
      <c r="B249" s="241"/>
      <c r="C249" s="137"/>
      <c r="D249" s="139"/>
      <c r="E249" s="140"/>
      <c r="F249" s="138"/>
      <c r="G249" s="138"/>
      <c r="H249" s="142"/>
      <c r="I249" s="137"/>
      <c r="J249" s="138"/>
      <c r="K249" s="142"/>
      <c r="L249" s="137"/>
      <c r="M249" s="138"/>
      <c r="N249" s="142"/>
      <c r="O249" s="676" t="s">
        <v>986</v>
      </c>
      <c r="P249" s="879"/>
      <c r="Q249" s="676"/>
      <c r="R249" s="815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</row>
    <row r="250" spans="1:33" ht="30" customHeight="1">
      <c r="A250" s="396"/>
      <c r="B250" s="241"/>
      <c r="C250" s="137"/>
      <c r="D250" s="139"/>
      <c r="E250" s="140"/>
      <c r="F250" s="138"/>
      <c r="G250" s="138"/>
      <c r="H250" s="142"/>
      <c r="I250" s="137"/>
      <c r="J250" s="138"/>
      <c r="K250" s="142"/>
      <c r="L250" s="137"/>
      <c r="M250" s="138"/>
      <c r="N250" s="142"/>
      <c r="O250" s="676" t="s">
        <v>873</v>
      </c>
      <c r="P250" s="879"/>
      <c r="Q250" s="676"/>
      <c r="R250" s="815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</row>
    <row r="251" spans="1:33" ht="30" customHeight="1">
      <c r="A251" s="396"/>
      <c r="B251" s="241"/>
      <c r="C251" s="137"/>
      <c r="D251" s="139"/>
      <c r="E251" s="140"/>
      <c r="F251" s="138"/>
      <c r="G251" s="138"/>
      <c r="H251" s="142"/>
      <c r="I251" s="137"/>
      <c r="J251" s="138"/>
      <c r="K251" s="142"/>
      <c r="L251" s="137"/>
      <c r="M251" s="138"/>
      <c r="N251" s="142"/>
      <c r="O251" s="676" t="s">
        <v>50</v>
      </c>
      <c r="P251" s="879"/>
      <c r="Q251" s="676"/>
      <c r="R251" s="815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</row>
    <row r="252" spans="1:33" ht="30" customHeight="1">
      <c r="A252" s="396"/>
      <c r="B252" s="241"/>
      <c r="C252" s="137"/>
      <c r="D252" s="139"/>
      <c r="E252" s="140"/>
      <c r="F252" s="138"/>
      <c r="G252" s="138"/>
      <c r="H252" s="142"/>
      <c r="I252" s="137"/>
      <c r="J252" s="138"/>
      <c r="K252" s="142"/>
      <c r="L252" s="137"/>
      <c r="M252" s="138"/>
      <c r="N252" s="142"/>
      <c r="O252" s="676" t="s">
        <v>987</v>
      </c>
      <c r="P252" s="879"/>
      <c r="Q252" s="676"/>
      <c r="R252" s="815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</row>
    <row r="253" spans="1:33" ht="30" customHeight="1">
      <c r="A253" s="396"/>
      <c r="B253" s="241"/>
      <c r="C253" s="137"/>
      <c r="D253" s="139"/>
      <c r="E253" s="140"/>
      <c r="F253" s="138"/>
      <c r="G253" s="138"/>
      <c r="H253" s="142"/>
      <c r="I253" s="137"/>
      <c r="J253" s="138"/>
      <c r="K253" s="142"/>
      <c r="L253" s="137"/>
      <c r="M253" s="138"/>
      <c r="N253" s="142"/>
      <c r="O253" s="676" t="s">
        <v>988</v>
      </c>
      <c r="P253" s="879"/>
      <c r="Q253" s="676"/>
      <c r="R253" s="815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</row>
    <row r="254" spans="1:33" ht="30" customHeight="1">
      <c r="A254" s="396"/>
      <c r="B254" s="241"/>
      <c r="C254" s="137"/>
      <c r="D254" s="139"/>
      <c r="E254" s="140"/>
      <c r="F254" s="138"/>
      <c r="G254" s="138"/>
      <c r="H254" s="142"/>
      <c r="I254" s="137"/>
      <c r="J254" s="138"/>
      <c r="K254" s="142"/>
      <c r="L254" s="137"/>
      <c r="M254" s="138"/>
      <c r="N254" s="142"/>
      <c r="O254" s="676" t="s">
        <v>989</v>
      </c>
      <c r="P254" s="879"/>
      <c r="Q254" s="676"/>
      <c r="R254" s="815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</row>
    <row r="255" spans="1:33" ht="30" customHeight="1">
      <c r="A255" s="396"/>
      <c r="B255" s="241"/>
      <c r="C255" s="137"/>
      <c r="D255" s="139"/>
      <c r="E255" s="140"/>
      <c r="F255" s="138"/>
      <c r="G255" s="138"/>
      <c r="H255" s="142"/>
      <c r="I255" s="137"/>
      <c r="J255" s="138"/>
      <c r="K255" s="142"/>
      <c r="L255" s="137"/>
      <c r="M255" s="138"/>
      <c r="N255" s="142"/>
      <c r="O255" s="676" t="s">
        <v>990</v>
      </c>
      <c r="P255" s="879"/>
      <c r="Q255" s="676"/>
      <c r="R255" s="81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</row>
    <row r="256" spans="1:33" ht="30" customHeight="1">
      <c r="A256" s="1501" t="s">
        <v>761</v>
      </c>
      <c r="B256" s="1501"/>
      <c r="C256" s="1501"/>
      <c r="D256" s="1501"/>
      <c r="E256" s="1501"/>
      <c r="F256" s="1501"/>
      <c r="G256" s="1501"/>
      <c r="H256" s="1501"/>
      <c r="I256" s="1501"/>
      <c r="J256" s="1502" t="s">
        <v>710</v>
      </c>
      <c r="K256" s="1502"/>
      <c r="L256" s="1502"/>
      <c r="M256" s="1502"/>
      <c r="N256" s="1502"/>
      <c r="O256" s="1502"/>
      <c r="P256" s="1502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</row>
    <row r="257" spans="2:33" ht="26.25" customHeight="1"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</row>
    <row r="258" spans="2:33" ht="15" customHeight="1"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</row>
    <row r="259" spans="2:33">
      <c r="R259"/>
      <c r="S259"/>
      <c r="T259"/>
      <c r="U259"/>
      <c r="V259"/>
      <c r="W259"/>
      <c r="X259"/>
      <c r="Y259"/>
      <c r="Z259"/>
      <c r="AA259"/>
      <c r="AB259"/>
      <c r="AC259"/>
      <c r="AD259"/>
      <c r="AE259"/>
      <c r="AF259"/>
      <c r="AG259"/>
    </row>
    <row r="261" spans="2:33" ht="36" customHeight="1"/>
    <row r="262" spans="2:33" ht="41.25" customHeight="1"/>
    <row r="263" spans="2:33" ht="44.25" customHeight="1"/>
    <row r="264" spans="2:33" ht="43.5" customHeight="1"/>
    <row r="265" spans="2:33" ht="36" customHeight="1"/>
    <row r="266" spans="2:33" ht="36" customHeight="1"/>
    <row r="267" spans="2:33" ht="42.75" customHeight="1">
      <c r="Q267" s="17"/>
      <c r="R267" s="17"/>
      <c r="S267" s="17"/>
      <c r="T267" s="17"/>
    </row>
    <row r="268" spans="2:33" s="196" customFormat="1" ht="36" customHeight="1"/>
    <row r="269" spans="2:33" s="196" customFormat="1" ht="44.25" customHeight="1"/>
    <row r="270" spans="2:33" ht="34" customHeight="1"/>
    <row r="271" spans="2:33" ht="34" customHeight="1">
      <c r="B271" s="537"/>
      <c r="C271" s="537"/>
      <c r="D271" s="537"/>
      <c r="E271" s="537"/>
      <c r="F271" s="537"/>
      <c r="G271" s="537"/>
      <c r="H271" s="537"/>
      <c r="I271" s="537"/>
      <c r="J271" s="537"/>
      <c r="K271" s="537"/>
      <c r="L271" s="537"/>
      <c r="M271" s="537"/>
      <c r="N271" s="537"/>
      <c r="O271" s="537"/>
      <c r="P271" s="537"/>
      <c r="R271" s="17"/>
    </row>
    <row r="272" spans="2:33" ht="34" customHeight="1">
      <c r="D272" s="399"/>
      <c r="E272" s="399"/>
      <c r="F272" s="1492"/>
      <c r="G272" s="1492"/>
      <c r="H272" s="1492"/>
      <c r="I272" s="1492"/>
      <c r="J272" s="1492"/>
      <c r="K272" s="1492"/>
      <c r="L272" s="1492"/>
      <c r="M272" s="1492"/>
      <c r="N272" s="1492"/>
      <c r="O272" s="399"/>
      <c r="P272" s="18"/>
      <c r="R272" s="17"/>
    </row>
    <row r="273" spans="4:18" ht="34" customHeight="1">
      <c r="D273" s="399"/>
      <c r="E273" s="399"/>
      <c r="F273" s="1492"/>
      <c r="G273" s="1492"/>
      <c r="H273" s="1492"/>
      <c r="I273" s="1492"/>
      <c r="J273" s="1492"/>
      <c r="K273" s="1492"/>
      <c r="L273" s="1492"/>
      <c r="M273" s="1492"/>
      <c r="N273" s="1492"/>
      <c r="O273" s="399"/>
      <c r="P273" s="18"/>
      <c r="R273" s="17"/>
    </row>
    <row r="274" spans="4:18" ht="34" customHeight="1">
      <c r="D274" s="399"/>
      <c r="E274" s="399"/>
      <c r="F274" s="1492"/>
      <c r="G274" s="1492"/>
      <c r="H274" s="1492"/>
      <c r="I274" s="1492"/>
      <c r="J274" s="1492"/>
      <c r="K274" s="1492"/>
      <c r="L274" s="1492"/>
      <c r="M274" s="1492"/>
      <c r="N274" s="1492"/>
      <c r="O274" s="399"/>
      <c r="P274" s="18"/>
      <c r="R274" s="17"/>
    </row>
    <row r="275" spans="4:18" ht="34" customHeight="1">
      <c r="D275" s="399"/>
      <c r="E275" s="399"/>
      <c r="F275" s="1492"/>
      <c r="G275" s="1492"/>
      <c r="H275" s="1492"/>
      <c r="I275" s="1492"/>
      <c r="J275" s="1492"/>
      <c r="K275" s="1492"/>
      <c r="L275" s="1492"/>
      <c r="M275" s="1492"/>
      <c r="N275" s="1492"/>
      <c r="O275" s="399"/>
      <c r="P275" s="18"/>
    </row>
    <row r="276" spans="4:18" ht="34" customHeight="1">
      <c r="D276" s="399"/>
      <c r="E276" s="399"/>
      <c r="F276" s="1492"/>
      <c r="G276" s="1492"/>
      <c r="H276" s="1492"/>
      <c r="I276" s="1492"/>
      <c r="J276" s="1492"/>
      <c r="K276" s="1492"/>
      <c r="L276" s="1492"/>
      <c r="M276" s="1492"/>
      <c r="N276" s="1492"/>
      <c r="O276" s="399"/>
      <c r="P276" s="18"/>
    </row>
    <row r="277" spans="4:18" ht="34" customHeight="1">
      <c r="D277" s="399"/>
      <c r="E277" s="399"/>
      <c r="F277" s="1492"/>
      <c r="G277" s="1492"/>
      <c r="H277" s="1492"/>
      <c r="I277" s="1492"/>
      <c r="J277" s="1492"/>
      <c r="K277" s="1492"/>
      <c r="L277" s="1492"/>
      <c r="M277" s="1492"/>
      <c r="N277" s="1492"/>
      <c r="O277" s="399"/>
      <c r="P277" s="18"/>
    </row>
    <row r="278" spans="4:18" ht="34" customHeight="1">
      <c r="D278" s="399"/>
      <c r="E278" s="399"/>
      <c r="F278" s="1492"/>
      <c r="G278" s="1492"/>
      <c r="H278" s="1492"/>
      <c r="I278" s="1492"/>
      <c r="J278" s="1492"/>
      <c r="K278" s="1492"/>
      <c r="L278" s="1492"/>
      <c r="M278" s="1492"/>
      <c r="N278" s="1492"/>
      <c r="O278" s="399"/>
      <c r="P278" s="18"/>
    </row>
    <row r="279" spans="4:18" ht="34" customHeight="1">
      <c r="D279" s="399"/>
      <c r="E279" s="399"/>
      <c r="F279" s="1492"/>
      <c r="G279" s="1492"/>
      <c r="H279" s="1492"/>
      <c r="I279" s="1492"/>
      <c r="J279" s="1492"/>
      <c r="K279" s="1492"/>
      <c r="L279" s="1492"/>
      <c r="M279" s="1492"/>
      <c r="N279" s="1492"/>
      <c r="O279" s="399"/>
      <c r="P279" s="18"/>
    </row>
    <row r="280" spans="4:18" ht="34" customHeight="1">
      <c r="D280" s="399"/>
      <c r="E280" s="399"/>
      <c r="F280" s="1492"/>
      <c r="G280" s="1492"/>
      <c r="H280" s="1492"/>
      <c r="I280" s="1492"/>
      <c r="J280" s="1492"/>
      <c r="K280" s="1492"/>
      <c r="L280" s="1492"/>
      <c r="M280" s="1492"/>
      <c r="N280" s="1492"/>
      <c r="O280" s="399"/>
      <c r="P280" s="18"/>
    </row>
    <row r="281" spans="4:18" ht="34" customHeight="1">
      <c r="D281" s="399"/>
      <c r="E281" s="399"/>
      <c r="F281" s="1492"/>
      <c r="G281" s="1492"/>
      <c r="H281" s="1492"/>
      <c r="I281" s="1492"/>
      <c r="J281" s="1492"/>
      <c r="K281" s="1492"/>
      <c r="L281" s="1492"/>
      <c r="M281" s="1492"/>
      <c r="N281" s="1492"/>
      <c r="O281" s="399"/>
      <c r="P281" s="18"/>
    </row>
    <row r="282" spans="4:18" ht="34" customHeight="1">
      <c r="D282" s="18"/>
      <c r="E282" s="18"/>
      <c r="F282" s="1500"/>
      <c r="G282" s="1500"/>
      <c r="H282" s="1492"/>
      <c r="I282" s="1492"/>
      <c r="J282" s="1492"/>
      <c r="K282" s="1492"/>
      <c r="L282" s="1492"/>
      <c r="M282" s="1492"/>
      <c r="N282" s="1492"/>
      <c r="O282" s="399"/>
      <c r="P282" s="18"/>
    </row>
    <row r="283" spans="4:18" ht="34" customHeight="1">
      <c r="D283" s="18"/>
      <c r="E283" s="18"/>
      <c r="F283" s="1500"/>
      <c r="G283" s="1500"/>
      <c r="H283" s="1492"/>
      <c r="I283" s="1492"/>
      <c r="J283" s="1492"/>
      <c r="K283" s="1492"/>
      <c r="L283" s="1492"/>
      <c r="M283" s="1492"/>
      <c r="N283" s="1492"/>
      <c r="O283" s="399"/>
      <c r="P283" s="18"/>
    </row>
    <row r="284" spans="4:18" ht="34" customHeight="1">
      <c r="D284" s="18"/>
      <c r="E284" s="18"/>
      <c r="F284" s="1500"/>
      <c r="G284" s="1500"/>
      <c r="H284" s="1492"/>
      <c r="I284" s="1500"/>
      <c r="J284" s="1500"/>
      <c r="K284" s="1500"/>
      <c r="L284" s="1500"/>
      <c r="M284" s="1500"/>
      <c r="N284" s="1500"/>
      <c r="O284" s="399"/>
      <c r="P284" s="18"/>
      <c r="R284" s="17"/>
    </row>
    <row r="285" spans="4:18" ht="34" customHeight="1">
      <c r="D285" s="18"/>
      <c r="E285" s="18"/>
      <c r="F285" s="1500"/>
      <c r="G285" s="1500"/>
      <c r="H285" s="1492"/>
      <c r="I285" s="1500"/>
      <c r="J285" s="1500"/>
      <c r="K285" s="1500"/>
      <c r="L285" s="1500"/>
      <c r="M285" s="1500"/>
      <c r="N285" s="1500"/>
      <c r="O285" s="399"/>
      <c r="P285" s="18"/>
      <c r="R285" s="17"/>
    </row>
    <row r="286" spans="4:18" ht="34" customHeight="1">
      <c r="D286" s="399"/>
      <c r="E286" s="399"/>
      <c r="F286" s="1492"/>
      <c r="G286" s="1492"/>
      <c r="H286" s="1492"/>
      <c r="I286" s="1492"/>
      <c r="J286" s="1492"/>
      <c r="K286" s="1492"/>
      <c r="L286" s="1492"/>
      <c r="M286" s="1492"/>
      <c r="N286" s="1492"/>
      <c r="O286" s="399"/>
      <c r="P286" s="18"/>
      <c r="R286" s="17"/>
    </row>
    <row r="287" spans="4:18" ht="34" customHeight="1">
      <c r="D287" s="399"/>
      <c r="E287" s="399"/>
      <c r="F287" s="1492"/>
      <c r="G287" s="1492"/>
      <c r="H287" s="1492"/>
      <c r="I287" s="1492"/>
      <c r="J287" s="1492"/>
      <c r="K287" s="1492"/>
      <c r="L287" s="1492"/>
      <c r="M287" s="1492"/>
      <c r="N287" s="1492"/>
      <c r="O287" s="399"/>
      <c r="P287" s="18"/>
      <c r="R287" s="17"/>
    </row>
    <row r="288" spans="4:18" ht="34" customHeight="1">
      <c r="D288" s="399"/>
      <c r="E288" s="399"/>
      <c r="F288" s="1492"/>
      <c r="G288" s="1492"/>
      <c r="H288" s="1492"/>
      <c r="I288" s="1492"/>
      <c r="J288" s="1492"/>
      <c r="K288" s="1492"/>
      <c r="L288" s="1492"/>
      <c r="M288" s="1492"/>
      <c r="N288" s="1492"/>
      <c r="O288" s="399"/>
      <c r="P288" s="18"/>
      <c r="R288" s="17"/>
    </row>
    <row r="289" spans="3:18" ht="34" customHeight="1">
      <c r="D289" s="399"/>
      <c r="E289" s="399"/>
      <c r="F289" s="1492"/>
      <c r="G289" s="1492"/>
      <c r="H289" s="1492"/>
      <c r="I289" s="1492"/>
      <c r="J289" s="1492"/>
      <c r="K289" s="1492"/>
      <c r="L289" s="1492"/>
      <c r="M289" s="1492"/>
      <c r="N289" s="1492"/>
      <c r="O289" s="399"/>
      <c r="P289" s="18"/>
      <c r="R289" s="17"/>
    </row>
    <row r="290" spans="3:18" ht="34" customHeight="1">
      <c r="D290" s="18"/>
      <c r="E290" s="18"/>
      <c r="F290" s="1500"/>
      <c r="G290" s="1500"/>
      <c r="H290" s="1492"/>
      <c r="I290" s="1500"/>
      <c r="J290" s="1500"/>
      <c r="K290" s="1500"/>
      <c r="L290" s="1500"/>
      <c r="M290" s="1500"/>
      <c r="N290" s="1500"/>
      <c r="O290" s="399"/>
      <c r="P290" s="18"/>
      <c r="R290" s="17"/>
    </row>
    <row r="291" spans="3:18" ht="34" customHeight="1">
      <c r="D291" s="18"/>
      <c r="E291" s="18"/>
      <c r="F291" s="1500"/>
      <c r="G291" s="1500"/>
      <c r="H291" s="1492"/>
      <c r="I291" s="1500"/>
      <c r="J291" s="1500"/>
      <c r="K291" s="1500"/>
      <c r="L291" s="1500"/>
      <c r="M291" s="1500"/>
      <c r="N291" s="1500"/>
      <c r="O291" s="399"/>
      <c r="P291" s="18"/>
      <c r="R291" s="17"/>
    </row>
    <row r="292" spans="3:18" ht="34" customHeight="1">
      <c r="C292" s="1496"/>
      <c r="D292" s="1496"/>
      <c r="E292" s="1496"/>
      <c r="F292" s="1496"/>
      <c r="G292" s="1496"/>
      <c r="H292" s="1496"/>
      <c r="I292" s="1496"/>
      <c r="J292" s="1497"/>
      <c r="K292" s="1497"/>
      <c r="L292" s="1497"/>
      <c r="M292" s="1497"/>
      <c r="N292" s="1497"/>
      <c r="O292" s="1497"/>
      <c r="P292" s="18"/>
      <c r="R292" s="17"/>
    </row>
    <row r="293" spans="3:18" ht="25" customHeight="1">
      <c r="C293" s="1496"/>
      <c r="D293" s="1496"/>
      <c r="E293" s="1496"/>
      <c r="F293" s="1496"/>
      <c r="G293" s="1496"/>
      <c r="H293" s="1496"/>
      <c r="I293" s="1496"/>
      <c r="J293" s="1497"/>
      <c r="K293" s="1497"/>
      <c r="L293" s="1497"/>
      <c r="M293" s="1497"/>
      <c r="N293" s="1497"/>
      <c r="O293" s="1497"/>
      <c r="P293" s="18"/>
      <c r="R293" s="17"/>
    </row>
    <row r="294" spans="3:18" ht="25" customHeight="1">
      <c r="C294" s="1495"/>
      <c r="D294" s="1495"/>
      <c r="E294" s="1495"/>
      <c r="F294" s="1495"/>
      <c r="G294" s="1495"/>
      <c r="H294" s="1495"/>
      <c r="I294" s="1495"/>
      <c r="J294" s="1495"/>
      <c r="K294" s="1495"/>
      <c r="L294" s="1495"/>
      <c r="M294" s="1495"/>
      <c r="N294" s="1495"/>
      <c r="O294" s="1495"/>
      <c r="P294" s="557"/>
      <c r="R294" s="17"/>
    </row>
    <row r="295" spans="3:18" ht="25" customHeight="1">
      <c r="D295" s="557"/>
      <c r="E295" s="557"/>
      <c r="F295" s="557"/>
      <c r="G295" s="557"/>
      <c r="H295" s="557"/>
      <c r="I295" s="557"/>
      <c r="J295" s="557"/>
      <c r="K295" s="557"/>
      <c r="L295" s="557"/>
      <c r="M295" s="557"/>
      <c r="N295" s="557"/>
      <c r="O295" s="1495"/>
      <c r="P295" s="557"/>
      <c r="R295" s="17"/>
    </row>
    <row r="296" spans="3:18" ht="25" customHeight="1">
      <c r="D296" s="18"/>
      <c r="E296" s="18"/>
      <c r="F296" s="18"/>
      <c r="G296" s="18"/>
      <c r="H296" s="557"/>
      <c r="I296" s="18"/>
      <c r="J296" s="18"/>
      <c r="K296" s="557"/>
      <c r="L296" s="18"/>
      <c r="M296" s="18"/>
      <c r="N296" s="557"/>
      <c r="O296" s="1495"/>
      <c r="P296" s="557"/>
      <c r="R296" s="17"/>
    </row>
    <row r="297" spans="3:18" ht="25" customHeight="1">
      <c r="D297" s="557"/>
      <c r="E297" s="557"/>
      <c r="F297" s="557"/>
      <c r="G297" s="557"/>
      <c r="H297" s="557"/>
      <c r="I297" s="557"/>
      <c r="J297" s="557"/>
      <c r="K297" s="557"/>
      <c r="L297" s="557"/>
      <c r="M297" s="557"/>
      <c r="N297" s="557"/>
      <c r="O297" s="1495"/>
      <c r="P297" s="557"/>
      <c r="R297" s="17"/>
    </row>
    <row r="298" spans="3:18" ht="25" customHeight="1">
      <c r="D298" s="399"/>
      <c r="E298" s="399"/>
      <c r="F298" s="1492"/>
      <c r="G298" s="1492"/>
      <c r="H298" s="1492"/>
      <c r="I298" s="1492"/>
      <c r="J298" s="1492"/>
      <c r="K298" s="1492"/>
      <c r="L298" s="1492"/>
      <c r="M298" s="1492"/>
      <c r="N298" s="1492"/>
      <c r="O298" s="399"/>
      <c r="P298" s="18"/>
      <c r="R298" s="17"/>
    </row>
    <row r="299" spans="3:18" ht="32" customHeight="1">
      <c r="D299" s="399"/>
      <c r="E299" s="399"/>
      <c r="F299" s="1492"/>
      <c r="G299" s="1492"/>
      <c r="H299" s="1492"/>
      <c r="I299" s="1492"/>
      <c r="J299" s="1492"/>
      <c r="K299" s="1492"/>
      <c r="L299" s="1492"/>
      <c r="M299" s="1492"/>
      <c r="N299" s="1492"/>
      <c r="O299" s="399"/>
      <c r="P299" s="18"/>
      <c r="R299" s="17"/>
    </row>
    <row r="300" spans="3:18" ht="32" customHeight="1">
      <c r="D300" s="399"/>
      <c r="E300" s="399"/>
      <c r="F300" s="1492"/>
      <c r="G300" s="1492"/>
      <c r="H300" s="1492"/>
      <c r="I300" s="1492"/>
      <c r="J300" s="1492"/>
      <c r="K300" s="1492"/>
      <c r="L300" s="1492"/>
      <c r="M300" s="1492"/>
      <c r="N300" s="1492"/>
      <c r="O300" s="399"/>
      <c r="P300" s="18"/>
      <c r="R300" s="17"/>
    </row>
    <row r="301" spans="3:18" ht="32" customHeight="1">
      <c r="D301" s="399"/>
      <c r="E301" s="399"/>
      <c r="F301" s="1492"/>
      <c r="G301" s="1492"/>
      <c r="H301" s="1492"/>
      <c r="I301" s="1492"/>
      <c r="J301" s="1492"/>
      <c r="K301" s="1492"/>
      <c r="L301" s="1492"/>
      <c r="M301" s="1492"/>
      <c r="N301" s="1492"/>
      <c r="O301" s="399"/>
      <c r="P301" s="18"/>
      <c r="R301" s="17"/>
    </row>
    <row r="302" spans="3:18" ht="32" customHeight="1">
      <c r="D302" s="399"/>
      <c r="E302" s="399"/>
      <c r="F302" s="1492"/>
      <c r="G302" s="1492"/>
      <c r="H302" s="1492"/>
      <c r="I302" s="1492"/>
      <c r="J302" s="1492"/>
      <c r="K302" s="1492"/>
      <c r="L302" s="1492"/>
      <c r="M302" s="1492"/>
      <c r="N302" s="1492"/>
      <c r="O302" s="399"/>
      <c r="P302" s="18"/>
    </row>
    <row r="303" spans="3:18" ht="32" customHeight="1">
      <c r="D303" s="399"/>
      <c r="E303" s="399"/>
      <c r="F303" s="1492"/>
      <c r="G303" s="1492"/>
      <c r="H303" s="1492"/>
      <c r="I303" s="1492"/>
      <c r="J303" s="1492"/>
      <c r="K303" s="1492"/>
      <c r="L303" s="1492"/>
      <c r="M303" s="1492"/>
      <c r="N303" s="1492"/>
      <c r="O303" s="399"/>
      <c r="P303" s="18"/>
    </row>
    <row r="304" spans="3:18" ht="32" customHeight="1">
      <c r="D304" s="18"/>
      <c r="E304" s="18"/>
      <c r="F304" s="1500"/>
      <c r="G304" s="1500"/>
      <c r="H304" s="1492"/>
      <c r="I304" s="1492"/>
      <c r="J304" s="1492"/>
      <c r="K304" s="1492"/>
      <c r="L304" s="1492"/>
      <c r="M304" s="1492"/>
      <c r="N304" s="1492"/>
      <c r="O304" s="399"/>
      <c r="P304" s="18"/>
    </row>
    <row r="305" spans="4:16" ht="32" customHeight="1">
      <c r="D305" s="18"/>
      <c r="E305" s="18"/>
      <c r="F305" s="1500"/>
      <c r="G305" s="1500"/>
      <c r="H305" s="1492"/>
      <c r="I305" s="1492"/>
      <c r="J305" s="1492"/>
      <c r="K305" s="1492"/>
      <c r="L305" s="1492"/>
      <c r="M305" s="1492"/>
      <c r="N305" s="1492"/>
      <c r="O305" s="399"/>
      <c r="P305" s="18"/>
    </row>
    <row r="306" spans="4:16" ht="32" customHeight="1">
      <c r="D306" s="399"/>
      <c r="E306" s="399"/>
      <c r="F306" s="1492"/>
      <c r="G306" s="1492"/>
      <c r="H306" s="1492"/>
      <c r="I306" s="1492"/>
      <c r="J306" s="1492"/>
      <c r="K306" s="1492"/>
      <c r="L306" s="1492"/>
      <c r="M306" s="1492"/>
      <c r="N306" s="1492"/>
      <c r="O306" s="399"/>
      <c r="P306" s="18"/>
    </row>
    <row r="307" spans="4:16" ht="32" customHeight="1">
      <c r="D307" s="399"/>
      <c r="E307" s="399"/>
      <c r="F307" s="1492"/>
      <c r="G307" s="1492"/>
      <c r="H307" s="1492"/>
      <c r="I307" s="1492"/>
      <c r="J307" s="1492"/>
      <c r="K307" s="1492"/>
      <c r="L307" s="1492"/>
      <c r="M307" s="1492"/>
      <c r="N307" s="1492"/>
      <c r="O307" s="399"/>
      <c r="P307" s="18"/>
    </row>
    <row r="308" spans="4:16" ht="32" customHeight="1">
      <c r="D308" s="399"/>
      <c r="E308" s="399"/>
      <c r="F308" s="1492"/>
      <c r="G308" s="1492"/>
      <c r="H308" s="1492"/>
      <c r="I308" s="1492"/>
      <c r="J308" s="1492"/>
      <c r="K308" s="1492"/>
      <c r="L308" s="1492"/>
      <c r="M308" s="1492"/>
      <c r="N308" s="1492"/>
      <c r="O308" s="399"/>
      <c r="P308" s="18"/>
    </row>
    <row r="309" spans="4:16" ht="32" customHeight="1">
      <c r="D309" s="399"/>
      <c r="E309" s="399"/>
      <c r="F309" s="1492"/>
      <c r="G309" s="1492"/>
      <c r="H309" s="1492"/>
      <c r="I309" s="1492"/>
      <c r="J309" s="1492"/>
      <c r="K309" s="1492"/>
      <c r="L309" s="1492"/>
      <c r="M309" s="1492"/>
      <c r="N309" s="1492"/>
      <c r="O309" s="399"/>
      <c r="P309" s="18"/>
    </row>
    <row r="310" spans="4:16" ht="32" customHeight="1">
      <c r="D310" s="399"/>
      <c r="E310" s="399"/>
      <c r="F310" s="1492"/>
      <c r="G310" s="1492"/>
      <c r="H310" s="1492"/>
      <c r="I310" s="1492"/>
      <c r="J310" s="1492"/>
      <c r="K310" s="1492"/>
      <c r="L310" s="1492"/>
      <c r="M310" s="1492"/>
      <c r="N310" s="1492"/>
      <c r="O310" s="399"/>
      <c r="P310" s="18"/>
    </row>
    <row r="311" spans="4:16" ht="32" customHeight="1">
      <c r="D311" s="399"/>
      <c r="E311" s="399"/>
      <c r="F311" s="1492"/>
      <c r="G311" s="1492"/>
      <c r="H311" s="1492"/>
      <c r="I311" s="1492"/>
      <c r="J311" s="1492"/>
      <c r="K311" s="1492"/>
      <c r="L311" s="1492"/>
      <c r="M311" s="1492"/>
      <c r="N311" s="1492"/>
      <c r="O311" s="399"/>
      <c r="P311" s="18"/>
    </row>
    <row r="312" spans="4:16" ht="32" customHeight="1">
      <c r="D312" s="399"/>
      <c r="E312" s="399"/>
      <c r="F312" s="1492"/>
      <c r="G312" s="1492"/>
      <c r="H312" s="1492"/>
      <c r="I312" s="1492"/>
      <c r="J312" s="1492"/>
      <c r="K312" s="1492"/>
      <c r="L312" s="1492"/>
      <c r="M312" s="1492"/>
      <c r="N312" s="1492"/>
      <c r="O312" s="399"/>
      <c r="P312" s="18"/>
    </row>
    <row r="313" spans="4:16" ht="32" customHeight="1">
      <c r="D313" s="399"/>
      <c r="E313" s="399"/>
      <c r="F313" s="1492"/>
      <c r="G313" s="1492"/>
      <c r="H313" s="1492"/>
      <c r="I313" s="1492"/>
      <c r="J313" s="1492"/>
      <c r="K313" s="1492"/>
      <c r="L313" s="1492"/>
      <c r="M313" s="1492"/>
      <c r="N313" s="1492"/>
      <c r="O313" s="399"/>
      <c r="P313" s="18"/>
    </row>
    <row r="314" spans="4:16" ht="32" customHeight="1">
      <c r="D314" s="399"/>
      <c r="E314" s="399"/>
      <c r="F314" s="1492"/>
      <c r="G314" s="1492"/>
      <c r="H314" s="1492"/>
      <c r="I314" s="1492"/>
      <c r="J314" s="1492"/>
      <c r="K314" s="1492"/>
      <c r="L314" s="1492"/>
      <c r="M314" s="1492"/>
      <c r="N314" s="1492"/>
      <c r="O314" s="399"/>
      <c r="P314" s="18"/>
    </row>
    <row r="315" spans="4:16" ht="32" customHeight="1">
      <c r="D315" s="399"/>
      <c r="E315" s="399"/>
      <c r="F315" s="1492"/>
      <c r="G315" s="1492"/>
      <c r="H315" s="1492"/>
      <c r="I315" s="1492"/>
      <c r="J315" s="1492"/>
      <c r="K315" s="1492"/>
      <c r="L315" s="1492"/>
      <c r="M315" s="1492"/>
      <c r="N315" s="1492"/>
      <c r="O315" s="399"/>
      <c r="P315" s="18"/>
    </row>
    <row r="316" spans="4:16" ht="32" customHeight="1">
      <c r="D316" s="399"/>
      <c r="E316" s="399"/>
      <c r="F316" s="1492"/>
      <c r="G316" s="1492"/>
      <c r="H316" s="1492"/>
      <c r="I316" s="1492"/>
      <c r="J316" s="1492"/>
      <c r="K316" s="1492"/>
      <c r="L316" s="1492"/>
      <c r="M316" s="1492"/>
      <c r="N316" s="1492"/>
      <c r="O316" s="399"/>
      <c r="P316" s="18"/>
    </row>
    <row r="317" spans="4:16" ht="32" customHeight="1">
      <c r="D317" s="399"/>
      <c r="E317" s="399"/>
      <c r="F317" s="1492"/>
      <c r="G317" s="1492"/>
      <c r="H317" s="1492"/>
      <c r="I317" s="1492"/>
      <c r="J317" s="1492"/>
      <c r="K317" s="1492"/>
      <c r="L317" s="1492"/>
      <c r="M317" s="1492"/>
      <c r="N317" s="1492"/>
      <c r="O317" s="399"/>
      <c r="P317" s="18"/>
    </row>
    <row r="318" spans="4:16" ht="32" customHeight="1">
      <c r="D318" s="399"/>
      <c r="E318" s="399"/>
      <c r="F318" s="1492"/>
      <c r="G318" s="1492"/>
      <c r="H318" s="1492"/>
      <c r="I318" s="1492"/>
      <c r="J318" s="1492"/>
      <c r="K318" s="1492"/>
      <c r="L318" s="1492"/>
      <c r="M318" s="1492"/>
      <c r="N318" s="1492"/>
      <c r="O318" s="399"/>
      <c r="P318" s="18"/>
    </row>
    <row r="319" spans="4:16" ht="32" customHeight="1">
      <c r="D319" s="399"/>
      <c r="E319" s="399"/>
      <c r="F319" s="1492"/>
      <c r="G319" s="1492"/>
      <c r="H319" s="1492"/>
      <c r="I319" s="1492"/>
      <c r="J319" s="1492"/>
      <c r="K319" s="1492"/>
      <c r="L319" s="1492"/>
      <c r="M319" s="1492"/>
      <c r="N319" s="1492"/>
      <c r="O319" s="399"/>
      <c r="P319" s="18"/>
    </row>
    <row r="320" spans="4:16" ht="32" customHeight="1">
      <c r="D320" s="399"/>
      <c r="E320" s="399"/>
      <c r="F320" s="1492"/>
      <c r="G320" s="1492"/>
      <c r="H320" s="1492"/>
      <c r="I320" s="1492"/>
      <c r="J320" s="1492"/>
      <c r="K320" s="1492"/>
      <c r="L320" s="1492"/>
      <c r="M320" s="1492"/>
      <c r="N320" s="1492"/>
      <c r="O320" s="399"/>
      <c r="P320" s="18"/>
    </row>
    <row r="321" spans="3:16" ht="32" customHeight="1">
      <c r="D321" s="399"/>
      <c r="E321" s="399"/>
      <c r="F321" s="1492"/>
      <c r="G321" s="1492"/>
      <c r="H321" s="1492"/>
      <c r="I321" s="1492"/>
      <c r="J321" s="1492"/>
      <c r="K321" s="1492"/>
      <c r="L321" s="1492"/>
      <c r="M321" s="1492"/>
      <c r="N321" s="1492"/>
      <c r="O321" s="399"/>
      <c r="P321" s="18"/>
    </row>
    <row r="322" spans="3:16" ht="32" customHeight="1">
      <c r="D322" s="399"/>
      <c r="E322" s="399"/>
      <c r="F322" s="1492"/>
      <c r="G322" s="1492"/>
      <c r="H322" s="1492"/>
      <c r="I322" s="1492"/>
      <c r="J322" s="1492"/>
      <c r="K322" s="1492"/>
      <c r="L322" s="1492"/>
      <c r="M322" s="1492"/>
      <c r="N322" s="1492"/>
      <c r="O322" s="399"/>
      <c r="P322" s="18"/>
    </row>
    <row r="323" spans="3:16" ht="32" customHeight="1">
      <c r="D323" s="399"/>
      <c r="E323" s="399"/>
      <c r="F323" s="1492"/>
      <c r="G323" s="1492"/>
      <c r="H323" s="1492"/>
      <c r="I323" s="1492"/>
      <c r="J323" s="1492"/>
      <c r="K323" s="1492"/>
      <c r="L323" s="1492"/>
      <c r="M323" s="1492"/>
      <c r="N323" s="1492"/>
      <c r="O323" s="399"/>
      <c r="P323" s="18"/>
    </row>
    <row r="324" spans="3:16" ht="32" customHeight="1">
      <c r="D324" s="399"/>
      <c r="E324" s="399"/>
      <c r="F324" s="1492"/>
      <c r="G324" s="1492"/>
      <c r="H324" s="1492"/>
      <c r="I324" s="1492"/>
      <c r="J324" s="1492"/>
      <c r="K324" s="1492"/>
      <c r="L324" s="1492"/>
      <c r="M324" s="1492"/>
      <c r="N324" s="1492"/>
      <c r="O324" s="399"/>
      <c r="P324" s="18"/>
    </row>
    <row r="325" spans="3:16" ht="32" customHeight="1">
      <c r="D325" s="399"/>
      <c r="E325" s="399"/>
      <c r="F325" s="1492"/>
      <c r="G325" s="1492"/>
      <c r="H325" s="1492"/>
      <c r="I325" s="1492"/>
      <c r="J325" s="1492"/>
      <c r="K325" s="1492"/>
      <c r="L325" s="1492"/>
      <c r="M325" s="1492"/>
      <c r="N325" s="1492"/>
      <c r="O325" s="399"/>
      <c r="P325" s="18"/>
    </row>
    <row r="326" spans="3:16" ht="32" customHeight="1">
      <c r="D326" s="399"/>
      <c r="E326" s="399"/>
      <c r="F326" s="1492"/>
      <c r="G326" s="1492"/>
      <c r="H326" s="1492"/>
      <c r="I326" s="1492"/>
      <c r="J326" s="1492"/>
      <c r="K326" s="1492"/>
      <c r="L326" s="1492"/>
      <c r="M326" s="1492"/>
      <c r="N326" s="1492"/>
      <c r="O326" s="399"/>
      <c r="P326" s="18"/>
    </row>
    <row r="327" spans="3:16" ht="32" customHeight="1">
      <c r="D327" s="399"/>
      <c r="E327" s="399"/>
      <c r="F327" s="1492"/>
      <c r="G327" s="1492"/>
      <c r="H327" s="1492"/>
      <c r="I327" s="1492"/>
      <c r="J327" s="1492"/>
      <c r="K327" s="1492"/>
      <c r="L327" s="1492"/>
      <c r="M327" s="1492"/>
      <c r="N327" s="1492"/>
      <c r="O327" s="399"/>
      <c r="P327" s="18"/>
    </row>
    <row r="328" spans="3:16" ht="32" customHeight="1">
      <c r="D328" s="399"/>
      <c r="E328" s="399"/>
      <c r="F328" s="1492"/>
      <c r="G328" s="1492"/>
      <c r="H328" s="1492"/>
      <c r="I328" s="1492"/>
      <c r="J328" s="1492"/>
      <c r="K328" s="1492"/>
      <c r="L328" s="1492"/>
      <c r="M328" s="1492"/>
      <c r="N328" s="1492"/>
      <c r="O328" s="19"/>
      <c r="P328" s="20"/>
    </row>
    <row r="329" spans="3:16" ht="32" customHeight="1">
      <c r="D329" s="399"/>
      <c r="E329" s="399"/>
      <c r="F329" s="1492"/>
      <c r="G329" s="1492"/>
      <c r="H329" s="1492"/>
      <c r="I329" s="1492"/>
      <c r="J329" s="1492"/>
      <c r="K329" s="1492"/>
      <c r="L329" s="1492"/>
      <c r="M329" s="1492"/>
      <c r="N329" s="1492"/>
      <c r="O329" s="19"/>
      <c r="P329" s="20"/>
    </row>
    <row r="330" spans="3:16" ht="32" customHeight="1">
      <c r="C330" s="1493"/>
      <c r="D330" s="1493"/>
      <c r="E330" s="1493"/>
      <c r="F330" s="1493"/>
      <c r="G330" s="1493"/>
      <c r="H330" s="1493"/>
      <c r="I330" s="1494"/>
      <c r="J330" s="1494"/>
      <c r="K330" s="1494"/>
      <c r="L330" s="1494"/>
      <c r="M330" s="1494"/>
      <c r="N330" s="1494"/>
      <c r="O330" s="1494"/>
      <c r="P330" s="491"/>
    </row>
    <row r="331" spans="3:16" ht="31" customHeight="1">
      <c r="C331" s="1493"/>
      <c r="D331" s="1493"/>
      <c r="E331" s="1493"/>
      <c r="F331" s="1493"/>
      <c r="G331" s="1493"/>
      <c r="H331" s="1493"/>
      <c r="I331" s="1494"/>
      <c r="J331" s="1494"/>
      <c r="K331" s="1494"/>
      <c r="L331" s="1494"/>
      <c r="M331" s="1494"/>
      <c r="N331" s="1494"/>
      <c r="O331" s="1494"/>
      <c r="P331" s="491"/>
    </row>
    <row r="332" spans="3:16" ht="31" customHeight="1">
      <c r="C332" s="1499"/>
      <c r="D332" s="1499"/>
      <c r="E332" s="1499"/>
      <c r="F332" s="1499"/>
      <c r="G332" s="1499"/>
      <c r="H332" s="1499"/>
      <c r="I332" s="1499"/>
      <c r="J332" s="1499"/>
      <c r="K332" s="1499"/>
      <c r="L332" s="1499"/>
      <c r="M332" s="1499"/>
      <c r="N332" s="1499"/>
      <c r="O332" s="1499"/>
      <c r="P332" s="587"/>
    </row>
    <row r="333" spans="3:16" ht="22" customHeight="1">
      <c r="C333" s="1499"/>
      <c r="D333" s="1499"/>
      <c r="E333" s="1499"/>
      <c r="F333" s="1499"/>
      <c r="G333" s="1499"/>
      <c r="H333" s="1499"/>
      <c r="I333" s="1499"/>
      <c r="J333" s="1499"/>
      <c r="K333" s="1499"/>
      <c r="L333" s="1499"/>
      <c r="M333" s="1499"/>
      <c r="N333" s="1499"/>
      <c r="O333" s="1499"/>
      <c r="P333" s="587"/>
    </row>
    <row r="334" spans="3:16" ht="22" customHeight="1">
      <c r="C334" s="1499"/>
      <c r="D334" s="1499"/>
      <c r="E334" s="1499"/>
      <c r="F334" s="1499"/>
      <c r="G334" s="1499"/>
      <c r="H334" s="1499"/>
      <c r="I334" s="1499"/>
      <c r="J334" s="1499"/>
      <c r="K334" s="1499"/>
      <c r="L334" s="1499"/>
      <c r="M334" s="1499"/>
      <c r="N334" s="1499"/>
      <c r="O334" s="1499"/>
      <c r="P334" s="587"/>
    </row>
    <row r="335" spans="3:16" ht="22" customHeight="1">
      <c r="C335" s="1495"/>
      <c r="D335" s="1495"/>
      <c r="E335" s="1495"/>
      <c r="F335" s="1495"/>
      <c r="G335" s="1495"/>
      <c r="H335" s="1495"/>
      <c r="I335" s="1495"/>
      <c r="J335" s="1495"/>
      <c r="K335" s="1495"/>
      <c r="L335" s="1495"/>
      <c r="M335" s="1495"/>
      <c r="N335" s="1495"/>
      <c r="O335" s="1495"/>
      <c r="P335" s="557"/>
    </row>
    <row r="336" spans="3:16" ht="20" customHeight="1">
      <c r="D336" s="557"/>
      <c r="E336" s="557"/>
      <c r="F336" s="557"/>
      <c r="G336" s="557"/>
      <c r="H336" s="557"/>
      <c r="I336" s="557"/>
      <c r="J336" s="557"/>
      <c r="K336" s="557"/>
      <c r="L336" s="557"/>
      <c r="M336" s="557"/>
      <c r="N336" s="557"/>
      <c r="O336" s="1495"/>
      <c r="P336" s="557"/>
    </row>
    <row r="337" spans="4:18" ht="20" customHeight="1">
      <c r="D337" s="18"/>
      <c r="E337" s="18"/>
      <c r="F337" s="18"/>
      <c r="G337" s="18"/>
      <c r="H337" s="557"/>
      <c r="I337" s="18"/>
      <c r="J337" s="18"/>
      <c r="K337" s="557"/>
      <c r="L337" s="18"/>
      <c r="M337" s="18"/>
      <c r="N337" s="557"/>
      <c r="O337" s="1495"/>
      <c r="P337" s="557"/>
    </row>
    <row r="338" spans="4:18" ht="20" customHeight="1">
      <c r="D338" s="557"/>
      <c r="E338" s="557"/>
      <c r="F338" s="557"/>
      <c r="G338" s="557"/>
      <c r="H338" s="557"/>
      <c r="I338" s="557"/>
      <c r="J338" s="557"/>
      <c r="K338" s="557"/>
      <c r="L338" s="557"/>
      <c r="M338" s="557"/>
      <c r="N338" s="557"/>
      <c r="O338" s="1495"/>
      <c r="P338" s="557"/>
    </row>
    <row r="339" spans="4:18" ht="20" customHeight="1">
      <c r="D339" s="399"/>
      <c r="E339" s="399"/>
      <c r="F339" s="399"/>
      <c r="G339" s="399"/>
      <c r="H339" s="399"/>
      <c r="I339" s="399"/>
      <c r="J339" s="399"/>
      <c r="K339" s="399"/>
      <c r="L339" s="399"/>
      <c r="M339" s="399"/>
      <c r="N339" s="399"/>
      <c r="O339" s="399"/>
      <c r="P339" s="18"/>
    </row>
    <row r="340" spans="4:18" ht="26" customHeight="1">
      <c r="D340" s="399"/>
      <c r="E340" s="399"/>
      <c r="F340" s="1492"/>
      <c r="G340" s="1492"/>
      <c r="H340" s="1492"/>
      <c r="I340" s="1492"/>
      <c r="J340" s="1492"/>
      <c r="K340" s="1492"/>
      <c r="L340" s="1492"/>
      <c r="M340" s="1492"/>
      <c r="N340" s="1492"/>
      <c r="O340" s="399"/>
      <c r="P340" s="18"/>
      <c r="R340" s="17"/>
    </row>
    <row r="341" spans="4:18" ht="26" customHeight="1">
      <c r="D341" s="399"/>
      <c r="E341" s="399"/>
      <c r="F341" s="1492"/>
      <c r="G341" s="1492"/>
      <c r="H341" s="1492"/>
      <c r="I341" s="1492"/>
      <c r="J341" s="1492"/>
      <c r="K341" s="1492"/>
      <c r="L341" s="1492"/>
      <c r="M341" s="1492"/>
      <c r="N341" s="1492"/>
      <c r="O341" s="399"/>
      <c r="P341" s="18"/>
      <c r="R341" s="17"/>
    </row>
    <row r="342" spans="4:18" ht="26" customHeight="1">
      <c r="D342" s="399"/>
      <c r="E342" s="399"/>
      <c r="F342" s="1492"/>
      <c r="G342" s="1492"/>
      <c r="H342" s="1492"/>
      <c r="I342" s="1492"/>
      <c r="J342" s="1492"/>
      <c r="K342" s="1492"/>
      <c r="L342" s="1492"/>
      <c r="M342" s="1492"/>
      <c r="N342" s="1492"/>
      <c r="O342" s="399"/>
      <c r="P342" s="18"/>
      <c r="R342" s="17"/>
    </row>
    <row r="343" spans="4:18" ht="26" customHeight="1">
      <c r="D343" s="399"/>
      <c r="E343" s="399"/>
      <c r="F343" s="1492"/>
      <c r="G343" s="1492"/>
      <c r="H343" s="1492"/>
      <c r="I343" s="1492"/>
      <c r="J343" s="1492"/>
      <c r="K343" s="1492"/>
      <c r="L343" s="1492"/>
      <c r="M343" s="1492"/>
      <c r="N343" s="1492"/>
      <c r="O343" s="399"/>
      <c r="P343" s="18"/>
      <c r="R343" s="17"/>
    </row>
    <row r="344" spans="4:18" ht="26" customHeight="1">
      <c r="D344" s="399"/>
      <c r="E344" s="399"/>
      <c r="F344" s="1492"/>
      <c r="G344" s="1492"/>
      <c r="H344" s="1492"/>
      <c r="I344" s="1492"/>
      <c r="J344" s="1492"/>
      <c r="K344" s="1492"/>
      <c r="L344" s="1492"/>
      <c r="M344" s="1492"/>
      <c r="N344" s="1492"/>
      <c r="O344" s="399"/>
      <c r="P344" s="18"/>
      <c r="R344" s="17"/>
    </row>
    <row r="345" spans="4:18" ht="26" customHeight="1">
      <c r="D345" s="399"/>
      <c r="E345" s="399"/>
      <c r="F345" s="1492"/>
      <c r="G345" s="1492"/>
      <c r="H345" s="1492"/>
      <c r="I345" s="1492"/>
      <c r="J345" s="1492"/>
      <c r="K345" s="1492"/>
      <c r="L345" s="1492"/>
      <c r="M345" s="1492"/>
      <c r="N345" s="1492"/>
      <c r="O345" s="399"/>
      <c r="P345" s="18"/>
      <c r="R345" s="17"/>
    </row>
    <row r="346" spans="4:18" ht="26" customHeight="1">
      <c r="D346" s="399"/>
      <c r="E346" s="399"/>
      <c r="F346" s="1492"/>
      <c r="G346" s="1492"/>
      <c r="H346" s="1492"/>
      <c r="I346" s="1492"/>
      <c r="J346" s="1492"/>
      <c r="K346" s="1492"/>
      <c r="L346" s="1492"/>
      <c r="M346" s="1492"/>
      <c r="N346" s="1492"/>
      <c r="O346" s="399"/>
      <c r="P346" s="18"/>
      <c r="R346" s="17"/>
    </row>
    <row r="347" spans="4:18" ht="31.5" customHeight="1">
      <c r="D347" s="399"/>
      <c r="E347" s="399"/>
      <c r="F347" s="1492"/>
      <c r="G347" s="1492"/>
      <c r="H347" s="1492"/>
      <c r="I347" s="1492"/>
      <c r="J347" s="1492"/>
      <c r="K347" s="1492"/>
      <c r="L347" s="1492"/>
      <c r="M347" s="1492"/>
      <c r="N347" s="1492"/>
      <c r="O347" s="399"/>
      <c r="P347" s="18"/>
      <c r="R347" s="17"/>
    </row>
    <row r="348" spans="4:18" ht="33" customHeight="1">
      <c r="D348" s="399"/>
      <c r="E348" s="399"/>
      <c r="F348" s="1492"/>
      <c r="G348" s="1492"/>
      <c r="H348" s="1492"/>
      <c r="I348" s="1492"/>
      <c r="J348" s="1492"/>
      <c r="K348" s="1492"/>
      <c r="L348" s="1492"/>
      <c r="M348" s="1492"/>
      <c r="N348" s="1492"/>
      <c r="O348" s="399"/>
      <c r="P348" s="18"/>
      <c r="R348" s="17"/>
    </row>
    <row r="349" spans="4:18" ht="26" customHeight="1">
      <c r="D349" s="399"/>
      <c r="E349" s="399"/>
      <c r="F349" s="1492"/>
      <c r="G349" s="1492"/>
      <c r="H349" s="1492"/>
      <c r="I349" s="1492"/>
      <c r="J349" s="1492"/>
      <c r="K349" s="1492"/>
      <c r="L349" s="1492"/>
      <c r="M349" s="1492"/>
      <c r="N349" s="1492"/>
      <c r="O349" s="399"/>
      <c r="P349" s="18"/>
      <c r="R349" s="17"/>
    </row>
    <row r="350" spans="4:18" ht="26" customHeight="1">
      <c r="D350" s="399"/>
      <c r="E350" s="399"/>
      <c r="F350" s="1492"/>
      <c r="G350" s="1492"/>
      <c r="H350" s="1492"/>
      <c r="I350" s="1492"/>
      <c r="J350" s="1492"/>
      <c r="K350" s="1492"/>
      <c r="L350" s="1492"/>
      <c r="M350" s="1492"/>
      <c r="N350" s="1492"/>
      <c r="O350" s="399"/>
      <c r="P350" s="18"/>
      <c r="R350" s="17"/>
    </row>
    <row r="351" spans="4:18" ht="34.5" customHeight="1">
      <c r="D351" s="399"/>
      <c r="E351" s="399"/>
      <c r="F351" s="1492"/>
      <c r="G351" s="1492"/>
      <c r="H351" s="1492"/>
      <c r="I351" s="1492"/>
      <c r="J351" s="1492"/>
      <c r="K351" s="1492"/>
      <c r="L351" s="1492"/>
      <c r="M351" s="1492"/>
      <c r="N351" s="1492"/>
      <c r="O351" s="399"/>
      <c r="P351" s="18"/>
      <c r="R351" s="17"/>
    </row>
    <row r="352" spans="4:18" ht="36" customHeight="1">
      <c r="D352" s="399"/>
      <c r="E352" s="399"/>
      <c r="F352" s="1492"/>
      <c r="G352" s="1492"/>
      <c r="H352" s="1492"/>
      <c r="I352" s="1492"/>
      <c r="J352" s="1492"/>
      <c r="K352" s="1492"/>
      <c r="L352" s="1492"/>
      <c r="M352" s="1492"/>
      <c r="N352" s="1492"/>
      <c r="O352" s="399"/>
      <c r="P352" s="18"/>
      <c r="R352" s="17"/>
    </row>
    <row r="353" spans="4:21" ht="26" customHeight="1">
      <c r="D353" s="399"/>
      <c r="E353" s="399"/>
      <c r="F353" s="1492"/>
      <c r="G353" s="1492"/>
      <c r="H353" s="1492"/>
      <c r="I353" s="1492"/>
      <c r="J353" s="1492"/>
      <c r="K353" s="1492"/>
      <c r="L353" s="1492"/>
      <c r="M353" s="1492"/>
      <c r="N353" s="1492"/>
      <c r="O353" s="399"/>
      <c r="P353" s="18"/>
      <c r="R353" s="17"/>
      <c r="S353" s="17"/>
    </row>
    <row r="354" spans="4:21" ht="26" customHeight="1">
      <c r="D354" s="399"/>
      <c r="E354" s="399"/>
      <c r="F354" s="1492"/>
      <c r="G354" s="1492"/>
      <c r="H354" s="1492"/>
      <c r="I354" s="1492"/>
      <c r="J354" s="1492"/>
      <c r="K354" s="1492"/>
      <c r="L354" s="1492"/>
      <c r="M354" s="1492"/>
      <c r="N354" s="1492"/>
      <c r="O354" s="399"/>
      <c r="P354" s="18"/>
      <c r="R354" s="17"/>
      <c r="S354" s="17"/>
    </row>
    <row r="355" spans="4:21" ht="26" customHeight="1">
      <c r="D355" s="399"/>
      <c r="E355" s="399"/>
      <c r="F355" s="1492"/>
      <c r="G355" s="1492"/>
      <c r="H355" s="1492"/>
      <c r="I355" s="1492"/>
      <c r="J355" s="1492"/>
      <c r="K355" s="1492"/>
      <c r="L355" s="1492"/>
      <c r="M355" s="1492"/>
      <c r="N355" s="1492"/>
      <c r="O355" s="399"/>
      <c r="P355" s="18"/>
      <c r="R355" s="17"/>
      <c r="S355" s="17"/>
    </row>
    <row r="356" spans="4:21" ht="26" customHeight="1">
      <c r="D356" s="399"/>
      <c r="E356" s="399"/>
      <c r="F356" s="1492"/>
      <c r="G356" s="1492"/>
      <c r="H356" s="1492"/>
      <c r="I356" s="1492"/>
      <c r="J356" s="1492"/>
      <c r="K356" s="1492"/>
      <c r="L356" s="1492"/>
      <c r="M356" s="1492"/>
      <c r="N356" s="1492"/>
      <c r="O356" s="399"/>
      <c r="P356" s="18"/>
      <c r="R356" s="17"/>
      <c r="S356" s="17"/>
    </row>
    <row r="357" spans="4:21" ht="26" customHeight="1">
      <c r="D357" s="399"/>
      <c r="E357" s="399"/>
      <c r="F357" s="1492"/>
      <c r="G357" s="1492"/>
      <c r="H357" s="1492"/>
      <c r="I357" s="1492"/>
      <c r="J357" s="1492"/>
      <c r="K357" s="1492"/>
      <c r="L357" s="1492"/>
      <c r="M357" s="1492"/>
      <c r="N357" s="1492"/>
      <c r="O357" s="399"/>
      <c r="P357" s="18"/>
      <c r="R357" s="17"/>
      <c r="S357" s="17"/>
      <c r="T357" s="17"/>
      <c r="U357" s="17"/>
    </row>
    <row r="358" spans="4:21" ht="26" customHeight="1">
      <c r="D358" s="399"/>
      <c r="E358" s="399"/>
      <c r="F358" s="1492"/>
      <c r="G358" s="1492"/>
      <c r="H358" s="1492"/>
      <c r="I358" s="1492"/>
      <c r="J358" s="1492"/>
      <c r="K358" s="1492"/>
      <c r="L358" s="1492"/>
      <c r="M358" s="1492"/>
      <c r="N358" s="1492"/>
      <c r="O358" s="399"/>
      <c r="P358" s="18"/>
      <c r="R358" s="17"/>
      <c r="S358" s="17"/>
      <c r="T358" s="17"/>
      <c r="U358" s="17"/>
    </row>
    <row r="359" spans="4:21" ht="26" customHeight="1">
      <c r="D359" s="399"/>
      <c r="E359" s="399"/>
      <c r="F359" s="1492"/>
      <c r="G359" s="1492"/>
      <c r="H359" s="1492"/>
      <c r="I359" s="1492"/>
      <c r="J359" s="1492"/>
      <c r="K359" s="1492"/>
      <c r="L359" s="1492"/>
      <c r="M359" s="1492"/>
      <c r="N359" s="1492"/>
      <c r="O359" s="399"/>
      <c r="P359" s="18"/>
      <c r="R359" s="17"/>
      <c r="S359" s="17"/>
      <c r="T359" s="17"/>
      <c r="U359" s="17"/>
    </row>
    <row r="360" spans="4:21" ht="26" customHeight="1">
      <c r="D360" s="399"/>
      <c r="E360" s="399"/>
      <c r="F360" s="1492"/>
      <c r="G360" s="1492"/>
      <c r="H360" s="1492"/>
      <c r="I360" s="1492"/>
      <c r="J360" s="1492"/>
      <c r="K360" s="1492"/>
      <c r="L360" s="1492"/>
      <c r="M360" s="1492"/>
      <c r="N360" s="1492"/>
      <c r="O360" s="399"/>
      <c r="P360" s="18"/>
      <c r="R360" s="17"/>
      <c r="S360" s="17"/>
      <c r="T360" s="17"/>
      <c r="U360" s="17"/>
    </row>
    <row r="361" spans="4:21" ht="26" customHeight="1">
      <c r="D361" s="399"/>
      <c r="E361" s="399"/>
      <c r="F361" s="1492"/>
      <c r="G361" s="1492"/>
      <c r="H361" s="1492"/>
      <c r="I361" s="1492"/>
      <c r="J361" s="1492"/>
      <c r="K361" s="1492"/>
      <c r="L361" s="1492"/>
      <c r="M361" s="1492"/>
      <c r="N361" s="1492"/>
      <c r="O361" s="399"/>
      <c r="P361" s="18"/>
      <c r="R361" s="17"/>
      <c r="S361" s="17"/>
      <c r="T361" s="17"/>
    </row>
    <row r="362" spans="4:21" ht="26" customHeight="1">
      <c r="D362" s="399"/>
      <c r="E362" s="399"/>
      <c r="F362" s="1492"/>
      <c r="G362" s="1492"/>
      <c r="H362" s="1492"/>
      <c r="I362" s="1492"/>
      <c r="J362" s="1492"/>
      <c r="K362" s="1492"/>
      <c r="L362" s="1492"/>
      <c r="M362" s="1492"/>
      <c r="N362" s="1492"/>
      <c r="O362" s="399"/>
      <c r="P362" s="18"/>
      <c r="R362" s="17"/>
      <c r="S362" s="17"/>
      <c r="T362" s="17"/>
    </row>
    <row r="363" spans="4:21" ht="26" customHeight="1">
      <c r="D363" s="399"/>
      <c r="E363" s="399"/>
      <c r="F363" s="1492"/>
      <c r="G363" s="1492"/>
      <c r="H363" s="1492"/>
      <c r="I363" s="1492"/>
      <c r="J363" s="1492"/>
      <c r="K363" s="1492"/>
      <c r="L363" s="1492"/>
      <c r="M363" s="1492"/>
      <c r="N363" s="1492"/>
      <c r="O363" s="399"/>
      <c r="P363" s="18"/>
      <c r="R363" s="17"/>
    </row>
    <row r="364" spans="4:21" ht="26" customHeight="1">
      <c r="D364" s="399"/>
      <c r="E364" s="399"/>
      <c r="F364" s="1492"/>
      <c r="G364" s="1492"/>
      <c r="H364" s="1492"/>
      <c r="I364" s="1492"/>
      <c r="J364" s="1492"/>
      <c r="K364" s="1492"/>
      <c r="L364" s="1492"/>
      <c r="M364" s="1492"/>
      <c r="N364" s="1492"/>
      <c r="O364" s="399"/>
      <c r="P364" s="18"/>
      <c r="R364" s="17"/>
    </row>
    <row r="365" spans="4:21" ht="26" customHeight="1">
      <c r="D365" s="399"/>
      <c r="E365" s="399"/>
      <c r="F365" s="1492"/>
      <c r="G365" s="1492"/>
      <c r="H365" s="1492"/>
      <c r="I365" s="1492"/>
      <c r="J365" s="1492"/>
      <c r="K365" s="1492"/>
      <c r="L365" s="1492"/>
      <c r="M365" s="1492"/>
      <c r="N365" s="1492"/>
      <c r="O365" s="399"/>
      <c r="P365" s="18"/>
      <c r="R365" s="17"/>
    </row>
    <row r="366" spans="4:21" ht="26" customHeight="1">
      <c r="D366" s="399"/>
      <c r="E366" s="399"/>
      <c r="F366" s="1492"/>
      <c r="G366" s="1492"/>
      <c r="H366" s="1492"/>
      <c r="I366" s="1492"/>
      <c r="J366" s="1492"/>
      <c r="K366" s="1492"/>
      <c r="L366" s="1492"/>
      <c r="M366" s="1492"/>
      <c r="N366" s="1492"/>
      <c r="O366" s="399"/>
      <c r="P366" s="18"/>
      <c r="R366" s="17"/>
    </row>
    <row r="367" spans="4:21" ht="26" customHeight="1">
      <c r="D367" s="399"/>
      <c r="E367" s="399"/>
      <c r="F367" s="1492"/>
      <c r="G367" s="1492"/>
      <c r="H367" s="1492"/>
      <c r="I367" s="1492"/>
      <c r="J367" s="1492"/>
      <c r="K367" s="1492"/>
      <c r="L367" s="1492"/>
      <c r="M367" s="1492"/>
      <c r="N367" s="1492"/>
      <c r="O367" s="399"/>
      <c r="P367" s="18"/>
      <c r="R367" s="17"/>
    </row>
    <row r="368" spans="4:21" ht="26" customHeight="1">
      <c r="D368" s="399"/>
      <c r="E368" s="399"/>
      <c r="F368" s="1492"/>
      <c r="G368" s="1492"/>
      <c r="H368" s="1492"/>
      <c r="I368" s="1492"/>
      <c r="J368" s="1492"/>
      <c r="K368" s="1492"/>
      <c r="L368" s="1492"/>
      <c r="M368" s="1492"/>
      <c r="N368" s="1492"/>
      <c r="O368" s="399"/>
      <c r="P368" s="18"/>
      <c r="R368" s="17"/>
    </row>
    <row r="369" spans="3:18" ht="26" customHeight="1">
      <c r="D369" s="399"/>
      <c r="E369" s="399"/>
      <c r="F369" s="1492"/>
      <c r="G369" s="1492"/>
      <c r="H369" s="1492"/>
      <c r="I369" s="1492"/>
      <c r="J369" s="1492"/>
      <c r="K369" s="1492"/>
      <c r="L369" s="1492"/>
      <c r="M369" s="1492"/>
      <c r="N369" s="1492"/>
      <c r="O369" s="399"/>
      <c r="P369" s="18"/>
      <c r="R369" s="17"/>
    </row>
    <row r="370" spans="3:18" ht="26" customHeight="1">
      <c r="D370" s="399"/>
      <c r="E370" s="399"/>
      <c r="F370" s="1492"/>
      <c r="G370" s="1492"/>
      <c r="H370" s="1492"/>
      <c r="I370" s="1492"/>
      <c r="J370" s="1492"/>
      <c r="K370" s="1492"/>
      <c r="L370" s="1492"/>
      <c r="M370" s="1492"/>
      <c r="N370" s="1492"/>
      <c r="O370" s="399"/>
      <c r="P370" s="18"/>
      <c r="R370" s="17"/>
    </row>
    <row r="371" spans="3:18" ht="26" customHeight="1">
      <c r="D371" s="399"/>
      <c r="E371" s="399"/>
      <c r="F371" s="1492"/>
      <c r="G371" s="1492"/>
      <c r="H371" s="1492"/>
      <c r="I371" s="1492"/>
      <c r="J371" s="1492"/>
      <c r="K371" s="1492"/>
      <c r="L371" s="1492"/>
      <c r="M371" s="1492"/>
      <c r="N371" s="1492"/>
      <c r="O371" s="399"/>
      <c r="P371" s="18"/>
      <c r="R371" s="17"/>
    </row>
    <row r="372" spans="3:18" ht="26" customHeight="1">
      <c r="D372" s="399"/>
      <c r="E372" s="399"/>
      <c r="F372" s="1492"/>
      <c r="G372" s="1492"/>
      <c r="H372" s="1492"/>
      <c r="I372" s="1492"/>
      <c r="J372" s="1492"/>
      <c r="K372" s="1492"/>
      <c r="L372" s="1492"/>
      <c r="M372" s="1492"/>
      <c r="N372" s="1492"/>
      <c r="O372" s="399"/>
      <c r="P372" s="18"/>
      <c r="R372" s="17"/>
    </row>
    <row r="373" spans="3:18" ht="26" customHeight="1">
      <c r="D373" s="399"/>
      <c r="E373" s="399"/>
      <c r="F373" s="1492"/>
      <c r="G373" s="1492"/>
      <c r="H373" s="1492"/>
      <c r="I373" s="1492"/>
      <c r="J373" s="1492"/>
      <c r="K373" s="1492"/>
      <c r="L373" s="1492"/>
      <c r="M373" s="1492"/>
      <c r="N373" s="1492"/>
      <c r="O373" s="399"/>
      <c r="P373" s="18"/>
      <c r="R373" s="17"/>
    </row>
    <row r="374" spans="3:18" ht="26" customHeight="1">
      <c r="D374" s="399"/>
      <c r="E374" s="399"/>
      <c r="F374" s="1492"/>
      <c r="G374" s="1492"/>
      <c r="H374" s="1492"/>
      <c r="I374" s="1492"/>
      <c r="J374" s="1492"/>
      <c r="K374" s="1492"/>
      <c r="L374" s="1492"/>
      <c r="M374" s="1492"/>
      <c r="N374" s="1492"/>
      <c r="O374" s="399"/>
      <c r="P374" s="18"/>
      <c r="R374" s="17"/>
    </row>
    <row r="375" spans="3:18" ht="26" customHeight="1">
      <c r="D375" s="399"/>
      <c r="E375" s="399"/>
      <c r="F375" s="1492"/>
      <c r="G375" s="1492"/>
      <c r="H375" s="1492"/>
      <c r="I375" s="1492"/>
      <c r="J375" s="1492"/>
      <c r="K375" s="1492"/>
      <c r="L375" s="1492"/>
      <c r="M375" s="1492"/>
      <c r="N375" s="1492"/>
      <c r="O375" s="399"/>
      <c r="P375" s="18"/>
      <c r="R375" s="17"/>
    </row>
    <row r="376" spans="3:18" ht="26" customHeight="1">
      <c r="D376" s="399"/>
      <c r="E376" s="399"/>
      <c r="F376" s="1492"/>
      <c r="G376" s="1492"/>
      <c r="H376" s="1492"/>
      <c r="I376" s="1492"/>
      <c r="J376" s="1492"/>
      <c r="K376" s="1492"/>
      <c r="L376" s="1492"/>
      <c r="M376" s="1492"/>
      <c r="N376" s="1492"/>
      <c r="O376" s="399"/>
      <c r="P376" s="18"/>
      <c r="R376" s="17"/>
    </row>
    <row r="377" spans="3:18" ht="26" customHeight="1">
      <c r="D377" s="399"/>
      <c r="E377" s="399"/>
      <c r="F377" s="1492"/>
      <c r="G377" s="1492"/>
      <c r="H377" s="1492"/>
      <c r="I377" s="1492"/>
      <c r="J377" s="1492"/>
      <c r="K377" s="1492"/>
      <c r="L377" s="1492"/>
      <c r="M377" s="1492"/>
      <c r="N377" s="1492"/>
      <c r="O377" s="399"/>
      <c r="P377" s="18"/>
      <c r="R377" s="17"/>
    </row>
    <row r="378" spans="3:18" ht="26" customHeight="1">
      <c r="D378" s="399"/>
      <c r="E378" s="399"/>
      <c r="F378" s="1492"/>
      <c r="G378" s="1492"/>
      <c r="H378" s="1492"/>
      <c r="I378" s="1492"/>
      <c r="J378" s="1492"/>
      <c r="K378" s="1492"/>
      <c r="L378" s="1492"/>
      <c r="M378" s="1492"/>
      <c r="N378" s="1492"/>
      <c r="O378" s="399"/>
      <c r="P378" s="18"/>
      <c r="R378" s="17"/>
    </row>
    <row r="379" spans="3:18" ht="26" customHeight="1">
      <c r="D379" s="399"/>
      <c r="E379" s="399"/>
      <c r="F379" s="1492"/>
      <c r="G379" s="1492"/>
      <c r="H379" s="1492"/>
      <c r="I379" s="1492"/>
      <c r="J379" s="1492"/>
      <c r="K379" s="1492"/>
      <c r="L379" s="1492"/>
      <c r="M379" s="1492"/>
      <c r="N379" s="1492"/>
      <c r="O379" s="399"/>
      <c r="P379" s="18"/>
    </row>
    <row r="380" spans="3:18" ht="26" customHeight="1">
      <c r="C380" s="1496"/>
      <c r="D380" s="1496"/>
      <c r="E380" s="1496"/>
      <c r="F380" s="1496"/>
      <c r="G380" s="1496"/>
      <c r="H380" s="1496"/>
      <c r="I380" s="1496"/>
      <c r="J380" s="1496"/>
      <c r="K380" s="1497"/>
      <c r="L380" s="1497"/>
      <c r="M380" s="1497"/>
      <c r="N380" s="1497"/>
      <c r="O380" s="1497"/>
      <c r="P380" s="18"/>
    </row>
    <row r="381" spans="3:18" ht="23" customHeight="1">
      <c r="C381" s="1496"/>
      <c r="D381" s="1496"/>
      <c r="E381" s="1496"/>
      <c r="F381" s="1496"/>
      <c r="G381" s="1496"/>
      <c r="H381" s="1496"/>
      <c r="I381" s="1496"/>
      <c r="J381" s="1496"/>
      <c r="K381" s="1498"/>
      <c r="L381" s="1498"/>
      <c r="M381" s="1498"/>
      <c r="N381" s="1498"/>
      <c r="O381" s="1498"/>
      <c r="P381" s="588"/>
    </row>
    <row r="382" spans="3:18" ht="23" customHeight="1">
      <c r="C382" s="1495"/>
      <c r="D382" s="1495"/>
      <c r="E382" s="1495"/>
      <c r="F382" s="1495"/>
      <c r="G382" s="1495"/>
      <c r="H382" s="1495"/>
      <c r="I382" s="1495"/>
      <c r="J382" s="1495"/>
      <c r="K382" s="1495"/>
      <c r="L382" s="1495"/>
      <c r="M382" s="1495"/>
      <c r="N382" s="1495"/>
      <c r="O382" s="1495"/>
      <c r="P382" s="557"/>
    </row>
    <row r="383" spans="3:18" ht="23" customHeight="1">
      <c r="D383" s="557"/>
      <c r="E383" s="557"/>
      <c r="F383" s="557"/>
      <c r="G383" s="557"/>
      <c r="H383" s="557"/>
      <c r="I383" s="557"/>
      <c r="J383" s="557"/>
      <c r="K383" s="557"/>
      <c r="L383" s="557"/>
      <c r="M383" s="557"/>
      <c r="N383" s="557"/>
      <c r="O383" s="1495"/>
      <c r="P383" s="557"/>
    </row>
    <row r="384" spans="3:18" ht="23" customHeight="1">
      <c r="D384" s="18"/>
      <c r="E384" s="18"/>
      <c r="F384" s="18"/>
      <c r="G384" s="18"/>
      <c r="H384" s="557"/>
      <c r="I384" s="18"/>
      <c r="J384" s="18"/>
      <c r="K384" s="557"/>
      <c r="L384" s="18"/>
      <c r="M384" s="18"/>
      <c r="N384" s="557"/>
      <c r="O384" s="1495"/>
      <c r="P384" s="557"/>
    </row>
    <row r="385" spans="4:16" ht="23" customHeight="1">
      <c r="D385" s="557"/>
      <c r="E385" s="557"/>
      <c r="F385" s="557"/>
      <c r="G385" s="557"/>
      <c r="H385" s="557"/>
      <c r="I385" s="557"/>
      <c r="J385" s="557"/>
      <c r="K385" s="557"/>
      <c r="L385" s="557"/>
      <c r="M385" s="557"/>
      <c r="N385" s="557"/>
      <c r="O385" s="1495"/>
      <c r="P385" s="557"/>
    </row>
    <row r="386" spans="4:16" ht="23" customHeight="1">
      <c r="D386" s="399"/>
      <c r="E386" s="399"/>
      <c r="F386" s="1492"/>
      <c r="G386" s="1492"/>
      <c r="H386" s="1492"/>
      <c r="I386" s="1492"/>
      <c r="J386" s="1492"/>
      <c r="K386" s="1492"/>
      <c r="L386" s="1492"/>
      <c r="M386" s="1492"/>
      <c r="N386" s="1492"/>
      <c r="O386" s="399"/>
      <c r="P386" s="18"/>
    </row>
    <row r="387" spans="4:16" ht="29" customHeight="1">
      <c r="D387" s="399"/>
      <c r="E387" s="399"/>
      <c r="F387" s="1492"/>
      <c r="G387" s="1492"/>
      <c r="H387" s="1492"/>
      <c r="I387" s="1492"/>
      <c r="J387" s="1492"/>
      <c r="K387" s="1492"/>
      <c r="L387" s="1492"/>
      <c r="M387" s="1492"/>
      <c r="N387" s="1492"/>
      <c r="O387" s="399"/>
      <c r="P387" s="18"/>
    </row>
    <row r="388" spans="4:16" ht="29" customHeight="1">
      <c r="D388" s="399"/>
      <c r="E388" s="399"/>
      <c r="F388" s="1492"/>
      <c r="G388" s="1492"/>
      <c r="H388" s="1492"/>
      <c r="I388" s="1492"/>
      <c r="J388" s="1492"/>
      <c r="K388" s="1492"/>
      <c r="L388" s="1492"/>
      <c r="M388" s="1492"/>
      <c r="N388" s="1492"/>
      <c r="O388" s="399"/>
      <c r="P388" s="18"/>
    </row>
    <row r="389" spans="4:16" ht="29" customHeight="1">
      <c r="D389" s="399"/>
      <c r="E389" s="399"/>
      <c r="F389" s="1492"/>
      <c r="G389" s="1492"/>
      <c r="H389" s="1492"/>
      <c r="I389" s="1492"/>
      <c r="J389" s="1492"/>
      <c r="K389" s="1492"/>
      <c r="L389" s="1492"/>
      <c r="M389" s="1492"/>
      <c r="N389" s="1492"/>
      <c r="O389" s="399"/>
      <c r="P389" s="18"/>
    </row>
    <row r="390" spans="4:16" ht="29" customHeight="1">
      <c r="D390" s="399"/>
      <c r="E390" s="399"/>
      <c r="F390" s="1492"/>
      <c r="G390" s="1492"/>
      <c r="H390" s="1492"/>
      <c r="I390" s="1492"/>
      <c r="J390" s="1492"/>
      <c r="K390" s="1492"/>
      <c r="L390" s="1492"/>
      <c r="M390" s="1492"/>
      <c r="N390" s="1492"/>
      <c r="O390" s="399"/>
      <c r="P390" s="18"/>
    </row>
    <row r="391" spans="4:16" ht="29" customHeight="1">
      <c r="D391" s="399"/>
      <c r="E391" s="399"/>
      <c r="F391" s="1492"/>
      <c r="G391" s="1492"/>
      <c r="H391" s="1492"/>
      <c r="I391" s="1492"/>
      <c r="J391" s="1492"/>
      <c r="K391" s="1492"/>
      <c r="L391" s="1492"/>
      <c r="M391" s="1492"/>
      <c r="N391" s="1492"/>
      <c r="O391" s="399"/>
      <c r="P391" s="18"/>
    </row>
    <row r="392" spans="4:16" ht="29" customHeight="1">
      <c r="D392" s="399"/>
      <c r="E392" s="399"/>
      <c r="F392" s="1492"/>
      <c r="G392" s="1492"/>
      <c r="H392" s="1492"/>
      <c r="I392" s="1492"/>
      <c r="J392" s="1492"/>
      <c r="K392" s="1492"/>
      <c r="L392" s="1492"/>
      <c r="M392" s="1492"/>
      <c r="N392" s="1492"/>
      <c r="O392" s="399"/>
      <c r="P392" s="18"/>
    </row>
    <row r="393" spans="4:16" ht="29" customHeight="1">
      <c r="D393" s="399"/>
      <c r="E393" s="399"/>
      <c r="F393" s="1492"/>
      <c r="G393" s="1492"/>
      <c r="H393" s="1492"/>
      <c r="I393" s="1492"/>
      <c r="J393" s="1492"/>
      <c r="K393" s="1492"/>
      <c r="L393" s="1492"/>
      <c r="M393" s="1492"/>
      <c r="N393" s="1492"/>
      <c r="O393" s="399"/>
      <c r="P393" s="18"/>
    </row>
    <row r="394" spans="4:16" ht="29" customHeight="1">
      <c r="D394" s="399"/>
      <c r="E394" s="399"/>
      <c r="F394" s="1492"/>
      <c r="G394" s="1492"/>
      <c r="H394" s="1492"/>
      <c r="I394" s="1492"/>
      <c r="J394" s="1492"/>
      <c r="K394" s="1492"/>
      <c r="L394" s="1492"/>
      <c r="M394" s="1492"/>
      <c r="N394" s="1492"/>
      <c r="O394" s="399"/>
      <c r="P394" s="18"/>
    </row>
    <row r="395" spans="4:16" ht="29" customHeight="1">
      <c r="D395" s="399"/>
      <c r="E395" s="399"/>
      <c r="F395" s="1492"/>
      <c r="G395" s="1492"/>
      <c r="H395" s="1492"/>
      <c r="I395" s="1492"/>
      <c r="J395" s="1492"/>
      <c r="K395" s="1492"/>
      <c r="L395" s="1492"/>
      <c r="M395" s="1492"/>
      <c r="N395" s="1492"/>
      <c r="O395" s="399"/>
      <c r="P395" s="18"/>
    </row>
    <row r="396" spans="4:16" ht="29" customHeight="1">
      <c r="D396" s="399"/>
      <c r="E396" s="399"/>
      <c r="F396" s="1492"/>
      <c r="G396" s="1492"/>
      <c r="H396" s="1492"/>
      <c r="I396" s="1492"/>
      <c r="J396" s="1492"/>
      <c r="K396" s="1492"/>
      <c r="L396" s="1492"/>
      <c r="M396" s="1492"/>
      <c r="N396" s="1492"/>
      <c r="O396" s="399"/>
      <c r="P396" s="18"/>
    </row>
    <row r="397" spans="4:16" ht="29" customHeight="1">
      <c r="D397" s="399"/>
      <c r="E397" s="399"/>
      <c r="F397" s="1492"/>
      <c r="G397" s="1492"/>
      <c r="H397" s="1492"/>
      <c r="I397" s="1492"/>
      <c r="J397" s="1492"/>
      <c r="K397" s="1492"/>
      <c r="L397" s="1492"/>
      <c r="M397" s="1492"/>
      <c r="N397" s="1492"/>
      <c r="O397" s="399"/>
      <c r="P397" s="18"/>
    </row>
    <row r="398" spans="4:16" ht="29" customHeight="1">
      <c r="D398" s="399"/>
      <c r="E398" s="399"/>
      <c r="F398" s="1492"/>
      <c r="G398" s="1492"/>
      <c r="H398" s="1492"/>
      <c r="I398" s="1492"/>
      <c r="J398" s="1492"/>
      <c r="K398" s="1492"/>
      <c r="L398" s="1492"/>
      <c r="M398" s="1492"/>
      <c r="N398" s="1492"/>
      <c r="O398" s="399"/>
      <c r="P398" s="18"/>
    </row>
    <row r="399" spans="4:16" ht="29" customHeight="1">
      <c r="D399" s="399"/>
      <c r="E399" s="399"/>
      <c r="F399" s="1492"/>
      <c r="G399" s="1492"/>
      <c r="H399" s="1492"/>
      <c r="I399" s="1492"/>
      <c r="J399" s="1492"/>
      <c r="K399" s="1492"/>
      <c r="L399" s="1492"/>
      <c r="M399" s="1492"/>
      <c r="N399" s="1492"/>
      <c r="O399" s="399"/>
      <c r="P399" s="18"/>
    </row>
    <row r="400" spans="4:16" ht="29" customHeight="1">
      <c r="D400" s="399"/>
      <c r="E400" s="399"/>
      <c r="F400" s="1492"/>
      <c r="G400" s="1492"/>
      <c r="H400" s="1492"/>
      <c r="I400" s="1492"/>
      <c r="J400" s="1492"/>
      <c r="K400" s="1492"/>
      <c r="L400" s="1492"/>
      <c r="M400" s="1492"/>
      <c r="N400" s="1492"/>
      <c r="O400" s="399"/>
      <c r="P400" s="18"/>
    </row>
    <row r="401" spans="4:16" ht="29" customHeight="1">
      <c r="D401" s="399"/>
      <c r="E401" s="399"/>
      <c r="F401" s="1492"/>
      <c r="G401" s="1492"/>
      <c r="H401" s="1492"/>
      <c r="I401" s="1492"/>
      <c r="J401" s="1492"/>
      <c r="K401" s="1492"/>
      <c r="L401" s="1492"/>
      <c r="M401" s="1492"/>
      <c r="N401" s="1492"/>
      <c r="O401" s="399"/>
      <c r="P401" s="18"/>
    </row>
    <row r="402" spans="4:16" ht="29" customHeight="1">
      <c r="D402" s="399"/>
      <c r="E402" s="399"/>
      <c r="F402" s="1492"/>
      <c r="G402" s="1492"/>
      <c r="H402" s="1492"/>
      <c r="I402" s="1492"/>
      <c r="J402" s="1492"/>
      <c r="K402" s="1492"/>
      <c r="L402" s="1492"/>
      <c r="M402" s="1492"/>
      <c r="N402" s="1492"/>
      <c r="O402" s="399"/>
      <c r="P402" s="18"/>
    </row>
    <row r="403" spans="4:16" ht="29" customHeight="1">
      <c r="D403" s="399"/>
      <c r="E403" s="399"/>
      <c r="F403" s="1492"/>
      <c r="G403" s="1492"/>
      <c r="H403" s="1492"/>
      <c r="I403" s="1492"/>
      <c r="J403" s="1492"/>
      <c r="K403" s="1492"/>
      <c r="L403" s="1492"/>
      <c r="M403" s="1492"/>
      <c r="N403" s="1492"/>
      <c r="O403" s="399"/>
      <c r="P403" s="18"/>
    </row>
    <row r="404" spans="4:16" ht="29" customHeight="1">
      <c r="D404" s="399"/>
      <c r="E404" s="399"/>
      <c r="F404" s="1492"/>
      <c r="G404" s="1492"/>
      <c r="H404" s="1492"/>
      <c r="I404" s="1492"/>
      <c r="J404" s="1492"/>
      <c r="K404" s="1492"/>
      <c r="L404" s="1492"/>
      <c r="M404" s="1492"/>
      <c r="N404" s="1492"/>
      <c r="O404" s="399"/>
      <c r="P404" s="18"/>
    </row>
    <row r="405" spans="4:16" ht="29" customHeight="1">
      <c r="D405" s="399"/>
      <c r="E405" s="399"/>
      <c r="F405" s="1492"/>
      <c r="G405" s="1492"/>
      <c r="H405" s="1492"/>
      <c r="I405" s="1492"/>
      <c r="J405" s="1492"/>
      <c r="K405" s="1492"/>
      <c r="L405" s="1492"/>
      <c r="M405" s="1492"/>
      <c r="N405" s="1492"/>
      <c r="O405" s="399"/>
      <c r="P405" s="18"/>
    </row>
    <row r="406" spans="4:16" ht="29" customHeight="1">
      <c r="D406" s="399"/>
      <c r="E406" s="399"/>
      <c r="F406" s="1492"/>
      <c r="G406" s="1492"/>
      <c r="H406" s="1492"/>
      <c r="I406" s="1492"/>
      <c r="J406" s="1492"/>
      <c r="K406" s="1492"/>
      <c r="L406" s="1492"/>
      <c r="M406" s="1492"/>
      <c r="N406" s="1492"/>
      <c r="O406" s="399"/>
      <c r="P406" s="18"/>
    </row>
    <row r="407" spans="4:16" ht="29" customHeight="1">
      <c r="D407" s="399"/>
      <c r="E407" s="399"/>
      <c r="F407" s="1492"/>
      <c r="G407" s="1492"/>
      <c r="H407" s="1492"/>
      <c r="I407" s="1492"/>
      <c r="J407" s="1492"/>
      <c r="K407" s="1492"/>
      <c r="L407" s="1492"/>
      <c r="M407" s="1492"/>
      <c r="N407" s="1492"/>
      <c r="O407" s="399"/>
      <c r="P407" s="18"/>
    </row>
    <row r="408" spans="4:16" ht="29" customHeight="1">
      <c r="D408" s="399"/>
      <c r="E408" s="399"/>
      <c r="F408" s="1492"/>
      <c r="G408" s="1492"/>
      <c r="H408" s="1492"/>
      <c r="I408" s="1492"/>
      <c r="J408" s="1492"/>
      <c r="K408" s="1492"/>
      <c r="L408" s="1492"/>
      <c r="M408" s="1492"/>
      <c r="N408" s="1492"/>
      <c r="O408" s="399"/>
      <c r="P408" s="18"/>
    </row>
    <row r="409" spans="4:16" ht="29" customHeight="1">
      <c r="D409" s="399"/>
      <c r="E409" s="399"/>
      <c r="F409" s="1492"/>
      <c r="G409" s="1492"/>
      <c r="H409" s="1492"/>
      <c r="I409" s="1492"/>
      <c r="J409" s="1492"/>
      <c r="K409" s="1492"/>
      <c r="L409" s="1492"/>
      <c r="M409" s="1492"/>
      <c r="N409" s="1492"/>
      <c r="O409" s="399"/>
      <c r="P409" s="18"/>
    </row>
    <row r="410" spans="4:16" ht="29" customHeight="1">
      <c r="D410" s="399"/>
      <c r="E410" s="399"/>
      <c r="F410" s="1492"/>
      <c r="G410" s="1492"/>
      <c r="H410" s="1492"/>
      <c r="I410" s="1492"/>
      <c r="J410" s="1492"/>
      <c r="K410" s="1492"/>
      <c r="L410" s="1492"/>
      <c r="M410" s="1492"/>
      <c r="N410" s="1492"/>
      <c r="O410" s="399"/>
      <c r="P410" s="18"/>
    </row>
    <row r="411" spans="4:16" ht="29" customHeight="1">
      <c r="D411" s="399"/>
      <c r="E411" s="399"/>
      <c r="F411" s="1492"/>
      <c r="G411" s="1492"/>
      <c r="H411" s="1492"/>
      <c r="I411" s="1492"/>
      <c r="J411" s="1492"/>
      <c r="K411" s="1492"/>
      <c r="L411" s="1492"/>
      <c r="M411" s="1492"/>
      <c r="N411" s="1492"/>
      <c r="O411" s="399"/>
      <c r="P411" s="18"/>
    </row>
    <row r="412" spans="4:16" ht="29" customHeight="1">
      <c r="D412" s="399"/>
      <c r="E412" s="399"/>
      <c r="F412" s="1492"/>
      <c r="G412" s="1492"/>
      <c r="H412" s="1492"/>
      <c r="I412" s="1492"/>
      <c r="J412" s="1492"/>
      <c r="K412" s="1492"/>
      <c r="L412" s="1492"/>
      <c r="M412" s="1492"/>
      <c r="N412" s="1492"/>
      <c r="O412" s="399"/>
      <c r="P412" s="18"/>
    </row>
    <row r="413" spans="4:16" ht="29" customHeight="1">
      <c r="D413" s="399"/>
      <c r="E413" s="399"/>
      <c r="F413" s="1492"/>
      <c r="G413" s="1492"/>
      <c r="H413" s="1492"/>
      <c r="I413" s="1492"/>
      <c r="J413" s="1492"/>
      <c r="K413" s="1492"/>
      <c r="L413" s="1492"/>
      <c r="M413" s="1492"/>
      <c r="N413" s="1492"/>
      <c r="O413" s="399"/>
      <c r="P413" s="18"/>
    </row>
    <row r="414" spans="4:16" ht="29" customHeight="1">
      <c r="D414" s="399"/>
      <c r="E414" s="399"/>
      <c r="F414" s="1492"/>
      <c r="G414" s="1492"/>
      <c r="H414" s="1492"/>
      <c r="I414" s="1492"/>
      <c r="J414" s="1492"/>
      <c r="K414" s="1492"/>
      <c r="L414" s="1492"/>
      <c r="M414" s="1492"/>
      <c r="N414" s="1492"/>
      <c r="O414" s="399"/>
      <c r="P414" s="18"/>
    </row>
    <row r="415" spans="4:16" ht="29" customHeight="1">
      <c r="D415" s="399"/>
      <c r="E415" s="399"/>
      <c r="F415" s="1492"/>
      <c r="G415" s="1492"/>
      <c r="H415" s="1492"/>
      <c r="I415" s="1492"/>
      <c r="J415" s="1492"/>
      <c r="K415" s="1492"/>
      <c r="L415" s="1492"/>
      <c r="M415" s="1492"/>
      <c r="N415" s="1492"/>
      <c r="O415" s="399"/>
      <c r="P415" s="18"/>
    </row>
    <row r="416" spans="4:16" ht="29" customHeight="1">
      <c r="D416" s="399"/>
      <c r="E416" s="399"/>
      <c r="F416" s="1492"/>
      <c r="G416" s="1492"/>
      <c r="H416" s="1492"/>
      <c r="I416" s="1492"/>
      <c r="J416" s="1492"/>
      <c r="K416" s="1492"/>
      <c r="L416" s="1492"/>
      <c r="M416" s="1492"/>
      <c r="N416" s="1492"/>
      <c r="O416" s="399"/>
      <c r="P416" s="18"/>
    </row>
    <row r="417" spans="3:16" ht="29" customHeight="1">
      <c r="D417" s="399"/>
      <c r="E417" s="399"/>
      <c r="F417" s="1492"/>
      <c r="G417" s="1492"/>
      <c r="H417" s="1492"/>
      <c r="I417" s="1492"/>
      <c r="J417" s="1492"/>
      <c r="K417" s="1492"/>
      <c r="L417" s="1492"/>
      <c r="M417" s="1492"/>
      <c r="N417" s="1492"/>
      <c r="O417" s="399"/>
      <c r="P417" s="18"/>
    </row>
    <row r="418" spans="3:16" ht="29" customHeight="1">
      <c r="D418" s="399"/>
      <c r="E418" s="399"/>
      <c r="F418" s="1492"/>
      <c r="G418" s="1492"/>
      <c r="H418" s="1492"/>
      <c r="I418" s="1492"/>
      <c r="J418" s="1492"/>
      <c r="K418" s="1492"/>
      <c r="L418" s="1492"/>
      <c r="M418" s="1492"/>
      <c r="N418" s="1492"/>
      <c r="O418" s="399"/>
      <c r="P418" s="18"/>
    </row>
    <row r="419" spans="3:16" ht="29" customHeight="1">
      <c r="D419" s="399"/>
      <c r="E419" s="399"/>
      <c r="F419" s="1492"/>
      <c r="G419" s="1492"/>
      <c r="H419" s="1492"/>
      <c r="I419" s="1492"/>
      <c r="J419" s="1492"/>
      <c r="K419" s="1492"/>
      <c r="L419" s="1492"/>
      <c r="M419" s="1492"/>
      <c r="N419" s="1492"/>
      <c r="O419" s="399"/>
      <c r="P419" s="18"/>
    </row>
    <row r="420" spans="3:16" ht="29" customHeight="1">
      <c r="D420" s="399"/>
      <c r="E420" s="399"/>
      <c r="F420" s="1492"/>
      <c r="G420" s="1492"/>
      <c r="H420" s="1492"/>
      <c r="I420" s="1492"/>
      <c r="J420" s="1492"/>
      <c r="K420" s="1492"/>
      <c r="L420" s="1492"/>
      <c r="M420" s="1492"/>
      <c r="N420" s="1492"/>
      <c r="O420" s="399"/>
      <c r="P420" s="18"/>
    </row>
    <row r="421" spans="3:16" ht="29" customHeight="1">
      <c r="D421" s="399"/>
      <c r="E421" s="399"/>
      <c r="F421" s="1492"/>
      <c r="G421" s="1492"/>
      <c r="H421" s="1492"/>
      <c r="I421" s="1492"/>
      <c r="J421" s="1492"/>
      <c r="K421" s="1492"/>
      <c r="L421" s="1492"/>
      <c r="M421" s="1492"/>
      <c r="N421" s="1492"/>
      <c r="O421" s="399"/>
      <c r="P421" s="18"/>
    </row>
    <row r="422" spans="3:16" ht="29" customHeight="1">
      <c r="D422" s="399"/>
      <c r="E422" s="399"/>
      <c r="F422" s="1492"/>
      <c r="G422" s="1492"/>
      <c r="H422" s="1492"/>
      <c r="I422" s="1492"/>
      <c r="J422" s="1492"/>
      <c r="K422" s="1492"/>
      <c r="L422" s="1492"/>
      <c r="M422" s="1492"/>
      <c r="N422" s="1492"/>
      <c r="O422" s="399"/>
      <c r="P422" s="18"/>
    </row>
    <row r="423" spans="3:16" ht="29" customHeight="1">
      <c r="D423" s="399"/>
      <c r="E423" s="399"/>
      <c r="F423" s="1492"/>
      <c r="G423" s="1492"/>
      <c r="H423" s="1492"/>
      <c r="I423" s="1492"/>
      <c r="J423" s="1492"/>
      <c r="K423" s="1492"/>
      <c r="L423" s="1492"/>
      <c r="M423" s="1492"/>
      <c r="N423" s="1492"/>
      <c r="O423" s="399"/>
      <c r="P423" s="18"/>
    </row>
    <row r="424" spans="3:16" ht="29" customHeight="1">
      <c r="C424" s="1496"/>
      <c r="D424" s="1496"/>
      <c r="E424" s="1496"/>
      <c r="F424" s="1496"/>
      <c r="G424" s="1496"/>
      <c r="H424" s="1496"/>
      <c r="I424" s="1496"/>
      <c r="J424" s="1496"/>
      <c r="K424" s="1497"/>
      <c r="L424" s="1497"/>
      <c r="M424" s="1497"/>
      <c r="N424" s="1497"/>
      <c r="O424" s="1497"/>
      <c r="P424" s="18"/>
    </row>
    <row r="425" spans="3:16" ht="23" customHeight="1">
      <c r="C425" s="1496"/>
      <c r="D425" s="1496"/>
      <c r="E425" s="1496"/>
      <c r="F425" s="1496"/>
      <c r="G425" s="1496"/>
      <c r="H425" s="1496"/>
      <c r="I425" s="1496"/>
      <c r="J425" s="1496"/>
      <c r="K425" s="1498"/>
      <c r="L425" s="1498"/>
      <c r="M425" s="1498"/>
      <c r="N425" s="1498"/>
      <c r="O425" s="1498"/>
      <c r="P425" s="588"/>
    </row>
    <row r="426" spans="3:16" ht="23" customHeight="1">
      <c r="C426" s="1495"/>
      <c r="D426" s="1495"/>
      <c r="E426" s="1495"/>
      <c r="F426" s="1495"/>
      <c r="G426" s="1495"/>
      <c r="H426" s="1495"/>
      <c r="I426" s="1495"/>
      <c r="J426" s="1495"/>
      <c r="K426" s="1495"/>
      <c r="L426" s="1495"/>
      <c r="M426" s="1495"/>
      <c r="N426" s="1495"/>
      <c r="O426" s="1495"/>
      <c r="P426" s="557"/>
    </row>
    <row r="427" spans="3:16" ht="24" customHeight="1">
      <c r="D427" s="557"/>
      <c r="E427" s="557"/>
      <c r="F427" s="557"/>
      <c r="G427" s="557"/>
      <c r="H427" s="557"/>
      <c r="I427" s="557"/>
      <c r="J427" s="557"/>
      <c r="K427" s="557"/>
      <c r="L427" s="557"/>
      <c r="M427" s="557"/>
      <c r="N427" s="557"/>
      <c r="O427" s="1495"/>
      <c r="P427" s="557"/>
    </row>
    <row r="428" spans="3:16" ht="24" customHeight="1">
      <c r="D428" s="18"/>
      <c r="E428" s="18"/>
      <c r="F428" s="18"/>
      <c r="G428" s="18"/>
      <c r="H428" s="557"/>
      <c r="I428" s="18"/>
      <c r="J428" s="18"/>
      <c r="K428" s="557"/>
      <c r="L428" s="18"/>
      <c r="M428" s="18"/>
      <c r="N428" s="557"/>
      <c r="O428" s="1495"/>
      <c r="P428" s="557"/>
    </row>
    <row r="429" spans="3:16" ht="24" customHeight="1">
      <c r="D429" s="557"/>
      <c r="E429" s="557"/>
      <c r="F429" s="557"/>
      <c r="G429" s="557"/>
      <c r="H429" s="557"/>
      <c r="I429" s="557"/>
      <c r="J429" s="557"/>
      <c r="K429" s="557"/>
      <c r="L429" s="557"/>
      <c r="M429" s="557"/>
      <c r="N429" s="557"/>
      <c r="O429" s="1495"/>
      <c r="P429" s="557"/>
    </row>
    <row r="430" spans="3:16" ht="24" customHeight="1">
      <c r="D430" s="557"/>
      <c r="E430" s="557"/>
      <c r="F430" s="1495"/>
      <c r="G430" s="1495"/>
      <c r="H430" s="1495"/>
      <c r="I430" s="1492"/>
      <c r="J430" s="1492"/>
      <c r="K430" s="1492"/>
      <c r="L430" s="1492"/>
      <c r="M430" s="1492"/>
      <c r="N430" s="1492"/>
      <c r="O430" s="399"/>
      <c r="P430" s="18"/>
    </row>
    <row r="431" spans="3:16" ht="27.5" customHeight="1">
      <c r="D431" s="557"/>
      <c r="E431" s="557"/>
      <c r="F431" s="1495"/>
      <c r="G431" s="1495"/>
      <c r="H431" s="1495"/>
      <c r="I431" s="1492"/>
      <c r="J431" s="1492"/>
      <c r="K431" s="1492"/>
      <c r="L431" s="1492"/>
      <c r="M431" s="1492"/>
      <c r="N431" s="1492"/>
      <c r="O431" s="399"/>
      <c r="P431" s="18"/>
    </row>
    <row r="432" spans="3:16" ht="27.5" customHeight="1">
      <c r="D432" s="557"/>
      <c r="E432" s="557"/>
      <c r="F432" s="1495"/>
      <c r="G432" s="1495"/>
      <c r="H432" s="1495"/>
      <c r="I432" s="1492"/>
      <c r="J432" s="1492"/>
      <c r="K432" s="1492"/>
      <c r="L432" s="1492"/>
      <c r="M432" s="1492"/>
      <c r="N432" s="1492"/>
      <c r="O432" s="399"/>
      <c r="P432" s="18"/>
    </row>
    <row r="433" spans="4:16" ht="27.5" customHeight="1">
      <c r="D433" s="557"/>
      <c r="E433" s="557"/>
      <c r="F433" s="1495"/>
      <c r="G433" s="1495"/>
      <c r="H433" s="1495"/>
      <c r="I433" s="1492"/>
      <c r="J433" s="1492"/>
      <c r="K433" s="1492"/>
      <c r="L433" s="1492"/>
      <c r="M433" s="1492"/>
      <c r="N433" s="1492"/>
      <c r="O433" s="399"/>
      <c r="P433" s="18"/>
    </row>
    <row r="434" spans="4:16" ht="27.5" customHeight="1">
      <c r="D434" s="557"/>
      <c r="E434" s="557"/>
      <c r="F434" s="1495"/>
      <c r="G434" s="1495"/>
      <c r="H434" s="1495"/>
      <c r="I434" s="1492"/>
      <c r="J434" s="1492"/>
      <c r="K434" s="1492"/>
      <c r="L434" s="1492"/>
      <c r="M434" s="1492"/>
      <c r="N434" s="1492"/>
      <c r="O434" s="399"/>
      <c r="P434" s="18"/>
    </row>
    <row r="435" spans="4:16" ht="27.5" customHeight="1">
      <c r="D435" s="557"/>
      <c r="E435" s="557"/>
      <c r="F435" s="1495"/>
      <c r="G435" s="1495"/>
      <c r="H435" s="1495"/>
      <c r="I435" s="1492"/>
      <c r="J435" s="1492"/>
      <c r="K435" s="1492"/>
      <c r="L435" s="1492"/>
      <c r="M435" s="1492"/>
      <c r="N435" s="1492"/>
      <c r="O435" s="399"/>
      <c r="P435" s="18"/>
    </row>
    <row r="436" spans="4:16" ht="27.5" customHeight="1">
      <c r="D436" s="557"/>
      <c r="E436" s="557"/>
      <c r="F436" s="1495"/>
      <c r="G436" s="1495"/>
      <c r="H436" s="1495"/>
      <c r="I436" s="1492"/>
      <c r="J436" s="1492"/>
      <c r="K436" s="1492"/>
      <c r="L436" s="1492"/>
      <c r="M436" s="1492"/>
      <c r="N436" s="1492"/>
      <c r="O436" s="399"/>
      <c r="P436" s="18"/>
    </row>
    <row r="437" spans="4:16" ht="27.5" customHeight="1">
      <c r="D437" s="557"/>
      <c r="E437" s="557"/>
      <c r="F437" s="1495"/>
      <c r="G437" s="1495"/>
      <c r="H437" s="1495"/>
      <c r="I437" s="1492"/>
      <c r="J437" s="1492"/>
      <c r="K437" s="1492"/>
      <c r="L437" s="1492"/>
      <c r="M437" s="1492"/>
      <c r="N437" s="1492"/>
      <c r="O437" s="399"/>
      <c r="P437" s="18"/>
    </row>
    <row r="438" spans="4:16" ht="27.5" customHeight="1">
      <c r="D438" s="557"/>
      <c r="E438" s="557"/>
      <c r="F438" s="1495"/>
      <c r="G438" s="1495"/>
      <c r="H438" s="1495"/>
      <c r="I438" s="1492"/>
      <c r="J438" s="1492"/>
      <c r="K438" s="1492"/>
      <c r="L438" s="1492"/>
      <c r="M438" s="1492"/>
      <c r="N438" s="1492"/>
      <c r="O438" s="399"/>
      <c r="P438" s="18"/>
    </row>
    <row r="439" spans="4:16" ht="27.5" customHeight="1">
      <c r="D439" s="557"/>
      <c r="E439" s="557"/>
      <c r="F439" s="1495"/>
      <c r="G439" s="1495"/>
      <c r="H439" s="1495"/>
      <c r="I439" s="1492"/>
      <c r="J439" s="1492"/>
      <c r="K439" s="1492"/>
      <c r="L439" s="1492"/>
      <c r="M439" s="1492"/>
      <c r="N439" s="1492"/>
      <c r="O439" s="399"/>
      <c r="P439" s="18"/>
    </row>
    <row r="440" spans="4:16" ht="27.5" customHeight="1">
      <c r="D440" s="557"/>
      <c r="E440" s="557"/>
      <c r="F440" s="1495"/>
      <c r="G440" s="1495"/>
      <c r="H440" s="1495"/>
      <c r="I440" s="1492"/>
      <c r="J440" s="1492"/>
      <c r="K440" s="1492"/>
      <c r="L440" s="1492"/>
      <c r="M440" s="1492"/>
      <c r="N440" s="1492"/>
      <c r="O440" s="399"/>
      <c r="P440" s="18"/>
    </row>
    <row r="441" spans="4:16" ht="27.5" customHeight="1">
      <c r="D441" s="557"/>
      <c r="E441" s="557"/>
      <c r="F441" s="1495"/>
      <c r="G441" s="1495"/>
      <c r="H441" s="1495"/>
      <c r="I441" s="1492"/>
      <c r="J441" s="1492"/>
      <c r="K441" s="1492"/>
      <c r="L441" s="1492"/>
      <c r="M441" s="1492"/>
      <c r="N441" s="1492"/>
      <c r="O441" s="399"/>
      <c r="P441" s="18"/>
    </row>
    <row r="442" spans="4:16" ht="27.5" customHeight="1">
      <c r="D442" s="557"/>
      <c r="E442" s="557"/>
      <c r="F442" s="1495"/>
      <c r="G442" s="1495"/>
      <c r="H442" s="1495"/>
      <c r="I442" s="1492"/>
      <c r="J442" s="1492"/>
      <c r="K442" s="1492"/>
      <c r="L442" s="1492"/>
      <c r="M442" s="1492"/>
      <c r="N442" s="1492"/>
      <c r="O442" s="399"/>
      <c r="P442" s="18"/>
    </row>
    <row r="443" spans="4:16" ht="27.5" customHeight="1">
      <c r="D443" s="557"/>
      <c r="E443" s="557"/>
      <c r="F443" s="1495"/>
      <c r="G443" s="1495"/>
      <c r="H443" s="1495"/>
      <c r="I443" s="1492"/>
      <c r="J443" s="1492"/>
      <c r="K443" s="1492"/>
      <c r="L443" s="1492"/>
      <c r="M443" s="1492"/>
      <c r="N443" s="1492"/>
      <c r="O443" s="399"/>
      <c r="P443" s="18"/>
    </row>
    <row r="444" spans="4:16" ht="27.5" customHeight="1">
      <c r="D444" s="557"/>
      <c r="E444" s="557"/>
      <c r="F444" s="1495"/>
      <c r="G444" s="1495"/>
      <c r="H444" s="1495"/>
      <c r="I444" s="1492"/>
      <c r="J444" s="1492"/>
      <c r="K444" s="1492"/>
      <c r="L444" s="1492"/>
      <c r="M444" s="1492"/>
      <c r="N444" s="1492"/>
      <c r="O444" s="399"/>
      <c r="P444" s="18"/>
    </row>
    <row r="445" spans="4:16" ht="27.5" customHeight="1">
      <c r="D445" s="557"/>
      <c r="E445" s="557"/>
      <c r="F445" s="1495"/>
      <c r="G445" s="1495"/>
      <c r="H445" s="1495"/>
      <c r="I445" s="1492"/>
      <c r="J445" s="1492"/>
      <c r="K445" s="1492"/>
      <c r="L445" s="1492"/>
      <c r="M445" s="1492"/>
      <c r="N445" s="1492"/>
      <c r="O445" s="399"/>
      <c r="P445" s="18"/>
    </row>
    <row r="446" spans="4:16" ht="27.5" customHeight="1">
      <c r="D446" s="557"/>
      <c r="E446" s="557"/>
      <c r="F446" s="1495"/>
      <c r="G446" s="1495"/>
      <c r="H446" s="1495"/>
      <c r="I446" s="1492"/>
      <c r="J446" s="1492"/>
      <c r="K446" s="1492"/>
      <c r="L446" s="1492"/>
      <c r="M446" s="1492"/>
      <c r="N446" s="1492"/>
      <c r="O446" s="399"/>
      <c r="P446" s="18"/>
    </row>
    <row r="447" spans="4:16" ht="27.5" customHeight="1">
      <c r="D447" s="557"/>
      <c r="E447" s="557"/>
      <c r="F447" s="1495"/>
      <c r="G447" s="1495"/>
      <c r="H447" s="1495"/>
      <c r="I447" s="1492"/>
      <c r="J447" s="1492"/>
      <c r="K447" s="1492"/>
      <c r="L447" s="1492"/>
      <c r="M447" s="1492"/>
      <c r="N447" s="1492"/>
      <c r="O447" s="399"/>
      <c r="P447" s="18"/>
    </row>
    <row r="448" spans="4:16" ht="27.5" customHeight="1">
      <c r="D448" s="557"/>
      <c r="E448" s="557"/>
      <c r="F448" s="1495"/>
      <c r="G448" s="1495"/>
      <c r="H448" s="1495"/>
      <c r="I448" s="1492"/>
      <c r="J448" s="1492"/>
      <c r="K448" s="1492"/>
      <c r="L448" s="1492"/>
      <c r="M448" s="1492"/>
      <c r="N448" s="1492"/>
      <c r="O448" s="399"/>
      <c r="P448" s="18"/>
    </row>
    <row r="449" spans="4:16" ht="27.5" customHeight="1">
      <c r="D449" s="557"/>
      <c r="E449" s="557"/>
      <c r="F449" s="1495"/>
      <c r="G449" s="1495"/>
      <c r="H449" s="1495"/>
      <c r="I449" s="1492"/>
      <c r="J449" s="1492"/>
      <c r="K449" s="1492"/>
      <c r="L449" s="1492"/>
      <c r="M449" s="1492"/>
      <c r="N449" s="1492"/>
      <c r="O449" s="399"/>
      <c r="P449" s="18"/>
    </row>
    <row r="450" spans="4:16" ht="27.5" customHeight="1">
      <c r="D450" s="557"/>
      <c r="E450" s="557"/>
      <c r="F450" s="1495"/>
      <c r="G450" s="1495"/>
      <c r="H450" s="1495"/>
      <c r="I450" s="1492"/>
      <c r="J450" s="1492"/>
      <c r="K450" s="1492"/>
      <c r="L450" s="1492"/>
      <c r="M450" s="1492"/>
      <c r="N450" s="1492"/>
      <c r="O450" s="399"/>
      <c r="P450" s="18"/>
    </row>
    <row r="451" spans="4:16" ht="27.5" customHeight="1">
      <c r="D451" s="557"/>
      <c r="E451" s="557"/>
      <c r="F451" s="1495"/>
      <c r="G451" s="1495"/>
      <c r="H451" s="1495"/>
      <c r="I451" s="1492"/>
      <c r="J451" s="1492"/>
      <c r="K451" s="1492"/>
      <c r="L451" s="1492"/>
      <c r="M451" s="1492"/>
      <c r="N451" s="1492"/>
      <c r="O451" s="399"/>
      <c r="P451" s="18"/>
    </row>
    <row r="452" spans="4:16" ht="27.5" customHeight="1">
      <c r="D452" s="557"/>
      <c r="E452" s="557"/>
      <c r="F452" s="1495"/>
      <c r="G452" s="1495"/>
      <c r="H452" s="1495"/>
      <c r="I452" s="1492"/>
      <c r="J452" s="1492"/>
      <c r="K452" s="1492"/>
      <c r="L452" s="1492"/>
      <c r="M452" s="1492"/>
      <c r="N452" s="1492"/>
      <c r="O452" s="399"/>
      <c r="P452" s="18"/>
    </row>
    <row r="453" spans="4:16" ht="27.5" customHeight="1">
      <c r="D453" s="557"/>
      <c r="E453" s="557"/>
      <c r="F453" s="1495"/>
      <c r="G453" s="1495"/>
      <c r="H453" s="1495"/>
      <c r="I453" s="1492"/>
      <c r="J453" s="1492"/>
      <c r="K453" s="1492"/>
      <c r="L453" s="1492"/>
      <c r="M453" s="1492"/>
      <c r="N453" s="1492"/>
      <c r="O453" s="399"/>
      <c r="P453" s="18"/>
    </row>
    <row r="454" spans="4:16" ht="27.5" customHeight="1">
      <c r="D454" s="557"/>
      <c r="E454" s="557"/>
      <c r="F454" s="1495"/>
      <c r="G454" s="1495"/>
      <c r="H454" s="1495"/>
      <c r="I454" s="1492"/>
      <c r="J454" s="1492"/>
      <c r="K454" s="1492"/>
      <c r="L454" s="1492"/>
      <c r="M454" s="1492"/>
      <c r="N454" s="1492"/>
      <c r="O454" s="399"/>
      <c r="P454" s="18"/>
    </row>
    <row r="455" spans="4:16" ht="27.5" customHeight="1">
      <c r="D455" s="557"/>
      <c r="E455" s="557"/>
      <c r="F455" s="1495"/>
      <c r="G455" s="1495"/>
      <c r="H455" s="1495"/>
      <c r="I455" s="1492"/>
      <c r="J455" s="1492"/>
      <c r="K455" s="1492"/>
      <c r="L455" s="1492"/>
      <c r="M455" s="1492"/>
      <c r="N455" s="1492"/>
      <c r="O455" s="399"/>
      <c r="P455" s="18"/>
    </row>
    <row r="456" spans="4:16" ht="27.5" customHeight="1">
      <c r="D456" s="557"/>
      <c r="E456" s="557"/>
      <c r="F456" s="1495"/>
      <c r="G456" s="1495"/>
      <c r="H456" s="1495"/>
      <c r="I456" s="1492"/>
      <c r="J456" s="1492"/>
      <c r="K456" s="1492"/>
      <c r="L456" s="1492"/>
      <c r="M456" s="1492"/>
      <c r="N456" s="1492"/>
      <c r="O456" s="399"/>
      <c r="P456" s="18"/>
    </row>
    <row r="457" spans="4:16" ht="27.5" customHeight="1">
      <c r="D457" s="557"/>
      <c r="E457" s="557"/>
      <c r="F457" s="1495"/>
      <c r="G457" s="1495"/>
      <c r="H457" s="1495"/>
      <c r="I457" s="1492"/>
      <c r="J457" s="1492"/>
      <c r="K457" s="1492"/>
      <c r="L457" s="1492"/>
      <c r="M457" s="1492"/>
      <c r="N457" s="1492"/>
      <c r="O457" s="399"/>
      <c r="P457" s="18"/>
    </row>
    <row r="458" spans="4:16" ht="27.5" customHeight="1">
      <c r="D458" s="557"/>
      <c r="E458" s="557"/>
      <c r="F458" s="1495"/>
      <c r="G458" s="1495"/>
      <c r="H458" s="1495"/>
      <c r="I458" s="1492"/>
      <c r="J458" s="1492"/>
      <c r="K458" s="1492"/>
      <c r="L458" s="1492"/>
      <c r="M458" s="1492"/>
      <c r="N458" s="1492"/>
      <c r="O458" s="399"/>
      <c r="P458" s="18"/>
    </row>
    <row r="459" spans="4:16" ht="27.5" customHeight="1">
      <c r="D459" s="557"/>
      <c r="E459" s="557"/>
      <c r="F459" s="1495"/>
      <c r="G459" s="1495"/>
      <c r="H459" s="1495"/>
      <c r="I459" s="1492"/>
      <c r="J459" s="1492"/>
      <c r="K459" s="1492"/>
      <c r="L459" s="1492"/>
      <c r="M459" s="1492"/>
      <c r="N459" s="1492"/>
      <c r="O459" s="399"/>
      <c r="P459" s="18"/>
    </row>
    <row r="460" spans="4:16" ht="27.5" customHeight="1">
      <c r="D460" s="557"/>
      <c r="E460" s="557"/>
      <c r="F460" s="1495"/>
      <c r="G460" s="1495"/>
      <c r="H460" s="1495"/>
      <c r="I460" s="1492"/>
      <c r="J460" s="1492"/>
      <c r="K460" s="1492"/>
      <c r="L460" s="1492"/>
      <c r="M460" s="1492"/>
      <c r="N460" s="1492"/>
      <c r="O460" s="399"/>
      <c r="P460" s="18"/>
    </row>
    <row r="461" spans="4:16" ht="27.5" customHeight="1">
      <c r="D461" s="557"/>
      <c r="E461" s="557"/>
      <c r="F461" s="1495"/>
      <c r="G461" s="1495"/>
      <c r="H461" s="1495"/>
      <c r="I461" s="1492"/>
      <c r="J461" s="1492"/>
      <c r="K461" s="1492"/>
      <c r="L461" s="1492"/>
      <c r="M461" s="1492"/>
      <c r="N461" s="1492"/>
      <c r="O461" s="399"/>
      <c r="P461" s="18"/>
    </row>
    <row r="462" spans="4:16" ht="27.5" customHeight="1">
      <c r="D462" s="557"/>
      <c r="E462" s="557"/>
      <c r="F462" s="1495"/>
      <c r="G462" s="1495"/>
      <c r="H462" s="1495"/>
      <c r="I462" s="1492"/>
      <c r="J462" s="1492"/>
      <c r="K462" s="1492"/>
      <c r="L462" s="1492"/>
      <c r="M462" s="1492"/>
      <c r="N462" s="1492"/>
      <c r="O462" s="399"/>
      <c r="P462" s="18"/>
    </row>
    <row r="463" spans="4:16" ht="27.5" customHeight="1">
      <c r="D463" s="557"/>
      <c r="E463" s="557"/>
      <c r="F463" s="1495"/>
      <c r="G463" s="1495"/>
      <c r="H463" s="1495"/>
      <c r="I463" s="1492"/>
      <c r="J463" s="1492"/>
      <c r="K463" s="1492"/>
      <c r="L463" s="1492"/>
      <c r="M463" s="1492"/>
      <c r="N463" s="1492"/>
      <c r="O463" s="399"/>
      <c r="P463" s="18"/>
    </row>
    <row r="464" spans="4:16" ht="27.5" customHeight="1">
      <c r="D464" s="557"/>
      <c r="E464" s="557"/>
      <c r="F464" s="1495"/>
      <c r="G464" s="1495"/>
      <c r="H464" s="1495"/>
      <c r="I464" s="1492"/>
      <c r="J464" s="1492"/>
      <c r="K464" s="1492"/>
      <c r="L464" s="1492"/>
      <c r="M464" s="1492"/>
      <c r="N464" s="1492"/>
      <c r="O464" s="399"/>
      <c r="P464" s="18"/>
    </row>
    <row r="465" spans="3:16" ht="27.5" customHeight="1">
      <c r="D465" s="557"/>
      <c r="E465" s="557"/>
      <c r="F465" s="1495"/>
      <c r="G465" s="1495"/>
      <c r="H465" s="1495"/>
      <c r="I465" s="1492"/>
      <c r="J465" s="1492"/>
      <c r="K465" s="1492"/>
      <c r="L465" s="1492"/>
      <c r="M465" s="1492"/>
      <c r="N465" s="1492"/>
      <c r="O465" s="399"/>
      <c r="P465" s="18"/>
    </row>
    <row r="466" spans="3:16" ht="27.5" customHeight="1">
      <c r="D466" s="557"/>
      <c r="E466" s="557"/>
      <c r="F466" s="1495"/>
      <c r="G466" s="1495"/>
      <c r="H466" s="1495"/>
      <c r="I466" s="1492"/>
      <c r="J466" s="1492"/>
      <c r="K466" s="1492"/>
      <c r="L466" s="1492"/>
      <c r="M466" s="1492"/>
      <c r="N466" s="1492"/>
      <c r="O466" s="399"/>
      <c r="P466" s="18"/>
    </row>
    <row r="467" spans="3:16" ht="27.5" customHeight="1">
      <c r="D467" s="557"/>
      <c r="E467" s="557"/>
      <c r="F467" s="1495"/>
      <c r="G467" s="1495"/>
      <c r="H467" s="1495"/>
      <c r="I467" s="1492"/>
      <c r="J467" s="1492"/>
      <c r="K467" s="1492"/>
      <c r="L467" s="1492"/>
      <c r="M467" s="1492"/>
      <c r="N467" s="1492"/>
      <c r="O467" s="399"/>
      <c r="P467" s="18"/>
    </row>
    <row r="468" spans="3:16" ht="27.5" customHeight="1">
      <c r="D468" s="557"/>
      <c r="E468" s="557"/>
      <c r="F468" s="1495"/>
      <c r="G468" s="1495"/>
      <c r="H468" s="1495"/>
      <c r="I468" s="1492"/>
      <c r="J468" s="1492"/>
      <c r="K468" s="1492"/>
      <c r="L468" s="1492"/>
      <c r="M468" s="1492"/>
      <c r="N468" s="1492"/>
      <c r="O468" s="399"/>
      <c r="P468" s="18"/>
    </row>
    <row r="469" spans="3:16" ht="27.5" customHeight="1">
      <c r="D469" s="557"/>
      <c r="E469" s="557"/>
      <c r="F469" s="1495"/>
      <c r="G469" s="1495"/>
      <c r="H469" s="1495"/>
      <c r="I469" s="1492"/>
      <c r="J469" s="1492"/>
      <c r="K469" s="1492"/>
      <c r="L469" s="1492"/>
      <c r="M469" s="1492"/>
      <c r="N469" s="1492"/>
      <c r="O469" s="399"/>
      <c r="P469" s="18"/>
    </row>
    <row r="470" spans="3:16" ht="27.5" customHeight="1">
      <c r="C470" s="1496"/>
      <c r="D470" s="1496"/>
      <c r="E470" s="1496"/>
      <c r="F470" s="1496"/>
      <c r="G470" s="1496"/>
      <c r="H470" s="1496"/>
      <c r="I470" s="1496"/>
      <c r="J470" s="1496"/>
      <c r="K470" s="1497"/>
      <c r="L470" s="1497"/>
      <c r="M470" s="1497"/>
      <c r="N470" s="1497"/>
      <c r="O470" s="1497"/>
      <c r="P470" s="18"/>
    </row>
    <row r="471" spans="3:16" ht="24" customHeight="1">
      <c r="C471" s="1496"/>
      <c r="D471" s="1496"/>
      <c r="E471" s="1496"/>
      <c r="F471" s="1496"/>
      <c r="G471" s="1496"/>
      <c r="H471" s="1496"/>
      <c r="I471" s="1496"/>
      <c r="J471" s="1496"/>
      <c r="K471" s="1498"/>
      <c r="L471" s="1498"/>
      <c r="M471" s="1498"/>
      <c r="N471" s="1498"/>
      <c r="O471" s="1498"/>
      <c r="P471" s="588"/>
    </row>
    <row r="472" spans="3:16" ht="24" customHeight="1">
      <c r="C472" s="1495"/>
      <c r="D472" s="1495"/>
      <c r="E472" s="1495"/>
      <c r="F472" s="1495"/>
      <c r="G472" s="1495"/>
      <c r="H472" s="1495"/>
      <c r="I472" s="1495"/>
      <c r="J472" s="1495"/>
      <c r="K472" s="1495"/>
      <c r="L472" s="1495"/>
      <c r="M472" s="1495"/>
      <c r="N472" s="1495"/>
      <c r="O472" s="1495"/>
      <c r="P472" s="557"/>
    </row>
    <row r="473" spans="3:16" ht="24" customHeight="1">
      <c r="D473" s="557"/>
      <c r="E473" s="557"/>
      <c r="F473" s="557"/>
      <c r="G473" s="557"/>
      <c r="H473" s="557"/>
      <c r="I473" s="557"/>
      <c r="J473" s="557"/>
      <c r="K473" s="557"/>
      <c r="L473" s="557"/>
      <c r="M473" s="557"/>
      <c r="N473" s="557"/>
      <c r="O473" s="1495"/>
      <c r="P473" s="557"/>
    </row>
    <row r="474" spans="3:16" ht="24" customHeight="1">
      <c r="D474" s="18"/>
      <c r="E474" s="18"/>
      <c r="F474" s="18"/>
      <c r="G474" s="18"/>
      <c r="H474" s="557"/>
      <c r="I474" s="18"/>
      <c r="J474" s="18"/>
      <c r="K474" s="557"/>
      <c r="L474" s="18"/>
      <c r="M474" s="18"/>
      <c r="N474" s="557"/>
      <c r="O474" s="1495"/>
      <c r="P474" s="557"/>
    </row>
    <row r="475" spans="3:16" ht="24" customHeight="1">
      <c r="D475" s="557"/>
      <c r="E475" s="557"/>
      <c r="F475" s="557"/>
      <c r="G475" s="557"/>
      <c r="H475" s="557"/>
      <c r="I475" s="557"/>
      <c r="J475" s="557"/>
      <c r="K475" s="557"/>
      <c r="L475" s="557"/>
      <c r="M475" s="557"/>
      <c r="N475" s="557"/>
      <c r="O475" s="1495"/>
      <c r="P475" s="557"/>
    </row>
    <row r="476" spans="3:16" ht="24" customHeight="1">
      <c r="D476" s="557"/>
      <c r="E476" s="557"/>
      <c r="F476" s="1495"/>
      <c r="G476" s="1495"/>
      <c r="H476" s="1495"/>
      <c r="I476" s="1492"/>
      <c r="J476" s="1492"/>
      <c r="K476" s="1492"/>
      <c r="L476" s="1492"/>
      <c r="M476" s="1492"/>
      <c r="N476" s="1492"/>
      <c r="O476" s="399"/>
      <c r="P476" s="18"/>
    </row>
    <row r="477" spans="3:16" ht="28" customHeight="1">
      <c r="D477" s="557"/>
      <c r="E477" s="557"/>
      <c r="F477" s="1495"/>
      <c r="G477" s="1495"/>
      <c r="H477" s="1495"/>
      <c r="I477" s="1492"/>
      <c r="J477" s="1492"/>
      <c r="K477" s="1492"/>
      <c r="L477" s="1492"/>
      <c r="M477" s="1492"/>
      <c r="N477" s="1492"/>
      <c r="O477" s="399"/>
      <c r="P477" s="18"/>
    </row>
    <row r="478" spans="3:16" ht="28" customHeight="1">
      <c r="D478" s="557"/>
      <c r="E478" s="557"/>
      <c r="F478" s="1495"/>
      <c r="G478" s="1495"/>
      <c r="H478" s="1495"/>
      <c r="I478" s="1492"/>
      <c r="J478" s="1492"/>
      <c r="K478" s="1492"/>
      <c r="L478" s="1492"/>
      <c r="M478" s="1492"/>
      <c r="N478" s="1492"/>
      <c r="O478" s="399"/>
      <c r="P478" s="18"/>
    </row>
    <row r="479" spans="3:16" ht="28" customHeight="1">
      <c r="D479" s="557"/>
      <c r="E479" s="557"/>
      <c r="F479" s="1495"/>
      <c r="G479" s="1495"/>
      <c r="H479" s="1495"/>
      <c r="I479" s="1492"/>
      <c r="J479" s="1492"/>
      <c r="K479" s="1492"/>
      <c r="L479" s="1492"/>
      <c r="M479" s="1492"/>
      <c r="N479" s="1492"/>
      <c r="O479" s="399"/>
      <c r="P479" s="18"/>
    </row>
    <row r="480" spans="3:16" ht="28" customHeight="1">
      <c r="D480" s="557"/>
      <c r="E480" s="557"/>
      <c r="F480" s="1495"/>
      <c r="G480" s="1495"/>
      <c r="H480" s="1495"/>
      <c r="I480" s="1492"/>
      <c r="J480" s="1492"/>
      <c r="K480" s="1492"/>
      <c r="L480" s="1492"/>
      <c r="M480" s="1492"/>
      <c r="N480" s="1492"/>
      <c r="O480" s="399"/>
      <c r="P480" s="18"/>
    </row>
    <row r="481" spans="4:18" ht="28" customHeight="1">
      <c r="D481" s="557"/>
      <c r="E481" s="557"/>
      <c r="F481" s="1495"/>
      <c r="G481" s="1495"/>
      <c r="H481" s="1495"/>
      <c r="I481" s="1492"/>
      <c r="J481" s="1492"/>
      <c r="K481" s="1492"/>
      <c r="L481" s="1492"/>
      <c r="M481" s="1492"/>
      <c r="N481" s="1492"/>
      <c r="O481" s="399"/>
      <c r="P481" s="18"/>
    </row>
    <row r="482" spans="4:18" ht="28" customHeight="1">
      <c r="D482" s="557"/>
      <c r="E482" s="557"/>
      <c r="F482" s="1495"/>
      <c r="G482" s="1495"/>
      <c r="H482" s="1495"/>
      <c r="I482" s="1492"/>
      <c r="J482" s="1492"/>
      <c r="K482" s="1492"/>
      <c r="L482" s="1492"/>
      <c r="M482" s="1492"/>
      <c r="N482" s="1492"/>
      <c r="O482" s="399"/>
      <c r="P482" s="18"/>
    </row>
    <row r="483" spans="4:18" ht="28" customHeight="1">
      <c r="D483" s="557"/>
      <c r="E483" s="557"/>
      <c r="F483" s="1495"/>
      <c r="G483" s="1495"/>
      <c r="H483" s="1495"/>
      <c r="I483" s="1492"/>
      <c r="J483" s="1492"/>
      <c r="K483" s="1492"/>
      <c r="L483" s="1492"/>
      <c r="M483" s="1492"/>
      <c r="N483" s="1492"/>
      <c r="O483" s="399"/>
      <c r="P483" s="18"/>
    </row>
    <row r="484" spans="4:18" ht="28" customHeight="1">
      <c r="D484" s="557"/>
      <c r="E484" s="557"/>
      <c r="F484" s="1495"/>
      <c r="G484" s="1495"/>
      <c r="H484" s="1495"/>
      <c r="I484" s="1492"/>
      <c r="J484" s="1492"/>
      <c r="K484" s="1492"/>
      <c r="L484" s="1492"/>
      <c r="M484" s="1492"/>
      <c r="N484" s="1492"/>
      <c r="O484" s="399"/>
      <c r="P484" s="18"/>
    </row>
    <row r="485" spans="4:18" ht="28" customHeight="1">
      <c r="D485" s="557"/>
      <c r="E485" s="557"/>
      <c r="F485" s="1495"/>
      <c r="G485" s="1495"/>
      <c r="H485" s="1495"/>
      <c r="I485" s="1492"/>
      <c r="J485" s="1492"/>
      <c r="K485" s="1492"/>
      <c r="L485" s="1492"/>
      <c r="M485" s="1492"/>
      <c r="N485" s="1492"/>
      <c r="O485" s="399"/>
      <c r="P485" s="18"/>
      <c r="R485" s="17"/>
    </row>
    <row r="486" spans="4:18" ht="28" customHeight="1">
      <c r="D486" s="557"/>
      <c r="E486" s="557"/>
      <c r="F486" s="1495"/>
      <c r="G486" s="1495"/>
      <c r="H486" s="1495"/>
      <c r="I486" s="1492"/>
      <c r="J486" s="1492"/>
      <c r="K486" s="1492"/>
      <c r="L486" s="1492"/>
      <c r="M486" s="1492"/>
      <c r="N486" s="1492"/>
      <c r="O486" s="399"/>
      <c r="P486" s="18"/>
      <c r="R486" s="17"/>
    </row>
    <row r="487" spans="4:18" ht="28" customHeight="1">
      <c r="D487" s="557"/>
      <c r="E487" s="557"/>
      <c r="F487" s="1495"/>
      <c r="G487" s="1495"/>
      <c r="H487" s="1495"/>
      <c r="I487" s="1492"/>
      <c r="J487" s="1492"/>
      <c r="K487" s="1492"/>
      <c r="L487" s="1492"/>
      <c r="M487" s="1492"/>
      <c r="N487" s="1492"/>
      <c r="O487" s="399"/>
      <c r="P487" s="18"/>
      <c r="R487" s="17"/>
    </row>
    <row r="488" spans="4:18" ht="28" customHeight="1">
      <c r="D488" s="557"/>
      <c r="E488" s="557"/>
      <c r="F488" s="1495"/>
      <c r="G488" s="1495"/>
      <c r="H488" s="1495"/>
      <c r="I488" s="1492"/>
      <c r="J488" s="1492"/>
      <c r="K488" s="1492"/>
      <c r="L488" s="1492"/>
      <c r="M488" s="1492"/>
      <c r="N488" s="1492"/>
      <c r="O488" s="399"/>
      <c r="P488" s="18"/>
      <c r="R488" s="17"/>
    </row>
    <row r="489" spans="4:18" ht="28" customHeight="1">
      <c r="D489" s="557"/>
      <c r="E489" s="557"/>
      <c r="F489" s="1495"/>
      <c r="G489" s="1495"/>
      <c r="H489" s="1495"/>
      <c r="I489" s="1492"/>
      <c r="J489" s="1492"/>
      <c r="K489" s="1492"/>
      <c r="L489" s="1492"/>
      <c r="M489" s="1492"/>
      <c r="N489" s="1492"/>
      <c r="O489" s="399"/>
      <c r="P489" s="18"/>
      <c r="R489" s="17"/>
    </row>
    <row r="490" spans="4:18" ht="28" customHeight="1">
      <c r="D490" s="557"/>
      <c r="E490" s="557"/>
      <c r="F490" s="1495"/>
      <c r="G490" s="1495"/>
      <c r="H490" s="1495"/>
      <c r="I490" s="1492"/>
      <c r="J490" s="1492"/>
      <c r="K490" s="1492"/>
      <c r="L490" s="1492"/>
      <c r="M490" s="1492"/>
      <c r="N490" s="1492"/>
      <c r="O490" s="399"/>
      <c r="P490" s="18"/>
      <c r="R490" s="17"/>
    </row>
    <row r="491" spans="4:18" ht="28" customHeight="1">
      <c r="D491" s="557"/>
      <c r="E491" s="557"/>
      <c r="F491" s="1495"/>
      <c r="G491" s="1495"/>
      <c r="H491" s="1495"/>
      <c r="I491" s="1492"/>
      <c r="J491" s="1492"/>
      <c r="K491" s="1492"/>
      <c r="L491" s="1492"/>
      <c r="M491" s="1492"/>
      <c r="N491" s="1492"/>
      <c r="O491" s="399"/>
      <c r="P491" s="18"/>
      <c r="R491" s="17"/>
    </row>
    <row r="492" spans="4:18" ht="28" customHeight="1">
      <c r="D492" s="557"/>
      <c r="E492" s="557"/>
      <c r="F492" s="1495"/>
      <c r="G492" s="1495"/>
      <c r="H492" s="1495"/>
      <c r="I492" s="1492"/>
      <c r="J492" s="1492"/>
      <c r="K492" s="1492"/>
      <c r="L492" s="1492"/>
      <c r="M492" s="1492"/>
      <c r="N492" s="1492"/>
      <c r="O492" s="399"/>
      <c r="P492" s="18"/>
      <c r="R492" s="17"/>
    </row>
    <row r="493" spans="4:18" ht="28" customHeight="1">
      <c r="D493" s="557"/>
      <c r="E493" s="557"/>
      <c r="F493" s="1495"/>
      <c r="G493" s="1495"/>
      <c r="H493" s="1495"/>
      <c r="I493" s="1492"/>
      <c r="J493" s="1492"/>
      <c r="K493" s="1492"/>
      <c r="L493" s="1492"/>
      <c r="M493" s="1492"/>
      <c r="N493" s="1492"/>
      <c r="O493" s="399"/>
      <c r="P493" s="18"/>
      <c r="R493" s="17"/>
    </row>
    <row r="494" spans="4:18" ht="28" customHeight="1">
      <c r="D494" s="557"/>
      <c r="E494" s="557"/>
      <c r="F494" s="1495"/>
      <c r="G494" s="1495"/>
      <c r="H494" s="1495"/>
      <c r="I494" s="1492"/>
      <c r="J494" s="1492"/>
      <c r="K494" s="1492"/>
      <c r="L494" s="1492"/>
      <c r="M494" s="1492"/>
      <c r="N494" s="1492"/>
      <c r="O494" s="399"/>
      <c r="P494" s="18"/>
      <c r="R494" s="17"/>
    </row>
    <row r="495" spans="4:18" ht="28" customHeight="1">
      <c r="D495" s="557"/>
      <c r="E495" s="557"/>
      <c r="F495" s="1495"/>
      <c r="G495" s="1495"/>
      <c r="H495" s="1495"/>
      <c r="I495" s="1492"/>
      <c r="J495" s="1492"/>
      <c r="K495" s="1492"/>
      <c r="L495" s="1492"/>
      <c r="M495" s="1492"/>
      <c r="N495" s="1492"/>
      <c r="O495" s="399"/>
      <c r="P495" s="18"/>
      <c r="R495" s="17"/>
    </row>
    <row r="496" spans="4:18" ht="28" customHeight="1">
      <c r="D496" s="557"/>
      <c r="E496" s="557"/>
      <c r="F496" s="1495"/>
      <c r="G496" s="1495"/>
      <c r="H496" s="1495"/>
      <c r="I496" s="1492"/>
      <c r="J496" s="1492"/>
      <c r="K496" s="1492"/>
      <c r="L496" s="1492"/>
      <c r="M496" s="1492"/>
      <c r="N496" s="1492"/>
      <c r="O496" s="399"/>
      <c r="P496" s="18"/>
      <c r="R496" s="17"/>
    </row>
    <row r="497" spans="3:18" ht="28" customHeight="1">
      <c r="D497" s="557"/>
      <c r="E497" s="557"/>
      <c r="F497" s="1495"/>
      <c r="G497" s="1495"/>
      <c r="H497" s="1495"/>
      <c r="I497" s="1492"/>
      <c r="J497" s="1492"/>
      <c r="K497" s="1492"/>
      <c r="L497" s="1492"/>
      <c r="M497" s="1492"/>
      <c r="N497" s="1492"/>
      <c r="O497" s="399"/>
      <c r="P497" s="18"/>
      <c r="R497" s="17"/>
    </row>
    <row r="498" spans="3:18" ht="28" customHeight="1">
      <c r="D498" s="557"/>
      <c r="E498" s="557"/>
      <c r="F498" s="1495"/>
      <c r="G498" s="1495"/>
      <c r="H498" s="1495"/>
      <c r="I498" s="1492"/>
      <c r="J498" s="1492"/>
      <c r="K498" s="1492"/>
      <c r="L498" s="1492"/>
      <c r="M498" s="1492"/>
      <c r="N498" s="1492"/>
      <c r="O498" s="399"/>
      <c r="P498" s="18"/>
      <c r="R498" s="17"/>
    </row>
    <row r="499" spans="3:18" ht="28" customHeight="1">
      <c r="D499" s="557"/>
      <c r="E499" s="557"/>
      <c r="F499" s="1495"/>
      <c r="G499" s="1495"/>
      <c r="H499" s="1495"/>
      <c r="I499" s="1492"/>
      <c r="J499" s="1492"/>
      <c r="K499" s="1492"/>
      <c r="L499" s="1492"/>
      <c r="M499" s="1492"/>
      <c r="N499" s="1492"/>
      <c r="O499" s="399"/>
      <c r="P499" s="18"/>
      <c r="R499" s="17"/>
    </row>
    <row r="500" spans="3:18" ht="28" customHeight="1">
      <c r="D500" s="557"/>
      <c r="E500" s="557"/>
      <c r="F500" s="1495"/>
      <c r="G500" s="1495"/>
      <c r="H500" s="1495"/>
      <c r="I500" s="1492"/>
      <c r="J500" s="1492"/>
      <c r="K500" s="1492"/>
      <c r="L500" s="1492"/>
      <c r="M500" s="1492"/>
      <c r="N500" s="1492"/>
      <c r="O500" s="399"/>
      <c r="P500" s="18"/>
      <c r="R500" s="17"/>
    </row>
    <row r="501" spans="3:18" ht="28" customHeight="1">
      <c r="D501" s="557"/>
      <c r="E501" s="557"/>
      <c r="F501" s="1495"/>
      <c r="G501" s="1495"/>
      <c r="H501" s="1495"/>
      <c r="I501" s="1492"/>
      <c r="J501" s="1492"/>
      <c r="K501" s="1492"/>
      <c r="L501" s="1492"/>
      <c r="M501" s="1492"/>
      <c r="N501" s="1492"/>
      <c r="O501" s="399"/>
      <c r="P501" s="18"/>
      <c r="R501" s="17"/>
    </row>
    <row r="502" spans="3:18" ht="28" customHeight="1">
      <c r="D502" s="557"/>
      <c r="E502" s="557"/>
      <c r="F502" s="1495"/>
      <c r="G502" s="1495"/>
      <c r="H502" s="1495"/>
      <c r="I502" s="1492"/>
      <c r="J502" s="1492"/>
      <c r="K502" s="1492"/>
      <c r="L502" s="1492"/>
      <c r="M502" s="1492"/>
      <c r="N502" s="1492"/>
      <c r="O502" s="399"/>
      <c r="P502" s="18"/>
      <c r="R502" s="17"/>
    </row>
    <row r="503" spans="3:18" ht="28" customHeight="1">
      <c r="D503" s="557"/>
      <c r="E503" s="557"/>
      <c r="F503" s="1495"/>
      <c r="G503" s="1495"/>
      <c r="H503" s="1495"/>
      <c r="I503" s="1492"/>
      <c r="J503" s="1492"/>
      <c r="K503" s="1492"/>
      <c r="L503" s="1492"/>
      <c r="M503" s="1492"/>
      <c r="N503" s="1492"/>
      <c r="O503" s="399"/>
      <c r="P503" s="18"/>
      <c r="R503" s="17"/>
    </row>
    <row r="504" spans="3:18" ht="28" customHeight="1">
      <c r="D504" s="557"/>
      <c r="E504" s="557"/>
      <c r="F504" s="1495"/>
      <c r="G504" s="1495"/>
      <c r="H504" s="1495"/>
      <c r="I504" s="1492"/>
      <c r="J504" s="1492"/>
      <c r="K504" s="1492"/>
      <c r="L504" s="1492"/>
      <c r="M504" s="1492"/>
      <c r="N504" s="1492"/>
      <c r="O504" s="399"/>
      <c r="P504" s="18"/>
      <c r="R504" s="17"/>
    </row>
    <row r="505" spans="3:18" ht="28" customHeight="1">
      <c r="D505" s="557"/>
      <c r="E505" s="557"/>
      <c r="F505" s="1495"/>
      <c r="G505" s="1495"/>
      <c r="H505" s="1495"/>
      <c r="I505" s="1492"/>
      <c r="J505" s="1492"/>
      <c r="K505" s="1492"/>
      <c r="L505" s="1492"/>
      <c r="M505" s="1492"/>
      <c r="N505" s="1492"/>
      <c r="O505" s="399"/>
      <c r="P505" s="18"/>
      <c r="R505" s="17"/>
    </row>
    <row r="506" spans="3:18" ht="28" customHeight="1">
      <c r="D506" s="557"/>
      <c r="E506" s="557"/>
      <c r="F506" s="1495"/>
      <c r="G506" s="1495"/>
      <c r="H506" s="1495"/>
      <c r="I506" s="1492"/>
      <c r="J506" s="1492"/>
      <c r="K506" s="1492"/>
      <c r="L506" s="1492"/>
      <c r="M506" s="1492"/>
      <c r="N506" s="1492"/>
      <c r="O506" s="399"/>
      <c r="P506" s="18"/>
      <c r="R506" s="17"/>
    </row>
    <row r="507" spans="3:18" ht="28" customHeight="1">
      <c r="D507" s="557"/>
      <c r="E507" s="557"/>
      <c r="F507" s="1495"/>
      <c r="G507" s="1495"/>
      <c r="H507" s="1495"/>
      <c r="I507" s="1492"/>
      <c r="J507" s="1492"/>
      <c r="K507" s="1492"/>
      <c r="L507" s="1492"/>
      <c r="M507" s="1492"/>
      <c r="N507" s="1492"/>
      <c r="O507" s="399"/>
      <c r="P507" s="18"/>
      <c r="R507" s="17"/>
    </row>
    <row r="508" spans="3:18" ht="28" customHeight="1">
      <c r="D508" s="557"/>
      <c r="E508" s="557"/>
      <c r="F508" s="1495"/>
      <c r="G508" s="1495"/>
      <c r="H508" s="1495"/>
      <c r="I508" s="1492"/>
      <c r="J508" s="1492"/>
      <c r="K508" s="1492"/>
      <c r="L508" s="1492"/>
      <c r="M508" s="1492"/>
      <c r="N508" s="1492"/>
      <c r="O508" s="399"/>
      <c r="P508" s="18"/>
      <c r="R508" s="17"/>
    </row>
    <row r="509" spans="3:18" ht="28" customHeight="1">
      <c r="D509" s="557"/>
      <c r="E509" s="557"/>
      <c r="F509" s="1495"/>
      <c r="G509" s="1495"/>
      <c r="H509" s="1495"/>
      <c r="I509" s="1492"/>
      <c r="J509" s="1492"/>
      <c r="K509" s="1492"/>
      <c r="L509" s="1492"/>
      <c r="M509" s="1492"/>
      <c r="N509" s="1492"/>
      <c r="O509" s="399"/>
      <c r="P509" s="18"/>
      <c r="R509" s="17"/>
    </row>
    <row r="510" spans="3:18" ht="28" customHeight="1">
      <c r="C510" s="1493"/>
      <c r="D510" s="1493"/>
      <c r="E510" s="1493"/>
      <c r="F510" s="1493"/>
      <c r="G510" s="1493"/>
      <c r="H510" s="1493"/>
      <c r="I510" s="1494"/>
      <c r="J510" s="1494"/>
      <c r="K510" s="1494"/>
      <c r="L510" s="1494"/>
      <c r="M510" s="1494"/>
      <c r="N510" s="1494"/>
      <c r="O510" s="1494"/>
      <c r="P510" s="491"/>
      <c r="R510" s="17"/>
    </row>
    <row r="511" spans="3:18" ht="18.75" customHeight="1">
      <c r="C511" s="1493"/>
      <c r="D511" s="1493"/>
      <c r="E511" s="1493"/>
      <c r="F511" s="1493"/>
      <c r="G511" s="1493"/>
      <c r="H511" s="1493"/>
      <c r="I511" s="1494"/>
      <c r="J511" s="1494"/>
      <c r="K511" s="1494"/>
      <c r="L511" s="1494"/>
      <c r="M511" s="1494"/>
      <c r="N511" s="1494"/>
      <c r="O511" s="1494"/>
      <c r="P511" s="491"/>
    </row>
    <row r="512" spans="3:18" ht="24" customHeight="1">
      <c r="C512" s="1489"/>
      <c r="D512" s="1489"/>
      <c r="E512" s="1489"/>
      <c r="F512" s="1489"/>
      <c r="G512" s="1489"/>
      <c r="H512" s="1489"/>
      <c r="I512" s="1489"/>
      <c r="J512" s="1489"/>
      <c r="K512" s="1490"/>
      <c r="L512" s="1490"/>
      <c r="M512" s="1490"/>
      <c r="N512" s="1490"/>
      <c r="O512" s="1490"/>
      <c r="P512" s="589"/>
    </row>
    <row r="513" spans="1:40" ht="15" customHeight="1">
      <c r="C513" s="1489"/>
      <c r="D513" s="1489"/>
      <c r="E513" s="1489"/>
      <c r="F513" s="1489"/>
      <c r="G513" s="1489"/>
      <c r="H513" s="1489"/>
      <c r="I513" s="1489"/>
      <c r="J513" s="1489"/>
      <c r="K513" s="1491"/>
      <c r="L513" s="1491"/>
      <c r="M513" s="1491"/>
      <c r="N513" s="1491"/>
      <c r="O513" s="1491"/>
      <c r="P513" s="590"/>
    </row>
    <row r="514" spans="1:40" ht="18" customHeight="1"/>
    <row r="521" spans="1:40" s="591" customFormat="1">
      <c r="A521" s="11"/>
      <c r="B521" s="523"/>
      <c r="C521" s="523"/>
      <c r="D521" s="523"/>
      <c r="E521" s="523"/>
      <c r="F521" s="523"/>
      <c r="G521" s="523"/>
      <c r="H521" s="523"/>
      <c r="I521" s="523"/>
      <c r="J521" s="578"/>
      <c r="K521" s="523"/>
      <c r="L521" s="523"/>
      <c r="M521" s="523"/>
      <c r="N521" s="523"/>
      <c r="O521" s="523" t="s">
        <v>16</v>
      </c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  <c r="AB521" s="11"/>
      <c r="AC521" s="11"/>
      <c r="AD521" s="11"/>
      <c r="AE521" s="11"/>
      <c r="AF521" s="11"/>
      <c r="AG521" s="11"/>
      <c r="AH521" s="11"/>
      <c r="AI521" s="11"/>
      <c r="AJ521" s="11"/>
      <c r="AK521" s="11"/>
      <c r="AL521" s="11"/>
      <c r="AM521" s="11"/>
      <c r="AN521" s="11"/>
    </row>
  </sheetData>
  <mergeCells count="1161">
    <mergeCell ref="A1:P1"/>
    <mergeCell ref="A2:P2"/>
    <mergeCell ref="A3:P3"/>
    <mergeCell ref="A4:A9"/>
    <mergeCell ref="B4:B9"/>
    <mergeCell ref="C4:E5"/>
    <mergeCell ref="F4:H5"/>
    <mergeCell ref="I4:K5"/>
    <mergeCell ref="L4:N5"/>
    <mergeCell ref="O4:O9"/>
    <mergeCell ref="N7:N8"/>
    <mergeCell ref="H7:H8"/>
    <mergeCell ref="I7:I8"/>
    <mergeCell ref="J7:J8"/>
    <mergeCell ref="K7:K8"/>
    <mergeCell ref="L7:L8"/>
    <mergeCell ref="M7:M8"/>
    <mergeCell ref="P4:P9"/>
    <mergeCell ref="C6:E6"/>
    <mergeCell ref="F6:H6"/>
    <mergeCell ref="I6:K6"/>
    <mergeCell ref="L6:N6"/>
    <mergeCell ref="C7:C8"/>
    <mergeCell ref="D7:D8"/>
    <mergeCell ref="E7:E8"/>
    <mergeCell ref="F7:F8"/>
    <mergeCell ref="G7:G8"/>
    <mergeCell ref="G55:G56"/>
    <mergeCell ref="A51:B51"/>
    <mergeCell ref="L51:P51"/>
    <mergeCell ref="A52:A57"/>
    <mergeCell ref="B52:B57"/>
    <mergeCell ref="C52:E52"/>
    <mergeCell ref="F52:H52"/>
    <mergeCell ref="I52:K52"/>
    <mergeCell ref="L52:N52"/>
    <mergeCell ref="O52:O57"/>
    <mergeCell ref="A94:B94"/>
    <mergeCell ref="L94:P94"/>
    <mergeCell ref="N55:N56"/>
    <mergeCell ref="H55:H56"/>
    <mergeCell ref="I55:I56"/>
    <mergeCell ref="J55:J56"/>
    <mergeCell ref="K55:K56"/>
    <mergeCell ref="L55:L56"/>
    <mergeCell ref="M55:M56"/>
    <mergeCell ref="P52:P57"/>
    <mergeCell ref="C53:E54"/>
    <mergeCell ref="F53:H54"/>
    <mergeCell ref="I53:K54"/>
    <mergeCell ref="L53:N54"/>
    <mergeCell ref="C55:C56"/>
    <mergeCell ref="D55:D56"/>
    <mergeCell ref="E55:E56"/>
    <mergeCell ref="F55:F56"/>
    <mergeCell ref="I120:K121"/>
    <mergeCell ref="L120:N121"/>
    <mergeCell ref="G123:G124"/>
    <mergeCell ref="H123:H124"/>
    <mergeCell ref="I123:I124"/>
    <mergeCell ref="J123:J124"/>
    <mergeCell ref="K98:K99"/>
    <mergeCell ref="L98:L99"/>
    <mergeCell ref="M98:M99"/>
    <mergeCell ref="N98:N99"/>
    <mergeCell ref="A119:B119"/>
    <mergeCell ref="L119:P119"/>
    <mergeCell ref="O95:O100"/>
    <mergeCell ref="P95:P100"/>
    <mergeCell ref="C97:E97"/>
    <mergeCell ref="F97:H97"/>
    <mergeCell ref="I97:K97"/>
    <mergeCell ref="L97:N97"/>
    <mergeCell ref="C98:C99"/>
    <mergeCell ref="D98:D99"/>
    <mergeCell ref="E98:E99"/>
    <mergeCell ref="F98:F99"/>
    <mergeCell ref="A95:A100"/>
    <mergeCell ref="B95:B100"/>
    <mergeCell ref="C95:E96"/>
    <mergeCell ref="F95:H96"/>
    <mergeCell ref="I95:K96"/>
    <mergeCell ref="L95:N96"/>
    <mergeCell ref="G98:G99"/>
    <mergeCell ref="H98:H99"/>
    <mergeCell ref="I98:I99"/>
    <mergeCell ref="J98:J99"/>
    <mergeCell ref="O143:O147"/>
    <mergeCell ref="P143:P147"/>
    <mergeCell ref="C145:E145"/>
    <mergeCell ref="F145:H145"/>
    <mergeCell ref="I145:K145"/>
    <mergeCell ref="L145:N145"/>
    <mergeCell ref="A143:A147"/>
    <mergeCell ref="B143:B147"/>
    <mergeCell ref="C143:E144"/>
    <mergeCell ref="F143:H144"/>
    <mergeCell ref="I143:K144"/>
    <mergeCell ref="L143:N144"/>
    <mergeCell ref="K123:K124"/>
    <mergeCell ref="L123:L124"/>
    <mergeCell ref="M123:M124"/>
    <mergeCell ref="N123:N124"/>
    <mergeCell ref="A142:B142"/>
    <mergeCell ref="L142:P142"/>
    <mergeCell ref="O120:O125"/>
    <mergeCell ref="P120:P125"/>
    <mergeCell ref="C122:E122"/>
    <mergeCell ref="F122:H122"/>
    <mergeCell ref="I122:K122"/>
    <mergeCell ref="L122:N122"/>
    <mergeCell ref="C123:C124"/>
    <mergeCell ref="D123:D124"/>
    <mergeCell ref="E123:E124"/>
    <mergeCell ref="F123:F124"/>
    <mergeCell ref="A120:A125"/>
    <mergeCell ref="B120:B125"/>
    <mergeCell ref="C120:E121"/>
    <mergeCell ref="F120:H121"/>
    <mergeCell ref="I169:I170"/>
    <mergeCell ref="J169:J170"/>
    <mergeCell ref="K169:K170"/>
    <mergeCell ref="L169:L170"/>
    <mergeCell ref="M169:M170"/>
    <mergeCell ref="N169:N170"/>
    <mergeCell ref="C168:E168"/>
    <mergeCell ref="F168:H168"/>
    <mergeCell ref="I168:K168"/>
    <mergeCell ref="L168:N168"/>
    <mergeCell ref="C169:C170"/>
    <mergeCell ref="D169:D170"/>
    <mergeCell ref="E169:E170"/>
    <mergeCell ref="F169:F170"/>
    <mergeCell ref="G169:G170"/>
    <mergeCell ref="H169:H170"/>
    <mergeCell ref="A165:E165"/>
    <mergeCell ref="I165:P165"/>
    <mergeCell ref="A166:A171"/>
    <mergeCell ref="B166:B171"/>
    <mergeCell ref="C166:E167"/>
    <mergeCell ref="F166:H167"/>
    <mergeCell ref="I166:K167"/>
    <mergeCell ref="L166:N167"/>
    <mergeCell ref="O166:O171"/>
    <mergeCell ref="P166:P171"/>
    <mergeCell ref="I194:I195"/>
    <mergeCell ref="J194:J195"/>
    <mergeCell ref="K194:K195"/>
    <mergeCell ref="L194:L195"/>
    <mergeCell ref="M194:M195"/>
    <mergeCell ref="N194:N195"/>
    <mergeCell ref="C193:E193"/>
    <mergeCell ref="F193:H193"/>
    <mergeCell ref="I193:K193"/>
    <mergeCell ref="L193:N193"/>
    <mergeCell ref="C194:C195"/>
    <mergeCell ref="D194:D195"/>
    <mergeCell ref="E194:E195"/>
    <mergeCell ref="F194:F195"/>
    <mergeCell ref="G194:G195"/>
    <mergeCell ref="H194:H195"/>
    <mergeCell ref="A190:B190"/>
    <mergeCell ref="K190:P190"/>
    <mergeCell ref="A191:A196"/>
    <mergeCell ref="B191:B196"/>
    <mergeCell ref="C191:E192"/>
    <mergeCell ref="F191:H192"/>
    <mergeCell ref="I191:K192"/>
    <mergeCell ref="L191:N192"/>
    <mergeCell ref="O191:O196"/>
    <mergeCell ref="P191:P196"/>
    <mergeCell ref="I218:I219"/>
    <mergeCell ref="J218:J219"/>
    <mergeCell ref="K218:K219"/>
    <mergeCell ref="L218:L219"/>
    <mergeCell ref="M218:M219"/>
    <mergeCell ref="N218:N219"/>
    <mergeCell ref="C217:E217"/>
    <mergeCell ref="F217:H217"/>
    <mergeCell ref="I217:K217"/>
    <mergeCell ref="L217:N217"/>
    <mergeCell ref="C218:C219"/>
    <mergeCell ref="D218:D219"/>
    <mergeCell ref="E218:E219"/>
    <mergeCell ref="F218:F219"/>
    <mergeCell ref="G218:G219"/>
    <mergeCell ref="H218:H219"/>
    <mergeCell ref="A214:B214"/>
    <mergeCell ref="K214:P214"/>
    <mergeCell ref="A215:A220"/>
    <mergeCell ref="B215:B220"/>
    <mergeCell ref="C215:E216"/>
    <mergeCell ref="F215:H216"/>
    <mergeCell ref="I215:K216"/>
    <mergeCell ref="L215:N216"/>
    <mergeCell ref="O215:O220"/>
    <mergeCell ref="P215:P220"/>
    <mergeCell ref="N272:N273"/>
    <mergeCell ref="F274:F275"/>
    <mergeCell ref="G274:G275"/>
    <mergeCell ref="H274:H275"/>
    <mergeCell ref="I274:I275"/>
    <mergeCell ref="J274:J275"/>
    <mergeCell ref="K274:K275"/>
    <mergeCell ref="L274:L275"/>
    <mergeCell ref="M274:M275"/>
    <mergeCell ref="N274:N275"/>
    <mergeCell ref="A256:I256"/>
    <mergeCell ref="J256:P256"/>
    <mergeCell ref="F272:F273"/>
    <mergeCell ref="G272:G273"/>
    <mergeCell ref="H272:H273"/>
    <mergeCell ref="I272:I273"/>
    <mergeCell ref="J272:J273"/>
    <mergeCell ref="K272:K273"/>
    <mergeCell ref="L272:L273"/>
    <mergeCell ref="M272:M273"/>
    <mergeCell ref="M278:M279"/>
    <mergeCell ref="N278:N279"/>
    <mergeCell ref="F280:F281"/>
    <mergeCell ref="G280:G281"/>
    <mergeCell ref="H280:H281"/>
    <mergeCell ref="I280:I281"/>
    <mergeCell ref="J280:J281"/>
    <mergeCell ref="K280:K281"/>
    <mergeCell ref="L280:L281"/>
    <mergeCell ref="M280:M281"/>
    <mergeCell ref="L276:L277"/>
    <mergeCell ref="M276:M277"/>
    <mergeCell ref="N276:N277"/>
    <mergeCell ref="F278:F279"/>
    <mergeCell ref="G278:G279"/>
    <mergeCell ref="H278:H279"/>
    <mergeCell ref="I278:I279"/>
    <mergeCell ref="J278:J279"/>
    <mergeCell ref="K278:K279"/>
    <mergeCell ref="L278:L279"/>
    <mergeCell ref="F276:F277"/>
    <mergeCell ref="G276:G277"/>
    <mergeCell ref="H276:H277"/>
    <mergeCell ref="I276:I277"/>
    <mergeCell ref="J276:J277"/>
    <mergeCell ref="K276:K277"/>
    <mergeCell ref="L284:L285"/>
    <mergeCell ref="M284:M285"/>
    <mergeCell ref="N284:N285"/>
    <mergeCell ref="F286:F287"/>
    <mergeCell ref="G286:G287"/>
    <mergeCell ref="H286:H287"/>
    <mergeCell ref="I286:I287"/>
    <mergeCell ref="J286:J287"/>
    <mergeCell ref="K286:K287"/>
    <mergeCell ref="L286:L287"/>
    <mergeCell ref="F284:F285"/>
    <mergeCell ref="G284:G285"/>
    <mergeCell ref="H284:H285"/>
    <mergeCell ref="I284:I285"/>
    <mergeCell ref="J284:J285"/>
    <mergeCell ref="K284:K285"/>
    <mergeCell ref="N280:N281"/>
    <mergeCell ref="F282:F283"/>
    <mergeCell ref="G282:G283"/>
    <mergeCell ref="H282:H283"/>
    <mergeCell ref="I282:I283"/>
    <mergeCell ref="J282:J283"/>
    <mergeCell ref="K282:K283"/>
    <mergeCell ref="L282:L283"/>
    <mergeCell ref="M282:M283"/>
    <mergeCell ref="N282:N283"/>
    <mergeCell ref="N288:N289"/>
    <mergeCell ref="F290:F291"/>
    <mergeCell ref="G290:G291"/>
    <mergeCell ref="H290:H291"/>
    <mergeCell ref="I290:I291"/>
    <mergeCell ref="J290:J291"/>
    <mergeCell ref="K290:K291"/>
    <mergeCell ref="L290:L291"/>
    <mergeCell ref="M290:M291"/>
    <mergeCell ref="N290:N291"/>
    <mergeCell ref="M286:M287"/>
    <mergeCell ref="N286:N287"/>
    <mergeCell ref="F288:F289"/>
    <mergeCell ref="G288:G289"/>
    <mergeCell ref="H288:H289"/>
    <mergeCell ref="I288:I289"/>
    <mergeCell ref="J288:J289"/>
    <mergeCell ref="K288:K289"/>
    <mergeCell ref="L288:L289"/>
    <mergeCell ref="M288:M289"/>
    <mergeCell ref="L298:L299"/>
    <mergeCell ref="M298:M299"/>
    <mergeCell ref="N298:N299"/>
    <mergeCell ref="F300:F301"/>
    <mergeCell ref="G300:G301"/>
    <mergeCell ref="H300:H301"/>
    <mergeCell ref="I300:I301"/>
    <mergeCell ref="J300:J301"/>
    <mergeCell ref="K300:K301"/>
    <mergeCell ref="L300:L301"/>
    <mergeCell ref="F298:F299"/>
    <mergeCell ref="G298:G299"/>
    <mergeCell ref="H298:H299"/>
    <mergeCell ref="I298:I299"/>
    <mergeCell ref="J298:J299"/>
    <mergeCell ref="K298:K299"/>
    <mergeCell ref="C292:I293"/>
    <mergeCell ref="J292:O292"/>
    <mergeCell ref="J293:O293"/>
    <mergeCell ref="C294:H294"/>
    <mergeCell ref="I294:K294"/>
    <mergeCell ref="L294:N294"/>
    <mergeCell ref="O294:O297"/>
    <mergeCell ref="N302:N303"/>
    <mergeCell ref="F304:F305"/>
    <mergeCell ref="G304:G305"/>
    <mergeCell ref="H304:H305"/>
    <mergeCell ref="I304:I305"/>
    <mergeCell ref="J304:J305"/>
    <mergeCell ref="K304:K305"/>
    <mergeCell ref="L304:L305"/>
    <mergeCell ref="M304:M305"/>
    <mergeCell ref="N304:N305"/>
    <mergeCell ref="M300:M301"/>
    <mergeCell ref="N300:N301"/>
    <mergeCell ref="F302:F303"/>
    <mergeCell ref="G302:G303"/>
    <mergeCell ref="H302:H303"/>
    <mergeCell ref="I302:I303"/>
    <mergeCell ref="J302:J303"/>
    <mergeCell ref="K302:K303"/>
    <mergeCell ref="L302:L303"/>
    <mergeCell ref="M302:M303"/>
    <mergeCell ref="M308:M309"/>
    <mergeCell ref="N308:N309"/>
    <mergeCell ref="F310:F311"/>
    <mergeCell ref="G310:G311"/>
    <mergeCell ref="H310:H311"/>
    <mergeCell ref="I310:I311"/>
    <mergeCell ref="J310:J311"/>
    <mergeCell ref="K310:K311"/>
    <mergeCell ref="L310:L311"/>
    <mergeCell ref="M310:M311"/>
    <mergeCell ref="L306:L307"/>
    <mergeCell ref="M306:M307"/>
    <mergeCell ref="N306:N307"/>
    <mergeCell ref="F308:F309"/>
    <mergeCell ref="G308:G309"/>
    <mergeCell ref="H308:H309"/>
    <mergeCell ref="I308:I309"/>
    <mergeCell ref="J308:J309"/>
    <mergeCell ref="K308:K309"/>
    <mergeCell ref="L308:L309"/>
    <mergeCell ref="F306:F307"/>
    <mergeCell ref="G306:G307"/>
    <mergeCell ref="H306:H307"/>
    <mergeCell ref="I306:I307"/>
    <mergeCell ref="J306:J307"/>
    <mergeCell ref="K306:K307"/>
    <mergeCell ref="L314:L315"/>
    <mergeCell ref="M314:M315"/>
    <mergeCell ref="N314:N315"/>
    <mergeCell ref="F316:F317"/>
    <mergeCell ref="G316:G317"/>
    <mergeCell ref="H316:H317"/>
    <mergeCell ref="I316:I317"/>
    <mergeCell ref="J316:J317"/>
    <mergeCell ref="K316:K317"/>
    <mergeCell ref="L316:L317"/>
    <mergeCell ref="F314:F315"/>
    <mergeCell ref="G314:G315"/>
    <mergeCell ref="H314:H315"/>
    <mergeCell ref="I314:I315"/>
    <mergeCell ref="J314:J315"/>
    <mergeCell ref="K314:K315"/>
    <mergeCell ref="N310:N311"/>
    <mergeCell ref="F312:F313"/>
    <mergeCell ref="G312:G313"/>
    <mergeCell ref="H312:H313"/>
    <mergeCell ref="I312:I313"/>
    <mergeCell ref="J312:J313"/>
    <mergeCell ref="K312:K313"/>
    <mergeCell ref="L312:L313"/>
    <mergeCell ref="M312:M313"/>
    <mergeCell ref="N312:N313"/>
    <mergeCell ref="N318:N319"/>
    <mergeCell ref="F320:F321"/>
    <mergeCell ref="G320:G321"/>
    <mergeCell ref="H320:H321"/>
    <mergeCell ref="I320:I321"/>
    <mergeCell ref="J320:J321"/>
    <mergeCell ref="K320:K321"/>
    <mergeCell ref="L320:L321"/>
    <mergeCell ref="M320:M321"/>
    <mergeCell ref="N320:N321"/>
    <mergeCell ref="M316:M317"/>
    <mergeCell ref="N316:N317"/>
    <mergeCell ref="F318:F319"/>
    <mergeCell ref="G318:G319"/>
    <mergeCell ref="H318:H319"/>
    <mergeCell ref="I318:I319"/>
    <mergeCell ref="J318:J319"/>
    <mergeCell ref="K318:K319"/>
    <mergeCell ref="L318:L319"/>
    <mergeCell ref="M318:M319"/>
    <mergeCell ref="M324:M325"/>
    <mergeCell ref="N324:N325"/>
    <mergeCell ref="F326:F327"/>
    <mergeCell ref="G326:G327"/>
    <mergeCell ref="H326:H327"/>
    <mergeCell ref="I326:I327"/>
    <mergeCell ref="J326:J327"/>
    <mergeCell ref="K326:K327"/>
    <mergeCell ref="L326:L327"/>
    <mergeCell ref="M326:M327"/>
    <mergeCell ref="L322:L323"/>
    <mergeCell ref="M322:M323"/>
    <mergeCell ref="N322:N323"/>
    <mergeCell ref="F324:F325"/>
    <mergeCell ref="G324:G325"/>
    <mergeCell ref="H324:H325"/>
    <mergeCell ref="I324:I325"/>
    <mergeCell ref="J324:J325"/>
    <mergeCell ref="K324:K325"/>
    <mergeCell ref="L324:L325"/>
    <mergeCell ref="F322:F323"/>
    <mergeCell ref="G322:G323"/>
    <mergeCell ref="H322:H323"/>
    <mergeCell ref="I322:I323"/>
    <mergeCell ref="J322:J323"/>
    <mergeCell ref="K322:K323"/>
    <mergeCell ref="C335:H335"/>
    <mergeCell ref="I335:K335"/>
    <mergeCell ref="L335:N335"/>
    <mergeCell ref="O335:O338"/>
    <mergeCell ref="F340:F341"/>
    <mergeCell ref="G340:G341"/>
    <mergeCell ref="H340:H341"/>
    <mergeCell ref="I340:I341"/>
    <mergeCell ref="J340:J341"/>
    <mergeCell ref="K340:K341"/>
    <mergeCell ref="C330:H331"/>
    <mergeCell ref="I330:O330"/>
    <mergeCell ref="I331:O331"/>
    <mergeCell ref="C332:O332"/>
    <mergeCell ref="C333:O333"/>
    <mergeCell ref="C334:O334"/>
    <mergeCell ref="N326:N327"/>
    <mergeCell ref="F328:F329"/>
    <mergeCell ref="G328:G329"/>
    <mergeCell ref="H328:H329"/>
    <mergeCell ref="I328:I329"/>
    <mergeCell ref="J328:J329"/>
    <mergeCell ref="K328:K329"/>
    <mergeCell ref="L328:L329"/>
    <mergeCell ref="M328:M329"/>
    <mergeCell ref="N328:N329"/>
    <mergeCell ref="M342:M343"/>
    <mergeCell ref="N342:N343"/>
    <mergeCell ref="F344:F345"/>
    <mergeCell ref="G344:G345"/>
    <mergeCell ref="H344:H345"/>
    <mergeCell ref="I344:I345"/>
    <mergeCell ref="J344:J345"/>
    <mergeCell ref="K344:K345"/>
    <mergeCell ref="L344:L345"/>
    <mergeCell ref="M344:M345"/>
    <mergeCell ref="L340:L341"/>
    <mergeCell ref="M340:M341"/>
    <mergeCell ref="N340:N341"/>
    <mergeCell ref="F342:F343"/>
    <mergeCell ref="G342:G343"/>
    <mergeCell ref="H342:H343"/>
    <mergeCell ref="I342:I343"/>
    <mergeCell ref="J342:J343"/>
    <mergeCell ref="K342:K343"/>
    <mergeCell ref="L342:L343"/>
    <mergeCell ref="L348:L349"/>
    <mergeCell ref="M348:M349"/>
    <mergeCell ref="N348:N349"/>
    <mergeCell ref="F350:F351"/>
    <mergeCell ref="G350:G351"/>
    <mergeCell ref="H350:H351"/>
    <mergeCell ref="I350:I351"/>
    <mergeCell ref="J350:J351"/>
    <mergeCell ref="K350:K351"/>
    <mergeCell ref="L350:L351"/>
    <mergeCell ref="F348:F349"/>
    <mergeCell ref="G348:G349"/>
    <mergeCell ref="H348:H349"/>
    <mergeCell ref="I348:I349"/>
    <mergeCell ref="J348:J349"/>
    <mergeCell ref="K348:K349"/>
    <mergeCell ref="N344:N345"/>
    <mergeCell ref="F346:F347"/>
    <mergeCell ref="G346:G347"/>
    <mergeCell ref="H346:H347"/>
    <mergeCell ref="I346:I347"/>
    <mergeCell ref="J346:J347"/>
    <mergeCell ref="K346:K347"/>
    <mergeCell ref="L346:L347"/>
    <mergeCell ref="M346:M347"/>
    <mergeCell ref="N346:N347"/>
    <mergeCell ref="N352:N353"/>
    <mergeCell ref="F354:F355"/>
    <mergeCell ref="G354:G355"/>
    <mergeCell ref="H354:H355"/>
    <mergeCell ref="I354:I355"/>
    <mergeCell ref="J354:J355"/>
    <mergeCell ref="K354:K355"/>
    <mergeCell ref="L354:L355"/>
    <mergeCell ref="M354:M355"/>
    <mergeCell ref="N354:N355"/>
    <mergeCell ref="M350:M351"/>
    <mergeCell ref="N350:N351"/>
    <mergeCell ref="F352:F353"/>
    <mergeCell ref="G352:G353"/>
    <mergeCell ref="H352:H353"/>
    <mergeCell ref="I352:I353"/>
    <mergeCell ref="J352:J353"/>
    <mergeCell ref="K352:K353"/>
    <mergeCell ref="L352:L353"/>
    <mergeCell ref="M352:M353"/>
    <mergeCell ref="M358:M359"/>
    <mergeCell ref="N358:N359"/>
    <mergeCell ref="F360:F361"/>
    <mergeCell ref="G360:G361"/>
    <mergeCell ref="H360:H361"/>
    <mergeCell ref="I360:I361"/>
    <mergeCell ref="J360:J361"/>
    <mergeCell ref="K360:K361"/>
    <mergeCell ref="L360:L361"/>
    <mergeCell ref="M360:M361"/>
    <mergeCell ref="L356:L357"/>
    <mergeCell ref="M356:M357"/>
    <mergeCell ref="N356:N357"/>
    <mergeCell ref="F358:F359"/>
    <mergeCell ref="G358:G359"/>
    <mergeCell ref="H358:H359"/>
    <mergeCell ref="I358:I359"/>
    <mergeCell ref="J358:J359"/>
    <mergeCell ref="K358:K359"/>
    <mergeCell ref="L358:L359"/>
    <mergeCell ref="F356:F357"/>
    <mergeCell ref="G356:G357"/>
    <mergeCell ref="H356:H357"/>
    <mergeCell ref="I356:I357"/>
    <mergeCell ref="J356:J357"/>
    <mergeCell ref="K356:K357"/>
    <mergeCell ref="L364:L365"/>
    <mergeCell ref="M364:M365"/>
    <mergeCell ref="N364:N365"/>
    <mergeCell ref="F366:F367"/>
    <mergeCell ref="G366:G367"/>
    <mergeCell ref="H366:H367"/>
    <mergeCell ref="I366:I367"/>
    <mergeCell ref="J366:J367"/>
    <mergeCell ref="K366:K367"/>
    <mergeCell ref="L366:L367"/>
    <mergeCell ref="F364:F365"/>
    <mergeCell ref="G364:G365"/>
    <mergeCell ref="H364:H365"/>
    <mergeCell ref="I364:I365"/>
    <mergeCell ref="J364:J365"/>
    <mergeCell ref="K364:K365"/>
    <mergeCell ref="N360:N361"/>
    <mergeCell ref="F362:F363"/>
    <mergeCell ref="G362:G363"/>
    <mergeCell ref="H362:H363"/>
    <mergeCell ref="I362:I363"/>
    <mergeCell ref="J362:J363"/>
    <mergeCell ref="K362:K363"/>
    <mergeCell ref="L362:L363"/>
    <mergeCell ref="M362:M363"/>
    <mergeCell ref="N362:N363"/>
    <mergeCell ref="N368:N369"/>
    <mergeCell ref="F370:F371"/>
    <mergeCell ref="G370:G371"/>
    <mergeCell ref="H370:H371"/>
    <mergeCell ref="I370:I371"/>
    <mergeCell ref="J370:J371"/>
    <mergeCell ref="K370:K371"/>
    <mergeCell ref="L370:L371"/>
    <mergeCell ref="M370:M371"/>
    <mergeCell ref="N370:N371"/>
    <mergeCell ref="M366:M367"/>
    <mergeCell ref="N366:N367"/>
    <mergeCell ref="F368:F369"/>
    <mergeCell ref="G368:G369"/>
    <mergeCell ref="H368:H369"/>
    <mergeCell ref="I368:I369"/>
    <mergeCell ref="J368:J369"/>
    <mergeCell ref="K368:K369"/>
    <mergeCell ref="L368:L369"/>
    <mergeCell ref="M368:M369"/>
    <mergeCell ref="M374:M375"/>
    <mergeCell ref="N374:N375"/>
    <mergeCell ref="F376:F377"/>
    <mergeCell ref="G376:G377"/>
    <mergeCell ref="H376:H377"/>
    <mergeCell ref="I376:I377"/>
    <mergeCell ref="J376:J377"/>
    <mergeCell ref="K376:K377"/>
    <mergeCell ref="L376:L377"/>
    <mergeCell ref="M376:M377"/>
    <mergeCell ref="L372:L373"/>
    <mergeCell ref="M372:M373"/>
    <mergeCell ref="N372:N373"/>
    <mergeCell ref="F374:F375"/>
    <mergeCell ref="G374:G375"/>
    <mergeCell ref="H374:H375"/>
    <mergeCell ref="I374:I375"/>
    <mergeCell ref="J374:J375"/>
    <mergeCell ref="K374:K375"/>
    <mergeCell ref="L374:L375"/>
    <mergeCell ref="F372:F373"/>
    <mergeCell ref="G372:G373"/>
    <mergeCell ref="H372:H373"/>
    <mergeCell ref="I372:I373"/>
    <mergeCell ref="J372:J373"/>
    <mergeCell ref="K372:K373"/>
    <mergeCell ref="C380:J381"/>
    <mergeCell ref="K380:O380"/>
    <mergeCell ref="K381:O381"/>
    <mergeCell ref="C382:H382"/>
    <mergeCell ref="I382:K382"/>
    <mergeCell ref="L382:N382"/>
    <mergeCell ref="O382:O385"/>
    <mergeCell ref="N376:N377"/>
    <mergeCell ref="F378:F379"/>
    <mergeCell ref="G378:G379"/>
    <mergeCell ref="H378:H379"/>
    <mergeCell ref="I378:I379"/>
    <mergeCell ref="J378:J379"/>
    <mergeCell ref="K378:K379"/>
    <mergeCell ref="L378:L379"/>
    <mergeCell ref="M378:M379"/>
    <mergeCell ref="N378:N379"/>
    <mergeCell ref="M388:M389"/>
    <mergeCell ref="N388:N389"/>
    <mergeCell ref="F390:F391"/>
    <mergeCell ref="G390:G391"/>
    <mergeCell ref="H390:H391"/>
    <mergeCell ref="I390:I391"/>
    <mergeCell ref="J390:J391"/>
    <mergeCell ref="K390:K391"/>
    <mergeCell ref="L390:L391"/>
    <mergeCell ref="M390:M391"/>
    <mergeCell ref="L386:L387"/>
    <mergeCell ref="M386:M387"/>
    <mergeCell ref="N386:N387"/>
    <mergeCell ref="F388:F389"/>
    <mergeCell ref="G388:G389"/>
    <mergeCell ref="H388:H389"/>
    <mergeCell ref="I388:I389"/>
    <mergeCell ref="J388:J389"/>
    <mergeCell ref="K388:K389"/>
    <mergeCell ref="L388:L389"/>
    <mergeCell ref="F386:F387"/>
    <mergeCell ref="G386:G387"/>
    <mergeCell ref="H386:H387"/>
    <mergeCell ref="I386:I387"/>
    <mergeCell ref="J386:J387"/>
    <mergeCell ref="K386:K387"/>
    <mergeCell ref="L394:L395"/>
    <mergeCell ref="M394:M395"/>
    <mergeCell ref="N394:N395"/>
    <mergeCell ref="F396:F397"/>
    <mergeCell ref="G396:G397"/>
    <mergeCell ref="H396:H397"/>
    <mergeCell ref="I396:I397"/>
    <mergeCell ref="J396:J397"/>
    <mergeCell ref="K396:K397"/>
    <mergeCell ref="L396:L397"/>
    <mergeCell ref="F394:F395"/>
    <mergeCell ref="G394:G395"/>
    <mergeCell ref="H394:H395"/>
    <mergeCell ref="I394:I395"/>
    <mergeCell ref="J394:J395"/>
    <mergeCell ref="K394:K395"/>
    <mergeCell ref="N390:N391"/>
    <mergeCell ref="F392:F393"/>
    <mergeCell ref="G392:G393"/>
    <mergeCell ref="H392:H393"/>
    <mergeCell ref="I392:I393"/>
    <mergeCell ref="J392:J393"/>
    <mergeCell ref="K392:K393"/>
    <mergeCell ref="L392:L393"/>
    <mergeCell ref="M392:M393"/>
    <mergeCell ref="N392:N393"/>
    <mergeCell ref="N398:N399"/>
    <mergeCell ref="F400:F401"/>
    <mergeCell ref="G400:G401"/>
    <mergeCell ref="H400:H401"/>
    <mergeCell ref="I400:I401"/>
    <mergeCell ref="J400:J401"/>
    <mergeCell ref="K400:K401"/>
    <mergeCell ref="L400:L401"/>
    <mergeCell ref="M400:M401"/>
    <mergeCell ref="N400:N401"/>
    <mergeCell ref="M396:M397"/>
    <mergeCell ref="N396:N397"/>
    <mergeCell ref="F398:F399"/>
    <mergeCell ref="G398:G399"/>
    <mergeCell ref="H398:H399"/>
    <mergeCell ref="I398:I399"/>
    <mergeCell ref="J398:J399"/>
    <mergeCell ref="K398:K399"/>
    <mergeCell ref="L398:L399"/>
    <mergeCell ref="M398:M399"/>
    <mergeCell ref="M404:M405"/>
    <mergeCell ref="N404:N405"/>
    <mergeCell ref="F406:F407"/>
    <mergeCell ref="G406:G407"/>
    <mergeCell ref="H406:H407"/>
    <mergeCell ref="I406:I407"/>
    <mergeCell ref="J406:J407"/>
    <mergeCell ref="K406:K407"/>
    <mergeCell ref="L406:L407"/>
    <mergeCell ref="M406:M407"/>
    <mergeCell ref="L402:L403"/>
    <mergeCell ref="M402:M403"/>
    <mergeCell ref="N402:N403"/>
    <mergeCell ref="F404:F405"/>
    <mergeCell ref="G404:G405"/>
    <mergeCell ref="H404:H405"/>
    <mergeCell ref="I404:I405"/>
    <mergeCell ref="J404:J405"/>
    <mergeCell ref="K404:K405"/>
    <mergeCell ref="L404:L405"/>
    <mergeCell ref="F402:F403"/>
    <mergeCell ref="G402:G403"/>
    <mergeCell ref="H402:H403"/>
    <mergeCell ref="I402:I403"/>
    <mergeCell ref="J402:J403"/>
    <mergeCell ref="K402:K403"/>
    <mergeCell ref="L410:L411"/>
    <mergeCell ref="M410:M411"/>
    <mergeCell ref="N410:N411"/>
    <mergeCell ref="F412:F413"/>
    <mergeCell ref="G412:G413"/>
    <mergeCell ref="H412:H413"/>
    <mergeCell ref="I412:I413"/>
    <mergeCell ref="J412:J413"/>
    <mergeCell ref="K412:K413"/>
    <mergeCell ref="L412:L413"/>
    <mergeCell ref="F410:F411"/>
    <mergeCell ref="G410:G411"/>
    <mergeCell ref="H410:H411"/>
    <mergeCell ref="I410:I411"/>
    <mergeCell ref="J410:J411"/>
    <mergeCell ref="K410:K411"/>
    <mergeCell ref="N406:N407"/>
    <mergeCell ref="F408:F409"/>
    <mergeCell ref="G408:G409"/>
    <mergeCell ref="H408:H409"/>
    <mergeCell ref="I408:I409"/>
    <mergeCell ref="J408:J409"/>
    <mergeCell ref="K408:K409"/>
    <mergeCell ref="L408:L409"/>
    <mergeCell ref="M408:M409"/>
    <mergeCell ref="N408:N409"/>
    <mergeCell ref="N414:N415"/>
    <mergeCell ref="F416:F417"/>
    <mergeCell ref="G416:G417"/>
    <mergeCell ref="H416:H417"/>
    <mergeCell ref="I416:I417"/>
    <mergeCell ref="J416:J417"/>
    <mergeCell ref="K416:K417"/>
    <mergeCell ref="L416:L417"/>
    <mergeCell ref="M416:M417"/>
    <mergeCell ref="N416:N417"/>
    <mergeCell ref="M412:M413"/>
    <mergeCell ref="N412:N413"/>
    <mergeCell ref="F414:F415"/>
    <mergeCell ref="G414:G415"/>
    <mergeCell ref="H414:H415"/>
    <mergeCell ref="I414:I415"/>
    <mergeCell ref="J414:J415"/>
    <mergeCell ref="K414:K415"/>
    <mergeCell ref="L414:L415"/>
    <mergeCell ref="M414:M415"/>
    <mergeCell ref="M420:M421"/>
    <mergeCell ref="N420:N421"/>
    <mergeCell ref="F422:F423"/>
    <mergeCell ref="G422:G423"/>
    <mergeCell ref="H422:H423"/>
    <mergeCell ref="I422:I423"/>
    <mergeCell ref="J422:J423"/>
    <mergeCell ref="K422:K423"/>
    <mergeCell ref="L422:L423"/>
    <mergeCell ref="M422:M423"/>
    <mergeCell ref="L418:L419"/>
    <mergeCell ref="M418:M419"/>
    <mergeCell ref="N418:N419"/>
    <mergeCell ref="F420:F421"/>
    <mergeCell ref="G420:G421"/>
    <mergeCell ref="H420:H421"/>
    <mergeCell ref="I420:I421"/>
    <mergeCell ref="J420:J421"/>
    <mergeCell ref="K420:K421"/>
    <mergeCell ref="L420:L421"/>
    <mergeCell ref="F418:F419"/>
    <mergeCell ref="G418:G419"/>
    <mergeCell ref="H418:H419"/>
    <mergeCell ref="I418:I419"/>
    <mergeCell ref="J418:J419"/>
    <mergeCell ref="K418:K419"/>
    <mergeCell ref="L430:L431"/>
    <mergeCell ref="M430:M431"/>
    <mergeCell ref="N430:N431"/>
    <mergeCell ref="F432:F433"/>
    <mergeCell ref="G432:G433"/>
    <mergeCell ref="H432:H433"/>
    <mergeCell ref="I432:I433"/>
    <mergeCell ref="J432:J433"/>
    <mergeCell ref="K432:K433"/>
    <mergeCell ref="L432:L433"/>
    <mergeCell ref="F430:F431"/>
    <mergeCell ref="G430:G431"/>
    <mergeCell ref="H430:H431"/>
    <mergeCell ref="I430:I431"/>
    <mergeCell ref="J430:J431"/>
    <mergeCell ref="K430:K431"/>
    <mergeCell ref="N422:N423"/>
    <mergeCell ref="C424:J425"/>
    <mergeCell ref="K424:O424"/>
    <mergeCell ref="K425:O425"/>
    <mergeCell ref="C426:H426"/>
    <mergeCell ref="I426:K426"/>
    <mergeCell ref="L426:N426"/>
    <mergeCell ref="O426:O429"/>
    <mergeCell ref="N434:N435"/>
    <mergeCell ref="F436:F437"/>
    <mergeCell ref="G436:G437"/>
    <mergeCell ref="H436:H437"/>
    <mergeCell ref="I436:I437"/>
    <mergeCell ref="J436:J437"/>
    <mergeCell ref="K436:K437"/>
    <mergeCell ref="L436:L437"/>
    <mergeCell ref="M436:M437"/>
    <mergeCell ref="N436:N437"/>
    <mergeCell ref="M432:M433"/>
    <mergeCell ref="N432:N433"/>
    <mergeCell ref="F434:F435"/>
    <mergeCell ref="G434:G435"/>
    <mergeCell ref="H434:H435"/>
    <mergeCell ref="I434:I435"/>
    <mergeCell ref="J434:J435"/>
    <mergeCell ref="K434:K435"/>
    <mergeCell ref="L434:L435"/>
    <mergeCell ref="M434:M435"/>
    <mergeCell ref="M440:M441"/>
    <mergeCell ref="N440:N441"/>
    <mergeCell ref="F442:F443"/>
    <mergeCell ref="G442:G443"/>
    <mergeCell ref="H442:H443"/>
    <mergeCell ref="I442:I443"/>
    <mergeCell ref="J442:J443"/>
    <mergeCell ref="K442:K443"/>
    <mergeCell ref="L442:L443"/>
    <mergeCell ref="M442:M443"/>
    <mergeCell ref="L438:L439"/>
    <mergeCell ref="M438:M439"/>
    <mergeCell ref="N438:N439"/>
    <mergeCell ref="F440:F441"/>
    <mergeCell ref="G440:G441"/>
    <mergeCell ref="H440:H441"/>
    <mergeCell ref="I440:I441"/>
    <mergeCell ref="J440:J441"/>
    <mergeCell ref="K440:K441"/>
    <mergeCell ref="L440:L441"/>
    <mergeCell ref="F438:F439"/>
    <mergeCell ref="G438:G439"/>
    <mergeCell ref="H438:H439"/>
    <mergeCell ref="I438:I439"/>
    <mergeCell ref="J438:J439"/>
    <mergeCell ref="K438:K439"/>
    <mergeCell ref="L446:L447"/>
    <mergeCell ref="M446:M447"/>
    <mergeCell ref="N446:N447"/>
    <mergeCell ref="F448:F449"/>
    <mergeCell ref="G448:G449"/>
    <mergeCell ref="H448:H449"/>
    <mergeCell ref="I448:I449"/>
    <mergeCell ref="J448:J449"/>
    <mergeCell ref="K448:K449"/>
    <mergeCell ref="L448:L449"/>
    <mergeCell ref="F446:F447"/>
    <mergeCell ref="G446:G447"/>
    <mergeCell ref="H446:H447"/>
    <mergeCell ref="I446:I447"/>
    <mergeCell ref="J446:J447"/>
    <mergeCell ref="K446:K447"/>
    <mergeCell ref="N442:N443"/>
    <mergeCell ref="F444:F445"/>
    <mergeCell ref="G444:G445"/>
    <mergeCell ref="H444:H445"/>
    <mergeCell ref="I444:I445"/>
    <mergeCell ref="J444:J445"/>
    <mergeCell ref="K444:K445"/>
    <mergeCell ref="L444:L445"/>
    <mergeCell ref="M444:M445"/>
    <mergeCell ref="N444:N445"/>
    <mergeCell ref="N450:N451"/>
    <mergeCell ref="F452:F453"/>
    <mergeCell ref="G452:G453"/>
    <mergeCell ref="H452:H453"/>
    <mergeCell ref="I452:I453"/>
    <mergeCell ref="J452:J453"/>
    <mergeCell ref="K452:K453"/>
    <mergeCell ref="L452:L453"/>
    <mergeCell ref="M452:M453"/>
    <mergeCell ref="N452:N453"/>
    <mergeCell ref="M448:M449"/>
    <mergeCell ref="N448:N449"/>
    <mergeCell ref="F450:F451"/>
    <mergeCell ref="G450:G451"/>
    <mergeCell ref="H450:H451"/>
    <mergeCell ref="I450:I451"/>
    <mergeCell ref="J450:J451"/>
    <mergeCell ref="K450:K451"/>
    <mergeCell ref="L450:L451"/>
    <mergeCell ref="M450:M451"/>
    <mergeCell ref="M456:M457"/>
    <mergeCell ref="N456:N457"/>
    <mergeCell ref="F458:F459"/>
    <mergeCell ref="G458:G459"/>
    <mergeCell ref="H458:H459"/>
    <mergeCell ref="I458:I459"/>
    <mergeCell ref="J458:J459"/>
    <mergeCell ref="K458:K459"/>
    <mergeCell ref="L458:L459"/>
    <mergeCell ref="M458:M459"/>
    <mergeCell ref="L454:L455"/>
    <mergeCell ref="M454:M455"/>
    <mergeCell ref="N454:N455"/>
    <mergeCell ref="F456:F457"/>
    <mergeCell ref="G456:G457"/>
    <mergeCell ref="H456:H457"/>
    <mergeCell ref="I456:I457"/>
    <mergeCell ref="J456:J457"/>
    <mergeCell ref="K456:K457"/>
    <mergeCell ref="L456:L457"/>
    <mergeCell ref="F454:F455"/>
    <mergeCell ref="G454:G455"/>
    <mergeCell ref="H454:H455"/>
    <mergeCell ref="I454:I455"/>
    <mergeCell ref="J454:J455"/>
    <mergeCell ref="K454:K455"/>
    <mergeCell ref="L462:L463"/>
    <mergeCell ref="M462:M463"/>
    <mergeCell ref="N462:N463"/>
    <mergeCell ref="F464:F465"/>
    <mergeCell ref="G464:G465"/>
    <mergeCell ref="H464:H465"/>
    <mergeCell ref="I464:I465"/>
    <mergeCell ref="J464:J465"/>
    <mergeCell ref="K464:K465"/>
    <mergeCell ref="L464:L465"/>
    <mergeCell ref="F462:F463"/>
    <mergeCell ref="G462:G463"/>
    <mergeCell ref="H462:H463"/>
    <mergeCell ref="I462:I463"/>
    <mergeCell ref="J462:J463"/>
    <mergeCell ref="K462:K463"/>
    <mergeCell ref="N458:N459"/>
    <mergeCell ref="F460:F461"/>
    <mergeCell ref="G460:G461"/>
    <mergeCell ref="H460:H461"/>
    <mergeCell ref="I460:I461"/>
    <mergeCell ref="J460:J461"/>
    <mergeCell ref="K460:K461"/>
    <mergeCell ref="L460:L461"/>
    <mergeCell ref="M460:M461"/>
    <mergeCell ref="N460:N461"/>
    <mergeCell ref="N466:N467"/>
    <mergeCell ref="F468:F469"/>
    <mergeCell ref="G468:G469"/>
    <mergeCell ref="H468:H469"/>
    <mergeCell ref="I468:I469"/>
    <mergeCell ref="J468:J469"/>
    <mergeCell ref="K468:K469"/>
    <mergeCell ref="L468:L469"/>
    <mergeCell ref="M468:M469"/>
    <mergeCell ref="N468:N469"/>
    <mergeCell ref="M464:M465"/>
    <mergeCell ref="N464:N465"/>
    <mergeCell ref="F466:F467"/>
    <mergeCell ref="G466:G467"/>
    <mergeCell ref="H466:H467"/>
    <mergeCell ref="I466:I467"/>
    <mergeCell ref="J466:J467"/>
    <mergeCell ref="K466:K467"/>
    <mergeCell ref="L466:L467"/>
    <mergeCell ref="M466:M467"/>
    <mergeCell ref="L476:L477"/>
    <mergeCell ref="M476:M477"/>
    <mergeCell ref="N476:N477"/>
    <mergeCell ref="F478:F479"/>
    <mergeCell ref="G478:G479"/>
    <mergeCell ref="H478:H479"/>
    <mergeCell ref="I478:I479"/>
    <mergeCell ref="J478:J479"/>
    <mergeCell ref="K478:K479"/>
    <mergeCell ref="L478:L479"/>
    <mergeCell ref="F476:F477"/>
    <mergeCell ref="G476:G477"/>
    <mergeCell ref="H476:H477"/>
    <mergeCell ref="I476:I477"/>
    <mergeCell ref="J476:J477"/>
    <mergeCell ref="K476:K477"/>
    <mergeCell ref="C470:J471"/>
    <mergeCell ref="K470:O470"/>
    <mergeCell ref="K471:O471"/>
    <mergeCell ref="C472:H472"/>
    <mergeCell ref="I472:K472"/>
    <mergeCell ref="L472:N472"/>
    <mergeCell ref="O472:O475"/>
    <mergeCell ref="N480:N481"/>
    <mergeCell ref="F482:F483"/>
    <mergeCell ref="G482:G483"/>
    <mergeCell ref="H482:H483"/>
    <mergeCell ref="I482:I483"/>
    <mergeCell ref="J482:J483"/>
    <mergeCell ref="K482:K483"/>
    <mergeCell ref="L482:L483"/>
    <mergeCell ref="M482:M483"/>
    <mergeCell ref="N482:N483"/>
    <mergeCell ref="M478:M479"/>
    <mergeCell ref="N478:N479"/>
    <mergeCell ref="F480:F481"/>
    <mergeCell ref="G480:G481"/>
    <mergeCell ref="H480:H481"/>
    <mergeCell ref="I480:I481"/>
    <mergeCell ref="J480:J481"/>
    <mergeCell ref="K480:K481"/>
    <mergeCell ref="L480:L481"/>
    <mergeCell ref="M480:M481"/>
    <mergeCell ref="M486:M487"/>
    <mergeCell ref="N486:N487"/>
    <mergeCell ref="F488:F489"/>
    <mergeCell ref="G488:G489"/>
    <mergeCell ref="H488:H489"/>
    <mergeCell ref="I488:I489"/>
    <mergeCell ref="J488:J489"/>
    <mergeCell ref="K488:K489"/>
    <mergeCell ref="L488:L489"/>
    <mergeCell ref="M488:M489"/>
    <mergeCell ref="L484:L485"/>
    <mergeCell ref="M484:M485"/>
    <mergeCell ref="N484:N485"/>
    <mergeCell ref="F486:F487"/>
    <mergeCell ref="G486:G487"/>
    <mergeCell ref="H486:H487"/>
    <mergeCell ref="I486:I487"/>
    <mergeCell ref="J486:J487"/>
    <mergeCell ref="K486:K487"/>
    <mergeCell ref="L486:L487"/>
    <mergeCell ref="F484:F485"/>
    <mergeCell ref="G484:G485"/>
    <mergeCell ref="H484:H485"/>
    <mergeCell ref="I484:I485"/>
    <mergeCell ref="J484:J485"/>
    <mergeCell ref="K484:K485"/>
    <mergeCell ref="L492:L493"/>
    <mergeCell ref="M492:M493"/>
    <mergeCell ref="N492:N493"/>
    <mergeCell ref="F494:F495"/>
    <mergeCell ref="G494:G495"/>
    <mergeCell ref="H494:H495"/>
    <mergeCell ref="I494:I495"/>
    <mergeCell ref="J494:J495"/>
    <mergeCell ref="K494:K495"/>
    <mergeCell ref="L494:L495"/>
    <mergeCell ref="F492:F493"/>
    <mergeCell ref="G492:G493"/>
    <mergeCell ref="H492:H493"/>
    <mergeCell ref="I492:I493"/>
    <mergeCell ref="J492:J493"/>
    <mergeCell ref="K492:K493"/>
    <mergeCell ref="N488:N489"/>
    <mergeCell ref="F490:F491"/>
    <mergeCell ref="G490:G491"/>
    <mergeCell ref="H490:H491"/>
    <mergeCell ref="I490:I491"/>
    <mergeCell ref="J490:J491"/>
    <mergeCell ref="K490:K491"/>
    <mergeCell ref="L490:L491"/>
    <mergeCell ref="M490:M491"/>
    <mergeCell ref="N490:N491"/>
    <mergeCell ref="N496:N497"/>
    <mergeCell ref="F498:F499"/>
    <mergeCell ref="G498:G499"/>
    <mergeCell ref="H498:H499"/>
    <mergeCell ref="I498:I499"/>
    <mergeCell ref="J498:J499"/>
    <mergeCell ref="K498:K499"/>
    <mergeCell ref="L498:L499"/>
    <mergeCell ref="M498:M499"/>
    <mergeCell ref="N498:N499"/>
    <mergeCell ref="M494:M495"/>
    <mergeCell ref="N494:N495"/>
    <mergeCell ref="F496:F497"/>
    <mergeCell ref="G496:G497"/>
    <mergeCell ref="H496:H497"/>
    <mergeCell ref="I496:I497"/>
    <mergeCell ref="J496:J497"/>
    <mergeCell ref="K496:K497"/>
    <mergeCell ref="L496:L497"/>
    <mergeCell ref="M496:M497"/>
    <mergeCell ref="M502:M503"/>
    <mergeCell ref="N502:N503"/>
    <mergeCell ref="F504:F505"/>
    <mergeCell ref="G504:G505"/>
    <mergeCell ref="H504:H505"/>
    <mergeCell ref="I504:I505"/>
    <mergeCell ref="J504:J505"/>
    <mergeCell ref="K504:K505"/>
    <mergeCell ref="L504:L505"/>
    <mergeCell ref="M504:M505"/>
    <mergeCell ref="L500:L501"/>
    <mergeCell ref="M500:M501"/>
    <mergeCell ref="N500:N501"/>
    <mergeCell ref="F502:F503"/>
    <mergeCell ref="G502:G503"/>
    <mergeCell ref="H502:H503"/>
    <mergeCell ref="I502:I503"/>
    <mergeCell ref="J502:J503"/>
    <mergeCell ref="K502:K503"/>
    <mergeCell ref="L502:L503"/>
    <mergeCell ref="F500:F501"/>
    <mergeCell ref="G500:G501"/>
    <mergeCell ref="H500:H501"/>
    <mergeCell ref="I500:I501"/>
    <mergeCell ref="J500:J501"/>
    <mergeCell ref="K500:K501"/>
    <mergeCell ref="C512:J513"/>
    <mergeCell ref="K512:O512"/>
    <mergeCell ref="K513:O513"/>
    <mergeCell ref="L508:L509"/>
    <mergeCell ref="M508:M509"/>
    <mergeCell ref="N508:N509"/>
    <mergeCell ref="C510:H511"/>
    <mergeCell ref="I510:O510"/>
    <mergeCell ref="I511:O511"/>
    <mergeCell ref="F508:F509"/>
    <mergeCell ref="G508:G509"/>
    <mergeCell ref="H508:H509"/>
    <mergeCell ref="I508:I509"/>
    <mergeCell ref="J508:J509"/>
    <mergeCell ref="K508:K509"/>
    <mergeCell ref="N504:N505"/>
    <mergeCell ref="F506:F507"/>
    <mergeCell ref="G506:G507"/>
    <mergeCell ref="H506:H507"/>
    <mergeCell ref="I506:I507"/>
    <mergeCell ref="J506:J507"/>
    <mergeCell ref="K506:K507"/>
    <mergeCell ref="L506:L507"/>
    <mergeCell ref="M506:M507"/>
    <mergeCell ref="N506:N507"/>
  </mergeCells>
  <printOptions horizontalCentered="1"/>
  <pageMargins left="0.34" right="0" top="0.06" bottom="0.6" header="0.03" footer="0.39370078740157499"/>
  <pageSetup paperSize="9" scale="83" orientation="landscape" r:id="rId1"/>
  <headerFooter>
    <oddFooter>&amp;L&amp;"Times New Roman,Regular"&amp;10    Afghanistan Statistical Yearbook 2022-23&amp;R&amp;"Times New Roman,Regular"&amp;10          د ۱۴۰۱ احصایيوي کالنۍ  /سالنامه احصائیوی ۱۴۰۱</oddFooter>
  </headerFooter>
  <rowBreaks count="3" manualBreakCount="3">
    <brk id="93" min="11" max="15" man="1"/>
    <brk id="164" min="11" max="15" man="1"/>
    <brk id="189" min="11" max="15" man="1"/>
  </row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0"/>
  </sheetPr>
  <dimension ref="A1:AN582"/>
  <sheetViews>
    <sheetView view="pageBreakPreview" topLeftCell="A3" zoomScale="136" zoomScaleNormal="70" zoomScaleSheetLayoutView="136" workbookViewId="0">
      <selection activeCell="A3" sqref="A3:P3"/>
    </sheetView>
  </sheetViews>
  <sheetFormatPr baseColWidth="10" defaultColWidth="9.1640625" defaultRowHeight="15"/>
  <cols>
    <col min="1" max="1" width="4.5" style="11" customWidth="1"/>
    <col min="2" max="2" width="26.33203125" style="523" customWidth="1"/>
    <col min="3" max="3" width="7.5" style="523" customWidth="1"/>
    <col min="4" max="4" width="6.1640625" style="523" customWidth="1"/>
    <col min="5" max="5" width="11.1640625" style="523" customWidth="1"/>
    <col min="6" max="6" width="8.83203125" style="523" customWidth="1"/>
    <col min="7" max="7" width="6.6640625" style="523" customWidth="1"/>
    <col min="8" max="8" width="11.5" style="523" customWidth="1"/>
    <col min="9" max="9" width="7.5" style="523" customWidth="1"/>
    <col min="10" max="10" width="8" style="523" customWidth="1"/>
    <col min="11" max="11" width="10.1640625" style="523" customWidth="1"/>
    <col min="12" max="12" width="7.5" style="523" customWidth="1"/>
    <col min="13" max="13" width="8.33203125" style="523" customWidth="1"/>
    <col min="14" max="14" width="11.1640625" style="523" customWidth="1"/>
    <col min="15" max="15" width="36.6640625" style="523" customWidth="1"/>
    <col min="16" max="16" width="4.33203125" style="591" customWidth="1"/>
    <col min="17" max="17" width="11" style="11" customWidth="1"/>
    <col min="18" max="18" width="11" customWidth="1"/>
    <col min="20" max="20" width="16.5" style="11" bestFit="1" customWidth="1"/>
    <col min="21" max="21" width="13" style="11" bestFit="1" customWidth="1"/>
    <col min="22" max="16384" width="9.1640625" style="11"/>
  </cols>
  <sheetData>
    <row r="1" spans="1:24" ht="18" hidden="1" customHeight="1">
      <c r="A1" s="1418" t="s">
        <v>2227</v>
      </c>
      <c r="B1" s="1418"/>
      <c r="C1" s="1418"/>
      <c r="D1" s="1418"/>
      <c r="E1" s="1418"/>
      <c r="F1" s="1418"/>
      <c r="G1" s="1418"/>
      <c r="H1" s="1418"/>
      <c r="I1" s="1418"/>
      <c r="J1" s="1418"/>
      <c r="K1" s="1418"/>
      <c r="L1" s="1418"/>
      <c r="M1" s="1418"/>
      <c r="N1" s="1418"/>
      <c r="O1" s="1418"/>
      <c r="P1" s="1418"/>
    </row>
    <row r="2" spans="1:24" ht="18" hidden="1" customHeight="1">
      <c r="A2" s="1477" t="s">
        <v>2228</v>
      </c>
      <c r="B2" s="1477"/>
      <c r="C2" s="1477"/>
      <c r="D2" s="1477"/>
      <c r="E2" s="1477"/>
      <c r="F2" s="1477"/>
      <c r="G2" s="1477"/>
      <c r="H2" s="1477"/>
      <c r="I2" s="1477"/>
      <c r="J2" s="1477"/>
      <c r="K2" s="1477"/>
      <c r="L2" s="1477"/>
      <c r="M2" s="1477"/>
      <c r="N2" s="1477"/>
      <c r="O2" s="1477"/>
      <c r="P2" s="1477"/>
      <c r="Q2"/>
      <c r="T2"/>
      <c r="U2"/>
      <c r="V2"/>
      <c r="W2"/>
      <c r="X2"/>
    </row>
    <row r="3" spans="1:24" ht="18" customHeight="1">
      <c r="A3" s="1518" t="s">
        <v>2229</v>
      </c>
      <c r="B3" s="1518"/>
      <c r="C3" s="1518"/>
      <c r="D3" s="1518"/>
      <c r="E3" s="1518"/>
      <c r="F3" s="1518"/>
      <c r="G3" s="1518"/>
      <c r="H3" s="1518"/>
      <c r="I3" s="1518"/>
      <c r="J3" s="1518"/>
      <c r="K3" s="1518"/>
      <c r="L3" s="1518"/>
      <c r="M3" s="1518"/>
      <c r="N3" s="1518"/>
      <c r="O3" s="1518"/>
      <c r="P3" s="1518"/>
      <c r="Q3"/>
      <c r="T3"/>
      <c r="U3"/>
      <c r="V3"/>
      <c r="W3"/>
      <c r="X3"/>
    </row>
    <row r="4" spans="1:24" ht="18" customHeight="1">
      <c r="A4" s="1465" t="s">
        <v>621</v>
      </c>
      <c r="B4" s="1468" t="s">
        <v>1221</v>
      </c>
      <c r="C4" s="1320" t="s">
        <v>1307</v>
      </c>
      <c r="D4" s="1470"/>
      <c r="E4" s="1449"/>
      <c r="F4" s="1320" t="s">
        <v>1219</v>
      </c>
      <c r="G4" s="1470"/>
      <c r="H4" s="1449"/>
      <c r="I4" s="1320" t="s">
        <v>1218</v>
      </c>
      <c r="J4" s="1470"/>
      <c r="K4" s="1449"/>
      <c r="L4" s="1320" t="s">
        <v>79</v>
      </c>
      <c r="M4" s="1470"/>
      <c r="N4" s="1449"/>
      <c r="O4" s="1438" t="s">
        <v>1975</v>
      </c>
      <c r="P4" s="1471" t="s">
        <v>727</v>
      </c>
      <c r="Q4"/>
      <c r="T4"/>
      <c r="U4"/>
      <c r="V4"/>
      <c r="W4"/>
      <c r="X4"/>
    </row>
    <row r="5" spans="1:24" ht="18" customHeight="1">
      <c r="A5" s="1466"/>
      <c r="B5" s="1468"/>
      <c r="C5" s="1280"/>
      <c r="D5" s="1474"/>
      <c r="E5" s="1475"/>
      <c r="F5" s="1280"/>
      <c r="G5" s="1474"/>
      <c r="H5" s="1475"/>
      <c r="I5" s="1280"/>
      <c r="J5" s="1474"/>
      <c r="K5" s="1475"/>
      <c r="L5" s="1280"/>
      <c r="M5" s="1474"/>
      <c r="N5" s="1475"/>
      <c r="O5" s="1439"/>
      <c r="P5" s="1472"/>
      <c r="Q5"/>
      <c r="T5"/>
      <c r="U5"/>
      <c r="V5"/>
      <c r="W5"/>
      <c r="X5"/>
    </row>
    <row r="6" spans="1:24" ht="18" customHeight="1">
      <c r="A6" s="1466"/>
      <c r="B6" s="1468"/>
      <c r="C6" s="1281" t="s">
        <v>138</v>
      </c>
      <c r="D6" s="1476"/>
      <c r="E6" s="1450"/>
      <c r="F6" s="1281" t="s">
        <v>1186</v>
      </c>
      <c r="G6" s="1476"/>
      <c r="H6" s="1450"/>
      <c r="I6" s="1281" t="s">
        <v>587</v>
      </c>
      <c r="J6" s="1476"/>
      <c r="K6" s="1450"/>
      <c r="L6" s="1281" t="s">
        <v>137</v>
      </c>
      <c r="M6" s="1476"/>
      <c r="N6" s="1450"/>
      <c r="O6" s="1439"/>
      <c r="P6" s="1472"/>
      <c r="Q6"/>
      <c r="T6" s="3" t="s">
        <v>993</v>
      </c>
      <c r="U6"/>
      <c r="V6"/>
      <c r="W6"/>
      <c r="X6"/>
    </row>
    <row r="7" spans="1:24" ht="18" customHeight="1">
      <c r="A7" s="1466"/>
      <c r="B7" s="1469"/>
      <c r="C7" s="1382" t="s">
        <v>583</v>
      </c>
      <c r="D7" s="1382" t="s">
        <v>581</v>
      </c>
      <c r="E7" s="1449" t="s">
        <v>489</v>
      </c>
      <c r="F7" s="1382" t="s">
        <v>583</v>
      </c>
      <c r="G7" s="1382" t="s">
        <v>581</v>
      </c>
      <c r="H7" s="1449" t="s">
        <v>489</v>
      </c>
      <c r="I7" s="1382" t="s">
        <v>583</v>
      </c>
      <c r="J7" s="1382" t="s">
        <v>581</v>
      </c>
      <c r="K7" s="1449" t="s">
        <v>489</v>
      </c>
      <c r="L7" s="1382" t="s">
        <v>583</v>
      </c>
      <c r="M7" s="1382" t="s">
        <v>581</v>
      </c>
      <c r="N7" s="1449" t="s">
        <v>489</v>
      </c>
      <c r="O7" s="1439"/>
      <c r="P7" s="1472"/>
      <c r="Q7"/>
      <c r="T7"/>
      <c r="U7"/>
      <c r="V7"/>
      <c r="W7"/>
      <c r="X7"/>
    </row>
    <row r="8" spans="1:24" ht="18" customHeight="1">
      <c r="A8" s="1466"/>
      <c r="B8" s="1469"/>
      <c r="C8" s="1384"/>
      <c r="D8" s="1384"/>
      <c r="E8" s="1450"/>
      <c r="F8" s="1384"/>
      <c r="G8" s="1384"/>
      <c r="H8" s="1450"/>
      <c r="I8" s="1384"/>
      <c r="J8" s="1384"/>
      <c r="K8" s="1450"/>
      <c r="L8" s="1384"/>
      <c r="M8" s="1384"/>
      <c r="N8" s="1450"/>
      <c r="O8" s="1439"/>
      <c r="P8" s="1472"/>
      <c r="Q8"/>
      <c r="T8"/>
      <c r="U8"/>
      <c r="V8"/>
      <c r="W8"/>
      <c r="X8"/>
    </row>
    <row r="9" spans="1:24" ht="18" customHeight="1">
      <c r="A9" s="1467"/>
      <c r="B9" s="1469"/>
      <c r="C9" s="1206" t="s">
        <v>133</v>
      </c>
      <c r="D9" s="1206" t="s">
        <v>134</v>
      </c>
      <c r="E9" s="893" t="s">
        <v>100</v>
      </c>
      <c r="F9" s="1206" t="s">
        <v>133</v>
      </c>
      <c r="G9" s="1206" t="s">
        <v>134</v>
      </c>
      <c r="H9" s="893" t="s">
        <v>100</v>
      </c>
      <c r="I9" s="1206" t="s">
        <v>133</v>
      </c>
      <c r="J9" s="1206" t="s">
        <v>134</v>
      </c>
      <c r="K9" s="893" t="s">
        <v>100</v>
      </c>
      <c r="L9" s="1206" t="s">
        <v>133</v>
      </c>
      <c r="M9" s="1206" t="s">
        <v>134</v>
      </c>
      <c r="N9" s="893" t="s">
        <v>100</v>
      </c>
      <c r="O9" s="1462"/>
      <c r="P9" s="1473"/>
      <c r="Q9"/>
      <c r="T9"/>
      <c r="U9"/>
      <c r="V9"/>
      <c r="W9"/>
      <c r="X9"/>
    </row>
    <row r="10" spans="1:24" ht="24" customHeight="1">
      <c r="A10" s="585"/>
      <c r="B10" s="576" t="s">
        <v>287</v>
      </c>
      <c r="C10" s="435">
        <f t="shared" ref="C10:M10" si="0">SUM(C12:C29,C38:C58,C67:C87,C96:C113,C122:C140,C149:C168,C176:C194,C203:C220,C229:C244,C253:C271,C280:C298)</f>
        <v>34</v>
      </c>
      <c r="D10" s="436">
        <f t="shared" si="0"/>
        <v>430.02222222222224</v>
      </c>
      <c r="E10" s="529">
        <f t="shared" si="0"/>
        <v>464.02222222222224</v>
      </c>
      <c r="F10" s="436">
        <f t="shared" si="0"/>
        <v>0</v>
      </c>
      <c r="G10" s="436">
        <f t="shared" si="0"/>
        <v>1697</v>
      </c>
      <c r="H10" s="436">
        <f t="shared" si="0"/>
        <v>1697</v>
      </c>
      <c r="I10" s="435">
        <f t="shared" si="0"/>
        <v>76</v>
      </c>
      <c r="J10" s="436">
        <f t="shared" si="0"/>
        <v>4650</v>
      </c>
      <c r="K10" s="436">
        <f t="shared" si="0"/>
        <v>4726</v>
      </c>
      <c r="L10" s="435">
        <f t="shared" si="0"/>
        <v>380</v>
      </c>
      <c r="M10" s="436">
        <f t="shared" si="0"/>
        <v>11337</v>
      </c>
      <c r="N10" s="436">
        <f>M10+L10</f>
        <v>11717</v>
      </c>
      <c r="O10" s="422" t="s">
        <v>680</v>
      </c>
      <c r="P10" s="926"/>
      <c r="Q10"/>
      <c r="T10" s="3"/>
      <c r="U10"/>
      <c r="V10"/>
      <c r="W10"/>
      <c r="X10"/>
    </row>
    <row r="11" spans="1:24" ht="24" customHeight="1">
      <c r="A11" s="797"/>
      <c r="B11" s="989" t="s">
        <v>101</v>
      </c>
      <c r="C11" s="844"/>
      <c r="D11" s="845"/>
      <c r="E11" s="846"/>
      <c r="F11" s="845"/>
      <c r="G11" s="845"/>
      <c r="H11" s="845"/>
      <c r="I11" s="844"/>
      <c r="J11" s="845"/>
      <c r="K11" s="845"/>
      <c r="L11" s="844"/>
      <c r="M11" s="845"/>
      <c r="N11" s="845"/>
      <c r="O11" s="743" t="s">
        <v>18</v>
      </c>
      <c r="P11" s="927"/>
      <c r="Q11"/>
      <c r="T11" s="3"/>
      <c r="U11"/>
      <c r="V11"/>
      <c r="W11"/>
      <c r="X11"/>
    </row>
    <row r="12" spans="1:24" s="676" customFormat="1" ht="29" customHeight="1">
      <c r="A12" s="192">
        <v>1</v>
      </c>
      <c r="B12" s="240" t="s">
        <v>994</v>
      </c>
      <c r="C12" s="167">
        <v>0</v>
      </c>
      <c r="D12" s="168">
        <v>2</v>
      </c>
      <c r="E12" s="158">
        <v>2</v>
      </c>
      <c r="F12" s="167">
        <v>0</v>
      </c>
      <c r="G12" s="168">
        <v>48</v>
      </c>
      <c r="H12" s="168">
        <f>G12</f>
        <v>48</v>
      </c>
      <c r="I12" s="167">
        <v>0</v>
      </c>
      <c r="J12" s="168">
        <v>19</v>
      </c>
      <c r="K12" s="202">
        <f>J12+I12</f>
        <v>19</v>
      </c>
      <c r="L12" s="168" t="s">
        <v>56</v>
      </c>
      <c r="M12" s="168">
        <v>90</v>
      </c>
      <c r="N12" s="202">
        <f>M12</f>
        <v>90</v>
      </c>
      <c r="O12" s="247" t="s">
        <v>1976</v>
      </c>
      <c r="P12" s="928">
        <v>1</v>
      </c>
      <c r="Q12" s="701"/>
      <c r="R12"/>
      <c r="S12"/>
      <c r="T12" s="639"/>
      <c r="U12" s="639"/>
      <c r="V12" s="639"/>
      <c r="W12" s="639"/>
      <c r="X12" s="639"/>
    </row>
    <row r="13" spans="1:24" ht="24" customHeight="1">
      <c r="A13" s="797">
        <v>2</v>
      </c>
      <c r="B13" s="798" t="s">
        <v>995</v>
      </c>
      <c r="C13" s="682">
        <v>0</v>
      </c>
      <c r="D13" s="683">
        <v>1</v>
      </c>
      <c r="E13" s="634">
        <v>1</v>
      </c>
      <c r="F13" s="682">
        <v>0</v>
      </c>
      <c r="G13" s="683">
        <v>10</v>
      </c>
      <c r="H13" s="683">
        <f t="shared" ref="H13:H14" si="1">G13</f>
        <v>10</v>
      </c>
      <c r="I13" s="682">
        <v>0</v>
      </c>
      <c r="J13" s="683">
        <v>31</v>
      </c>
      <c r="K13" s="693">
        <f>J13+I13</f>
        <v>31</v>
      </c>
      <c r="L13" s="683" t="s">
        <v>56</v>
      </c>
      <c r="M13" s="683">
        <v>58</v>
      </c>
      <c r="N13" s="693">
        <f t="shared" ref="N13:N16" si="2">M13</f>
        <v>58</v>
      </c>
      <c r="O13" s="248" t="s">
        <v>1977</v>
      </c>
      <c r="P13" s="927">
        <v>2</v>
      </c>
      <c r="Q13" s="1036"/>
      <c r="T13" s="3"/>
      <c r="U13"/>
      <c r="V13"/>
      <c r="W13"/>
      <c r="X13"/>
    </row>
    <row r="14" spans="1:24" s="676" customFormat="1" ht="24" customHeight="1">
      <c r="A14" s="192">
        <v>3</v>
      </c>
      <c r="B14" s="240" t="s">
        <v>996</v>
      </c>
      <c r="C14" s="167">
        <v>0</v>
      </c>
      <c r="D14" s="168">
        <v>2</v>
      </c>
      <c r="E14" s="158">
        <v>2</v>
      </c>
      <c r="F14" s="167">
        <v>0</v>
      </c>
      <c r="G14" s="168">
        <v>11</v>
      </c>
      <c r="H14" s="168">
        <f t="shared" si="1"/>
        <v>11</v>
      </c>
      <c r="I14" s="167">
        <v>0</v>
      </c>
      <c r="J14" s="168">
        <v>23</v>
      </c>
      <c r="K14" s="202">
        <f>J14+I14</f>
        <v>23</v>
      </c>
      <c r="L14" s="168" t="s">
        <v>56</v>
      </c>
      <c r="M14" s="168">
        <v>44</v>
      </c>
      <c r="N14" s="202">
        <f t="shared" si="2"/>
        <v>44</v>
      </c>
      <c r="O14" s="247" t="s">
        <v>1978</v>
      </c>
      <c r="P14" s="928">
        <v>3</v>
      </c>
      <c r="Q14" s="701"/>
      <c r="R14"/>
      <c r="S14"/>
      <c r="T14" s="639"/>
      <c r="U14" s="639"/>
      <c r="V14" s="639"/>
      <c r="W14" s="639"/>
      <c r="X14" s="639"/>
    </row>
    <row r="15" spans="1:24" ht="24" customHeight="1">
      <c r="A15" s="797">
        <v>4</v>
      </c>
      <c r="B15" s="239" t="s">
        <v>997</v>
      </c>
      <c r="C15" s="682">
        <v>0</v>
      </c>
      <c r="D15" s="683">
        <v>2</v>
      </c>
      <c r="E15" s="634">
        <v>2</v>
      </c>
      <c r="F15" s="682">
        <v>0</v>
      </c>
      <c r="G15" s="683">
        <v>11</v>
      </c>
      <c r="H15" s="683">
        <f>F15+G15</f>
        <v>11</v>
      </c>
      <c r="I15" s="682">
        <v>0</v>
      </c>
      <c r="J15" s="683">
        <v>18</v>
      </c>
      <c r="K15" s="693">
        <f>J15+I15</f>
        <v>18</v>
      </c>
      <c r="L15" s="683" t="s">
        <v>56</v>
      </c>
      <c r="M15" s="683">
        <v>44</v>
      </c>
      <c r="N15" s="693">
        <f t="shared" si="2"/>
        <v>44</v>
      </c>
      <c r="O15" s="248" t="s">
        <v>1979</v>
      </c>
      <c r="P15" s="927">
        <v>4</v>
      </c>
      <c r="Q15" s="1036"/>
      <c r="T15"/>
      <c r="U15"/>
      <c r="V15"/>
      <c r="W15"/>
      <c r="X15"/>
    </row>
    <row r="16" spans="1:24" s="676" customFormat="1" ht="29" customHeight="1">
      <c r="A16" s="192">
        <v>5</v>
      </c>
      <c r="B16" s="240" t="s">
        <v>998</v>
      </c>
      <c r="C16" s="167">
        <v>0</v>
      </c>
      <c r="D16" s="168">
        <v>3</v>
      </c>
      <c r="E16" s="158">
        <v>3</v>
      </c>
      <c r="F16" s="167">
        <v>0</v>
      </c>
      <c r="G16" s="168">
        <v>23</v>
      </c>
      <c r="H16" s="168">
        <v>23</v>
      </c>
      <c r="I16" s="167">
        <v>0</v>
      </c>
      <c r="J16" s="168">
        <v>46</v>
      </c>
      <c r="K16" s="202">
        <f>J16+I16</f>
        <v>46</v>
      </c>
      <c r="L16" s="168" t="s">
        <v>56</v>
      </c>
      <c r="M16" s="168">
        <v>81</v>
      </c>
      <c r="N16" s="202">
        <f t="shared" si="2"/>
        <v>81</v>
      </c>
      <c r="O16" s="247" t="s">
        <v>1980</v>
      </c>
      <c r="P16" s="928">
        <v>5</v>
      </c>
      <c r="Q16" s="701"/>
      <c r="R16"/>
      <c r="S16"/>
      <c r="T16" s="639"/>
      <c r="U16" s="639"/>
      <c r="V16" s="639"/>
      <c r="W16" s="639"/>
      <c r="X16" s="639"/>
    </row>
    <row r="17" spans="1:20" ht="24" customHeight="1">
      <c r="A17" s="797"/>
      <c r="B17" s="843" t="s">
        <v>103</v>
      </c>
      <c r="C17" s="133"/>
      <c r="D17" s="134"/>
      <c r="E17" s="135"/>
      <c r="F17" s="713"/>
      <c r="G17" s="714"/>
      <c r="H17" s="714"/>
      <c r="I17" s="713"/>
      <c r="J17" s="1037"/>
      <c r="K17" s="141"/>
      <c r="L17" s="714"/>
      <c r="M17" s="1037"/>
      <c r="N17" s="141"/>
      <c r="O17" s="996" t="s">
        <v>27</v>
      </c>
      <c r="P17" s="927"/>
    </row>
    <row r="18" spans="1:20" s="676" customFormat="1" ht="29" customHeight="1">
      <c r="A18" s="192">
        <v>6</v>
      </c>
      <c r="B18" s="241" t="s">
        <v>999</v>
      </c>
      <c r="C18" s="997">
        <v>0</v>
      </c>
      <c r="D18" s="284" t="s">
        <v>56</v>
      </c>
      <c r="E18" s="375" t="s">
        <v>56</v>
      </c>
      <c r="F18" s="997">
        <v>0</v>
      </c>
      <c r="G18" s="284" t="s">
        <v>56</v>
      </c>
      <c r="H18" s="998" t="s">
        <v>56</v>
      </c>
      <c r="I18" s="997">
        <v>0</v>
      </c>
      <c r="J18" s="284">
        <v>23</v>
      </c>
      <c r="K18" s="473">
        <f>J18+I18</f>
        <v>23</v>
      </c>
      <c r="L18" s="284" t="s">
        <v>56</v>
      </c>
      <c r="M18" s="284">
        <v>23</v>
      </c>
      <c r="N18" s="375">
        <f t="shared" ref="N18:N19" si="3">M18</f>
        <v>23</v>
      </c>
      <c r="O18" s="247" t="s">
        <v>1981</v>
      </c>
      <c r="P18" s="928">
        <v>6</v>
      </c>
      <c r="Q18" s="705"/>
      <c r="R18"/>
      <c r="S18"/>
    </row>
    <row r="19" spans="1:20" ht="29" customHeight="1">
      <c r="A19" s="797">
        <v>7</v>
      </c>
      <c r="B19" s="271" t="s">
        <v>1254</v>
      </c>
      <c r="C19" s="133">
        <v>0</v>
      </c>
      <c r="D19" s="134" t="s">
        <v>56</v>
      </c>
      <c r="E19" s="135" t="s">
        <v>56</v>
      </c>
      <c r="F19" s="713">
        <v>0</v>
      </c>
      <c r="G19" s="714" t="s">
        <v>56</v>
      </c>
      <c r="H19" s="714" t="s">
        <v>56</v>
      </c>
      <c r="I19" s="713">
        <v>0</v>
      </c>
      <c r="J19" s="714">
        <v>2</v>
      </c>
      <c r="K19" s="141">
        <f>J19+I19</f>
        <v>2</v>
      </c>
      <c r="L19" s="714" t="s">
        <v>56</v>
      </c>
      <c r="M19" s="714">
        <v>2</v>
      </c>
      <c r="N19" s="141">
        <f t="shared" si="3"/>
        <v>2</v>
      </c>
      <c r="O19" s="248" t="s">
        <v>1982</v>
      </c>
      <c r="P19" s="927">
        <v>7</v>
      </c>
      <c r="Q19" s="44"/>
      <c r="T19" s="180"/>
    </row>
    <row r="20" spans="1:20" ht="24" customHeight="1">
      <c r="A20" s="192"/>
      <c r="B20" s="622" t="s">
        <v>652</v>
      </c>
      <c r="C20" s="466"/>
      <c r="D20" s="139"/>
      <c r="E20" s="140"/>
      <c r="F20" s="137"/>
      <c r="G20" s="138"/>
      <c r="H20" s="138"/>
      <c r="I20" s="137"/>
      <c r="J20" s="1038"/>
      <c r="K20" s="142"/>
      <c r="L20" s="138"/>
      <c r="M20" s="1038"/>
      <c r="N20" s="142"/>
      <c r="O20" s="607" t="s">
        <v>1255</v>
      </c>
      <c r="P20" s="928"/>
      <c r="Q20" s="44"/>
      <c r="T20" s="17"/>
    </row>
    <row r="21" spans="1:20" s="676" customFormat="1" ht="29" customHeight="1">
      <c r="A21" s="797">
        <v>8</v>
      </c>
      <c r="B21" s="271" t="s">
        <v>1000</v>
      </c>
      <c r="C21" s="802">
        <v>0</v>
      </c>
      <c r="D21" s="711">
        <v>3</v>
      </c>
      <c r="E21" s="655">
        <v>3</v>
      </c>
      <c r="F21" s="802">
        <v>0</v>
      </c>
      <c r="G21" s="711">
        <v>8</v>
      </c>
      <c r="H21" s="803">
        <f>G21+F21</f>
        <v>8</v>
      </c>
      <c r="I21" s="802">
        <v>0</v>
      </c>
      <c r="J21" s="711">
        <v>19</v>
      </c>
      <c r="K21" s="722">
        <f>J21+I21</f>
        <v>19</v>
      </c>
      <c r="L21" s="711" t="s">
        <v>56</v>
      </c>
      <c r="M21" s="711">
        <v>55</v>
      </c>
      <c r="N21" s="655">
        <f>M21</f>
        <v>55</v>
      </c>
      <c r="O21" s="248" t="s">
        <v>1983</v>
      </c>
      <c r="P21" s="927">
        <v>8</v>
      </c>
      <c r="Q21" s="705"/>
      <c r="R21"/>
      <c r="S21"/>
      <c r="T21" s="741"/>
    </row>
    <row r="22" spans="1:20" ht="29" customHeight="1">
      <c r="A22" s="192">
        <v>9</v>
      </c>
      <c r="B22" s="240" t="s">
        <v>1001</v>
      </c>
      <c r="C22" s="466">
        <v>0</v>
      </c>
      <c r="D22" s="139">
        <v>2</v>
      </c>
      <c r="E22" s="140">
        <v>2</v>
      </c>
      <c r="F22" s="137">
        <v>0</v>
      </c>
      <c r="G22" s="138" t="s">
        <v>56</v>
      </c>
      <c r="H22" s="138" t="s">
        <v>56</v>
      </c>
      <c r="I22" s="137">
        <v>0</v>
      </c>
      <c r="J22" s="138" t="s">
        <v>56</v>
      </c>
      <c r="K22" s="142" t="s">
        <v>56</v>
      </c>
      <c r="L22" s="138">
        <v>15</v>
      </c>
      <c r="M22" s="138">
        <v>73</v>
      </c>
      <c r="N22" s="142">
        <f>M22+L22</f>
        <v>88</v>
      </c>
      <c r="O22" s="238" t="s">
        <v>1984</v>
      </c>
      <c r="P22" s="928">
        <v>9</v>
      </c>
      <c r="Q22" s="44"/>
      <c r="T22" s="17"/>
    </row>
    <row r="23" spans="1:20" ht="24" customHeight="1">
      <c r="A23" s="797"/>
      <c r="B23" s="843" t="s">
        <v>104</v>
      </c>
      <c r="C23" s="805"/>
      <c r="D23" s="806"/>
      <c r="E23" s="806"/>
      <c r="F23" s="713"/>
      <c r="G23" s="714"/>
      <c r="H23" s="141"/>
      <c r="I23" s="713"/>
      <c r="J23" s="1037"/>
      <c r="K23" s="141"/>
      <c r="L23" s="713"/>
      <c r="M23" s="1037"/>
      <c r="N23" s="141"/>
      <c r="O23" s="727" t="s">
        <v>788</v>
      </c>
      <c r="P23" s="878"/>
      <c r="T23" s="17"/>
    </row>
    <row r="24" spans="1:20" s="676" customFormat="1" ht="29" customHeight="1">
      <c r="A24" s="396">
        <v>10</v>
      </c>
      <c r="B24" s="240" t="s">
        <v>1002</v>
      </c>
      <c r="C24" s="190">
        <v>0</v>
      </c>
      <c r="D24" s="191">
        <v>4</v>
      </c>
      <c r="E24" s="556">
        <v>4</v>
      </c>
      <c r="F24" s="137">
        <v>0</v>
      </c>
      <c r="G24" s="138" t="s">
        <v>56</v>
      </c>
      <c r="H24" s="138" t="s">
        <v>56</v>
      </c>
      <c r="I24" s="137">
        <v>0</v>
      </c>
      <c r="J24" s="138">
        <v>30</v>
      </c>
      <c r="K24" s="142">
        <f>J24+I24</f>
        <v>30</v>
      </c>
      <c r="L24" s="137" t="s">
        <v>56</v>
      </c>
      <c r="M24" s="138">
        <v>66</v>
      </c>
      <c r="N24" s="142">
        <f t="shared" ref="N24:N25" si="4">M24</f>
        <v>66</v>
      </c>
      <c r="O24" s="246" t="s">
        <v>1985</v>
      </c>
      <c r="P24" s="928">
        <v>10</v>
      </c>
      <c r="Q24" s="705"/>
      <c r="R24"/>
      <c r="S24"/>
      <c r="T24" s="741"/>
    </row>
    <row r="25" spans="1:20" ht="29" customHeight="1">
      <c r="A25" s="797">
        <v>11</v>
      </c>
      <c r="B25" s="271" t="s">
        <v>1003</v>
      </c>
      <c r="C25" s="805">
        <v>0</v>
      </c>
      <c r="D25" s="806">
        <v>2</v>
      </c>
      <c r="E25" s="806">
        <v>2</v>
      </c>
      <c r="F25" s="713">
        <v>0</v>
      </c>
      <c r="G25" s="714">
        <v>5</v>
      </c>
      <c r="H25" s="714">
        <f>G25+F25</f>
        <v>5</v>
      </c>
      <c r="I25" s="713">
        <v>0</v>
      </c>
      <c r="J25" s="714">
        <v>10</v>
      </c>
      <c r="K25" s="141">
        <f>J25+I25</f>
        <v>10</v>
      </c>
      <c r="L25" s="713" t="s">
        <v>56</v>
      </c>
      <c r="M25" s="714">
        <v>25</v>
      </c>
      <c r="N25" s="141">
        <f t="shared" si="4"/>
        <v>25</v>
      </c>
      <c r="O25" s="635" t="s">
        <v>1986</v>
      </c>
      <c r="P25" s="878">
        <v>11</v>
      </c>
      <c r="Q25" s="44"/>
      <c r="T25" s="17"/>
    </row>
    <row r="26" spans="1:20" s="676" customFormat="1" ht="29" customHeight="1">
      <c r="A26" s="396">
        <v>12</v>
      </c>
      <c r="B26" s="240" t="s">
        <v>1004</v>
      </c>
      <c r="C26" s="190">
        <v>0</v>
      </c>
      <c r="D26" s="191">
        <v>2</v>
      </c>
      <c r="E26" s="556">
        <v>2</v>
      </c>
      <c r="F26" s="137">
        <v>0</v>
      </c>
      <c r="G26" s="138" t="s">
        <v>56</v>
      </c>
      <c r="H26" s="138" t="s">
        <v>56</v>
      </c>
      <c r="I26" s="137">
        <v>6</v>
      </c>
      <c r="J26" s="138">
        <v>20</v>
      </c>
      <c r="K26" s="142">
        <f>J26+I26</f>
        <v>26</v>
      </c>
      <c r="L26" s="137">
        <v>16</v>
      </c>
      <c r="M26" s="138">
        <v>38</v>
      </c>
      <c r="N26" s="142">
        <f>M26+L26</f>
        <v>54</v>
      </c>
      <c r="O26" s="246" t="s">
        <v>1987</v>
      </c>
      <c r="P26" s="928">
        <v>12</v>
      </c>
      <c r="Q26" s="705"/>
      <c r="R26"/>
      <c r="S26"/>
      <c r="T26" s="741"/>
    </row>
    <row r="27" spans="1:20" s="676" customFormat="1" ht="29" customHeight="1">
      <c r="A27" s="325"/>
      <c r="B27" s="724" t="s">
        <v>143</v>
      </c>
      <c r="C27" s="805"/>
      <c r="D27" s="806"/>
      <c r="E27" s="807"/>
      <c r="F27" s="713"/>
      <c r="G27" s="714"/>
      <c r="H27" s="141"/>
      <c r="I27" s="713"/>
      <c r="J27" s="1037"/>
      <c r="K27" s="141"/>
      <c r="L27" s="713"/>
      <c r="M27" s="1037"/>
      <c r="N27" s="141"/>
      <c r="O27" s="743" t="s">
        <v>28</v>
      </c>
      <c r="P27" s="927"/>
      <c r="Q27" s="705"/>
      <c r="R27"/>
      <c r="S27"/>
      <c r="T27" s="741"/>
    </row>
    <row r="28" spans="1:20" s="676" customFormat="1" ht="29" customHeight="1">
      <c r="A28" s="192">
        <v>13</v>
      </c>
      <c r="B28" s="240" t="s">
        <v>1005</v>
      </c>
      <c r="C28" s="190">
        <v>1</v>
      </c>
      <c r="D28" s="191">
        <v>7</v>
      </c>
      <c r="E28" s="191">
        <f>D28+C28</f>
        <v>8</v>
      </c>
      <c r="F28" s="137">
        <v>0</v>
      </c>
      <c r="G28" s="138">
        <v>4</v>
      </c>
      <c r="H28" s="138">
        <f>G28+F28</f>
        <v>4</v>
      </c>
      <c r="I28" s="137">
        <v>0</v>
      </c>
      <c r="J28" s="138">
        <v>14</v>
      </c>
      <c r="K28" s="142">
        <f>J28+I28</f>
        <v>14</v>
      </c>
      <c r="L28" s="137">
        <v>38</v>
      </c>
      <c r="M28" s="138">
        <v>168</v>
      </c>
      <c r="N28" s="142">
        <f>M28+L28</f>
        <v>206</v>
      </c>
      <c r="O28" s="246" t="s">
        <v>1988</v>
      </c>
      <c r="P28" s="879">
        <v>13</v>
      </c>
      <c r="Q28" s="705"/>
      <c r="R28"/>
      <c r="S28"/>
      <c r="T28" s="741"/>
    </row>
    <row r="29" spans="1:20" s="676" customFormat="1" ht="29" customHeight="1">
      <c r="A29" s="664">
        <v>14</v>
      </c>
      <c r="B29" s="275" t="s">
        <v>1006</v>
      </c>
      <c r="C29" s="808">
        <v>0</v>
      </c>
      <c r="D29" s="809">
        <v>5</v>
      </c>
      <c r="E29" s="810">
        <f>D29+C29</f>
        <v>5</v>
      </c>
      <c r="F29" s="811">
        <v>0</v>
      </c>
      <c r="G29" s="812">
        <v>18</v>
      </c>
      <c r="H29" s="812">
        <f>G29+F29</f>
        <v>18</v>
      </c>
      <c r="I29" s="811">
        <v>0</v>
      </c>
      <c r="J29" s="812">
        <v>21</v>
      </c>
      <c r="K29" s="193">
        <f>J29+I29</f>
        <v>21</v>
      </c>
      <c r="L29" s="811" t="s">
        <v>56</v>
      </c>
      <c r="M29" s="812">
        <v>58</v>
      </c>
      <c r="N29" s="193">
        <f>M29</f>
        <v>58</v>
      </c>
      <c r="O29" s="650" t="s">
        <v>1989</v>
      </c>
      <c r="P29" s="930">
        <v>14</v>
      </c>
      <c r="Q29" s="705"/>
      <c r="R29"/>
      <c r="S29"/>
      <c r="T29" s="741"/>
    </row>
    <row r="30" spans="1:20" s="676" customFormat="1" ht="18" hidden="1" customHeight="1">
      <c r="A30" s="1508" t="s">
        <v>1187</v>
      </c>
      <c r="B30" s="1508"/>
      <c r="C30" s="191"/>
      <c r="D30" s="191"/>
      <c r="E30" s="191"/>
      <c r="F30" s="138"/>
      <c r="G30" s="138"/>
      <c r="H30" s="138"/>
      <c r="I30" s="138"/>
      <c r="J30" s="138"/>
      <c r="K30" s="138"/>
      <c r="L30" s="138"/>
      <c r="M30" s="138"/>
      <c r="N30" s="138"/>
      <c r="O30" s="1509" t="s">
        <v>1300</v>
      </c>
      <c r="P30" s="1509"/>
      <c r="Q30" s="705"/>
      <c r="R30"/>
      <c r="S30"/>
      <c r="T30" s="741"/>
    </row>
    <row r="31" spans="1:20" s="676" customFormat="1" ht="18" hidden="1" customHeight="1">
      <c r="A31" s="1520"/>
      <c r="B31" s="1520"/>
      <c r="C31" s="523"/>
      <c r="D31" s="523"/>
      <c r="E31" s="523"/>
      <c r="F31" s="523"/>
      <c r="G31" s="523"/>
      <c r="H31" s="523"/>
      <c r="I31" s="523"/>
      <c r="J31" s="168"/>
      <c r="K31" s="168"/>
      <c r="L31" s="1509" t="s">
        <v>1299</v>
      </c>
      <c r="M31" s="1509"/>
      <c r="N31" s="1509"/>
      <c r="O31" s="1509"/>
      <c r="P31" s="1509"/>
      <c r="Q31" s="705"/>
      <c r="R31"/>
      <c r="S31"/>
      <c r="T31" s="741"/>
    </row>
    <row r="32" spans="1:20" s="676" customFormat="1" ht="18" hidden="1" customHeight="1">
      <c r="A32" s="1438" t="s">
        <v>621</v>
      </c>
      <c r="B32" s="1468" t="s">
        <v>1221</v>
      </c>
      <c r="C32" s="1320" t="s">
        <v>1307</v>
      </c>
      <c r="D32" s="1470"/>
      <c r="E32" s="1449"/>
      <c r="F32" s="1320" t="s">
        <v>1219</v>
      </c>
      <c r="G32" s="1470"/>
      <c r="H32" s="1449"/>
      <c r="I32" s="1320" t="s">
        <v>1218</v>
      </c>
      <c r="J32" s="1470"/>
      <c r="K32" s="1449"/>
      <c r="L32" s="1320" t="s">
        <v>79</v>
      </c>
      <c r="M32" s="1470"/>
      <c r="N32" s="1449"/>
      <c r="O32" s="1438" t="s">
        <v>1975</v>
      </c>
      <c r="P32" s="1471" t="s">
        <v>727</v>
      </c>
      <c r="Q32" s="705"/>
      <c r="R32"/>
      <c r="S32"/>
      <c r="T32" s="741"/>
    </row>
    <row r="33" spans="1:20" s="676" customFormat="1" ht="18" hidden="1" customHeight="1">
      <c r="A33" s="1439"/>
      <c r="B33" s="1468"/>
      <c r="C33" s="1280"/>
      <c r="D33" s="1474"/>
      <c r="E33" s="1475"/>
      <c r="F33" s="1280"/>
      <c r="G33" s="1474"/>
      <c r="H33" s="1475"/>
      <c r="I33" s="1280"/>
      <c r="J33" s="1474"/>
      <c r="K33" s="1475"/>
      <c r="L33" s="1280"/>
      <c r="M33" s="1474"/>
      <c r="N33" s="1475"/>
      <c r="O33" s="1439"/>
      <c r="P33" s="1472"/>
      <c r="Q33" s="705"/>
      <c r="R33"/>
      <c r="S33"/>
      <c r="T33" s="741"/>
    </row>
    <row r="34" spans="1:20" s="676" customFormat="1" ht="18" hidden="1" customHeight="1">
      <c r="A34" s="1439"/>
      <c r="B34" s="1468"/>
      <c r="C34" s="1281" t="s">
        <v>138</v>
      </c>
      <c r="D34" s="1476"/>
      <c r="E34" s="1450"/>
      <c r="F34" s="1281" t="s">
        <v>1186</v>
      </c>
      <c r="G34" s="1476"/>
      <c r="H34" s="1450"/>
      <c r="I34" s="1281" t="s">
        <v>587</v>
      </c>
      <c r="J34" s="1476"/>
      <c r="K34" s="1450"/>
      <c r="L34" s="1281" t="s">
        <v>137</v>
      </c>
      <c r="M34" s="1476"/>
      <c r="N34" s="1450"/>
      <c r="O34" s="1439"/>
      <c r="P34" s="1472"/>
      <c r="Q34" s="705"/>
      <c r="R34"/>
      <c r="S34"/>
      <c r="T34" s="741"/>
    </row>
    <row r="35" spans="1:20" s="676" customFormat="1" ht="18" hidden="1" customHeight="1">
      <c r="A35" s="1439"/>
      <c r="B35" s="1469"/>
      <c r="C35" s="1382" t="s">
        <v>583</v>
      </c>
      <c r="D35" s="1382" t="s">
        <v>581</v>
      </c>
      <c r="E35" s="1449" t="s">
        <v>489</v>
      </c>
      <c r="F35" s="1382" t="s">
        <v>583</v>
      </c>
      <c r="G35" s="1382" t="s">
        <v>581</v>
      </c>
      <c r="H35" s="1449" t="s">
        <v>489</v>
      </c>
      <c r="I35" s="1382" t="s">
        <v>583</v>
      </c>
      <c r="J35" s="1382" t="s">
        <v>581</v>
      </c>
      <c r="K35" s="1449" t="s">
        <v>489</v>
      </c>
      <c r="L35" s="1382" t="s">
        <v>583</v>
      </c>
      <c r="M35" s="1382" t="s">
        <v>581</v>
      </c>
      <c r="N35" s="1449" t="s">
        <v>489</v>
      </c>
      <c r="O35" s="1439"/>
      <c r="P35" s="1472"/>
      <c r="Q35" s="705"/>
      <c r="R35"/>
      <c r="S35"/>
      <c r="T35" s="741"/>
    </row>
    <row r="36" spans="1:20" s="676" customFormat="1" ht="18" hidden="1" customHeight="1">
      <c r="A36" s="1439"/>
      <c r="B36" s="1469"/>
      <c r="C36" s="1384"/>
      <c r="D36" s="1384"/>
      <c r="E36" s="1450"/>
      <c r="F36" s="1384"/>
      <c r="G36" s="1384"/>
      <c r="H36" s="1450"/>
      <c r="I36" s="1384"/>
      <c r="J36" s="1384"/>
      <c r="K36" s="1450"/>
      <c r="L36" s="1384"/>
      <c r="M36" s="1384"/>
      <c r="N36" s="1450"/>
      <c r="O36" s="1439"/>
      <c r="P36" s="1472"/>
      <c r="Q36" s="705"/>
      <c r="R36"/>
      <c r="S36"/>
      <c r="T36" s="741"/>
    </row>
    <row r="37" spans="1:20" s="676" customFormat="1" ht="18" hidden="1" customHeight="1">
      <c r="A37" s="1462"/>
      <c r="B37" s="1469"/>
      <c r="C37" s="1206" t="s">
        <v>133</v>
      </c>
      <c r="D37" s="1206" t="s">
        <v>134</v>
      </c>
      <c r="E37" s="893" t="s">
        <v>100</v>
      </c>
      <c r="F37" s="1206" t="s">
        <v>133</v>
      </c>
      <c r="G37" s="1206" t="s">
        <v>134</v>
      </c>
      <c r="H37" s="893" t="s">
        <v>100</v>
      </c>
      <c r="I37" s="1206" t="s">
        <v>133</v>
      </c>
      <c r="J37" s="1206" t="s">
        <v>134</v>
      </c>
      <c r="K37" s="893" t="s">
        <v>100</v>
      </c>
      <c r="L37" s="1206" t="s">
        <v>133</v>
      </c>
      <c r="M37" s="1206" t="s">
        <v>134</v>
      </c>
      <c r="N37" s="893" t="s">
        <v>100</v>
      </c>
      <c r="O37" s="1462"/>
      <c r="P37" s="1473"/>
      <c r="Q37" s="705"/>
      <c r="R37"/>
      <c r="S37"/>
      <c r="T37" s="741"/>
    </row>
    <row r="38" spans="1:20" s="676" customFormat="1" ht="27" customHeight="1">
      <c r="A38" s="192">
        <v>15</v>
      </c>
      <c r="B38" s="241" t="s">
        <v>1007</v>
      </c>
      <c r="C38" s="190">
        <v>0</v>
      </c>
      <c r="D38" s="191">
        <v>7</v>
      </c>
      <c r="E38" s="556">
        <f t="shared" ref="E38:E48" si="5">D38+C38</f>
        <v>7</v>
      </c>
      <c r="F38" s="137">
        <v>0</v>
      </c>
      <c r="G38" s="138">
        <v>18</v>
      </c>
      <c r="H38" s="138">
        <f t="shared" ref="H38:H48" si="6">G38+F38</f>
        <v>18</v>
      </c>
      <c r="I38" s="137">
        <v>0</v>
      </c>
      <c r="J38" s="138">
        <v>27</v>
      </c>
      <c r="K38" s="142">
        <f t="shared" ref="K38:K48" si="7">J38+I38</f>
        <v>27</v>
      </c>
      <c r="L38" s="137" t="s">
        <v>56</v>
      </c>
      <c r="M38" s="138">
        <v>73</v>
      </c>
      <c r="N38" s="142">
        <f>M38</f>
        <v>73</v>
      </c>
      <c r="O38" s="246" t="s">
        <v>1990</v>
      </c>
      <c r="P38" s="879">
        <v>15</v>
      </c>
      <c r="R38"/>
      <c r="S38"/>
      <c r="T38" s="741"/>
    </row>
    <row r="39" spans="1:20" ht="27" customHeight="1">
      <c r="A39" s="797">
        <v>16</v>
      </c>
      <c r="B39" s="239" t="s">
        <v>1008</v>
      </c>
      <c r="C39" s="805">
        <v>0</v>
      </c>
      <c r="D39" s="806">
        <v>3</v>
      </c>
      <c r="E39" s="807">
        <f t="shared" si="5"/>
        <v>3</v>
      </c>
      <c r="F39" s="713">
        <v>0</v>
      </c>
      <c r="G39" s="714">
        <v>30</v>
      </c>
      <c r="H39" s="141">
        <f t="shared" si="6"/>
        <v>30</v>
      </c>
      <c r="I39" s="713">
        <v>0</v>
      </c>
      <c r="J39" s="714">
        <v>40</v>
      </c>
      <c r="K39" s="141">
        <f t="shared" si="7"/>
        <v>40</v>
      </c>
      <c r="L39" s="713" t="s">
        <v>56</v>
      </c>
      <c r="M39" s="714">
        <v>103</v>
      </c>
      <c r="N39" s="141">
        <f t="shared" ref="N39:N48" si="8">M39</f>
        <v>103</v>
      </c>
      <c r="O39" s="643" t="s">
        <v>1991</v>
      </c>
      <c r="P39" s="927">
        <v>16</v>
      </c>
      <c r="Q39" s="44"/>
      <c r="T39" s="17"/>
    </row>
    <row r="40" spans="1:20" s="676" customFormat="1" ht="27" customHeight="1">
      <c r="A40" s="396">
        <v>17</v>
      </c>
      <c r="B40" s="240" t="s">
        <v>1009</v>
      </c>
      <c r="C40" s="190">
        <v>0</v>
      </c>
      <c r="D40" s="191">
        <v>6</v>
      </c>
      <c r="E40" s="191">
        <f t="shared" si="5"/>
        <v>6</v>
      </c>
      <c r="F40" s="137">
        <v>0</v>
      </c>
      <c r="G40" s="138">
        <v>27</v>
      </c>
      <c r="H40" s="138">
        <f t="shared" si="6"/>
        <v>27</v>
      </c>
      <c r="I40" s="137">
        <v>0</v>
      </c>
      <c r="J40" s="138">
        <v>46</v>
      </c>
      <c r="K40" s="142">
        <f t="shared" si="7"/>
        <v>46</v>
      </c>
      <c r="L40" s="137" t="s">
        <v>56</v>
      </c>
      <c r="M40" s="138">
        <v>97</v>
      </c>
      <c r="N40" s="142">
        <f t="shared" si="8"/>
        <v>97</v>
      </c>
      <c r="O40" s="246" t="s">
        <v>1992</v>
      </c>
      <c r="P40" s="879">
        <v>17</v>
      </c>
      <c r="Q40" s="705"/>
      <c r="R40"/>
      <c r="S40"/>
      <c r="T40" s="741"/>
    </row>
    <row r="41" spans="1:20" ht="27" customHeight="1">
      <c r="A41" s="797">
        <v>18</v>
      </c>
      <c r="B41" s="239" t="s">
        <v>1010</v>
      </c>
      <c r="C41" s="805">
        <v>0</v>
      </c>
      <c r="D41" s="806">
        <v>2</v>
      </c>
      <c r="E41" s="807">
        <f t="shared" si="5"/>
        <v>2</v>
      </c>
      <c r="F41" s="713">
        <v>0</v>
      </c>
      <c r="G41" s="714">
        <v>15</v>
      </c>
      <c r="H41" s="714">
        <f t="shared" si="6"/>
        <v>15</v>
      </c>
      <c r="I41" s="713">
        <v>0</v>
      </c>
      <c r="J41" s="714">
        <v>31</v>
      </c>
      <c r="K41" s="141">
        <f t="shared" si="7"/>
        <v>31</v>
      </c>
      <c r="L41" s="713" t="s">
        <v>56</v>
      </c>
      <c r="M41" s="714">
        <v>77</v>
      </c>
      <c r="N41" s="141">
        <f t="shared" si="8"/>
        <v>77</v>
      </c>
      <c r="O41" s="635" t="s">
        <v>1993</v>
      </c>
      <c r="P41" s="927">
        <v>18</v>
      </c>
      <c r="Q41" s="44"/>
      <c r="T41" s="17"/>
    </row>
    <row r="42" spans="1:20" s="676" customFormat="1" ht="27" customHeight="1">
      <c r="A42" s="396">
        <v>19</v>
      </c>
      <c r="B42" s="241" t="s">
        <v>1011</v>
      </c>
      <c r="C42" s="190">
        <v>0</v>
      </c>
      <c r="D42" s="191">
        <v>8</v>
      </c>
      <c r="E42" s="191">
        <f t="shared" si="5"/>
        <v>8</v>
      </c>
      <c r="F42" s="137">
        <v>0</v>
      </c>
      <c r="G42" s="138">
        <v>27</v>
      </c>
      <c r="H42" s="138">
        <f t="shared" si="6"/>
        <v>27</v>
      </c>
      <c r="I42" s="137">
        <v>0</v>
      </c>
      <c r="J42" s="138">
        <v>60</v>
      </c>
      <c r="K42" s="142">
        <f t="shared" si="7"/>
        <v>60</v>
      </c>
      <c r="L42" s="137" t="s">
        <v>56</v>
      </c>
      <c r="M42" s="138">
        <v>110</v>
      </c>
      <c r="N42" s="142">
        <f t="shared" si="8"/>
        <v>110</v>
      </c>
      <c r="O42" s="246" t="s">
        <v>1994</v>
      </c>
      <c r="P42" s="879">
        <v>19</v>
      </c>
      <c r="Q42" s="705"/>
      <c r="R42"/>
      <c r="S42"/>
      <c r="T42" s="741"/>
    </row>
    <row r="43" spans="1:20" ht="27" customHeight="1">
      <c r="A43" s="325">
        <v>20</v>
      </c>
      <c r="B43" s="271" t="s">
        <v>1012</v>
      </c>
      <c r="C43" s="805">
        <v>0</v>
      </c>
      <c r="D43" s="806">
        <v>6</v>
      </c>
      <c r="E43" s="806">
        <f t="shared" si="5"/>
        <v>6</v>
      </c>
      <c r="F43" s="713">
        <v>0</v>
      </c>
      <c r="G43" s="714">
        <v>10</v>
      </c>
      <c r="H43" s="714">
        <f t="shared" si="6"/>
        <v>10</v>
      </c>
      <c r="I43" s="713">
        <v>0</v>
      </c>
      <c r="J43" s="714">
        <v>45</v>
      </c>
      <c r="K43" s="141">
        <f t="shared" si="7"/>
        <v>45</v>
      </c>
      <c r="L43" s="713" t="s">
        <v>56</v>
      </c>
      <c r="M43" s="714">
        <v>100</v>
      </c>
      <c r="N43" s="141">
        <f t="shared" si="8"/>
        <v>100</v>
      </c>
      <c r="O43" s="635" t="s">
        <v>1995</v>
      </c>
      <c r="P43" s="927">
        <v>20</v>
      </c>
      <c r="Q43" s="44"/>
    </row>
    <row r="44" spans="1:20" s="676" customFormat="1" ht="27" customHeight="1">
      <c r="A44" s="396">
        <v>21</v>
      </c>
      <c r="B44" s="241" t="s">
        <v>1013</v>
      </c>
      <c r="C44" s="190">
        <v>0</v>
      </c>
      <c r="D44" s="191">
        <v>3</v>
      </c>
      <c r="E44" s="191">
        <f t="shared" si="5"/>
        <v>3</v>
      </c>
      <c r="F44" s="137">
        <v>0</v>
      </c>
      <c r="G44" s="138">
        <v>22</v>
      </c>
      <c r="H44" s="138">
        <f t="shared" si="6"/>
        <v>22</v>
      </c>
      <c r="I44" s="137">
        <v>0</v>
      </c>
      <c r="J44" s="138">
        <v>83</v>
      </c>
      <c r="K44" s="142">
        <f t="shared" si="7"/>
        <v>83</v>
      </c>
      <c r="L44" s="137" t="s">
        <v>56</v>
      </c>
      <c r="M44" s="138">
        <v>174</v>
      </c>
      <c r="N44" s="142">
        <f t="shared" si="8"/>
        <v>174</v>
      </c>
      <c r="O44" s="246" t="s">
        <v>1996</v>
      </c>
      <c r="P44" s="879">
        <v>21</v>
      </c>
      <c r="Q44" s="705"/>
      <c r="R44"/>
      <c r="S44"/>
    </row>
    <row r="45" spans="1:20" ht="27" customHeight="1">
      <c r="A45" s="797">
        <v>22</v>
      </c>
      <c r="B45" s="271" t="s">
        <v>1014</v>
      </c>
      <c r="C45" s="805">
        <v>0</v>
      </c>
      <c r="D45" s="806">
        <v>9</v>
      </c>
      <c r="E45" s="807">
        <f t="shared" si="5"/>
        <v>9</v>
      </c>
      <c r="F45" s="713">
        <v>0</v>
      </c>
      <c r="G45" s="714">
        <v>19</v>
      </c>
      <c r="H45" s="714">
        <f t="shared" si="6"/>
        <v>19</v>
      </c>
      <c r="I45" s="713">
        <v>0</v>
      </c>
      <c r="J45" s="714">
        <v>18</v>
      </c>
      <c r="K45" s="141">
        <f t="shared" si="7"/>
        <v>18</v>
      </c>
      <c r="L45" s="713" t="s">
        <v>56</v>
      </c>
      <c r="M45" s="714">
        <v>65</v>
      </c>
      <c r="N45" s="141">
        <f t="shared" si="8"/>
        <v>65</v>
      </c>
      <c r="O45" s="635" t="s">
        <v>1997</v>
      </c>
      <c r="P45" s="927">
        <v>22</v>
      </c>
      <c r="Q45" s="44"/>
    </row>
    <row r="46" spans="1:20" ht="27" customHeight="1">
      <c r="A46" s="396">
        <v>23</v>
      </c>
      <c r="B46" s="240" t="s">
        <v>1015</v>
      </c>
      <c r="C46" s="190">
        <v>0</v>
      </c>
      <c r="D46" s="191">
        <v>4.0222222222222204</v>
      </c>
      <c r="E46" s="191">
        <f t="shared" si="5"/>
        <v>4.0222222222222204</v>
      </c>
      <c r="F46" s="137">
        <v>0</v>
      </c>
      <c r="G46" s="138">
        <v>15</v>
      </c>
      <c r="H46" s="138">
        <f t="shared" si="6"/>
        <v>15</v>
      </c>
      <c r="I46" s="137">
        <v>0</v>
      </c>
      <c r="J46" s="138">
        <v>33</v>
      </c>
      <c r="K46" s="142">
        <f t="shared" si="7"/>
        <v>33</v>
      </c>
      <c r="L46" s="137" t="s">
        <v>56</v>
      </c>
      <c r="M46" s="138">
        <v>73</v>
      </c>
      <c r="N46" s="142">
        <f t="shared" si="8"/>
        <v>73</v>
      </c>
      <c r="O46" s="246" t="s">
        <v>1998</v>
      </c>
      <c r="P46" s="879">
        <v>23</v>
      </c>
      <c r="Q46" s="705"/>
    </row>
    <row r="47" spans="1:20" ht="27" customHeight="1">
      <c r="A47" s="325">
        <v>24</v>
      </c>
      <c r="B47" s="239" t="s">
        <v>1016</v>
      </c>
      <c r="C47" s="805">
        <v>0</v>
      </c>
      <c r="D47" s="806">
        <v>5</v>
      </c>
      <c r="E47" s="806">
        <f t="shared" si="5"/>
        <v>5</v>
      </c>
      <c r="F47" s="713">
        <v>0</v>
      </c>
      <c r="G47" s="714">
        <v>14</v>
      </c>
      <c r="H47" s="714">
        <f t="shared" si="6"/>
        <v>14</v>
      </c>
      <c r="I47" s="713">
        <v>0</v>
      </c>
      <c r="J47" s="714">
        <v>20</v>
      </c>
      <c r="K47" s="141">
        <f t="shared" si="7"/>
        <v>20</v>
      </c>
      <c r="L47" s="713" t="s">
        <v>56</v>
      </c>
      <c r="M47" s="714">
        <v>58</v>
      </c>
      <c r="N47" s="141">
        <f t="shared" si="8"/>
        <v>58</v>
      </c>
      <c r="O47" s="635" t="s">
        <v>1999</v>
      </c>
      <c r="P47" s="927">
        <v>24</v>
      </c>
      <c r="Q47" s="44"/>
    </row>
    <row r="48" spans="1:20" s="676" customFormat="1" ht="27" customHeight="1">
      <c r="A48" s="192">
        <v>25</v>
      </c>
      <c r="B48" s="241" t="s">
        <v>1017</v>
      </c>
      <c r="C48" s="190">
        <v>0</v>
      </c>
      <c r="D48" s="191">
        <v>6</v>
      </c>
      <c r="E48" s="556">
        <f t="shared" si="5"/>
        <v>6</v>
      </c>
      <c r="F48" s="137">
        <v>0</v>
      </c>
      <c r="G48" s="138">
        <v>9</v>
      </c>
      <c r="H48" s="138">
        <f t="shared" si="6"/>
        <v>9</v>
      </c>
      <c r="I48" s="137">
        <v>0</v>
      </c>
      <c r="J48" s="138">
        <v>22</v>
      </c>
      <c r="K48" s="142">
        <f t="shared" si="7"/>
        <v>22</v>
      </c>
      <c r="L48" s="137" t="s">
        <v>56</v>
      </c>
      <c r="M48" s="138">
        <v>63</v>
      </c>
      <c r="N48" s="142">
        <f t="shared" si="8"/>
        <v>63</v>
      </c>
      <c r="O48" s="246" t="s">
        <v>2000</v>
      </c>
      <c r="P48" s="879">
        <v>25</v>
      </c>
      <c r="Q48" s="705"/>
      <c r="R48"/>
      <c r="S48"/>
    </row>
    <row r="49" spans="1:19" ht="24" customHeight="1">
      <c r="A49" s="325"/>
      <c r="B49" s="1041" t="s">
        <v>1018</v>
      </c>
      <c r="C49" s="713"/>
      <c r="D49" s="134"/>
      <c r="E49" s="135"/>
      <c r="F49" s="713"/>
      <c r="G49" s="714"/>
      <c r="H49" s="141"/>
      <c r="I49" s="713"/>
      <c r="J49" s="1037"/>
      <c r="K49" s="141"/>
      <c r="L49" s="714"/>
      <c r="M49" s="714"/>
      <c r="N49" s="141"/>
      <c r="O49" s="743" t="s">
        <v>29</v>
      </c>
      <c r="P49" s="878"/>
      <c r="Q49" s="44"/>
    </row>
    <row r="50" spans="1:19" ht="27" customHeight="1">
      <c r="A50" s="192">
        <v>26</v>
      </c>
      <c r="B50" s="241" t="s">
        <v>1019</v>
      </c>
      <c r="C50" s="137">
        <v>0</v>
      </c>
      <c r="D50" s="139">
        <v>4</v>
      </c>
      <c r="E50" s="140">
        <f>D50+C50</f>
        <v>4</v>
      </c>
      <c r="F50" s="138">
        <v>0</v>
      </c>
      <c r="G50" s="138">
        <v>24</v>
      </c>
      <c r="H50" s="142">
        <f>G50+F50</f>
        <v>24</v>
      </c>
      <c r="I50" s="138">
        <v>0</v>
      </c>
      <c r="J50" s="138">
        <v>37</v>
      </c>
      <c r="K50" s="142">
        <f>J50+I50</f>
        <v>37</v>
      </c>
      <c r="L50" s="138" t="s">
        <v>56</v>
      </c>
      <c r="M50" s="138">
        <v>114</v>
      </c>
      <c r="N50" s="142">
        <f t="shared" ref="N50:N51" si="9">M50</f>
        <v>114</v>
      </c>
      <c r="O50" s="238" t="s">
        <v>2001</v>
      </c>
      <c r="P50" s="928">
        <v>26</v>
      </c>
      <c r="Q50" s="705"/>
    </row>
    <row r="51" spans="1:19" s="676" customFormat="1" ht="27" customHeight="1">
      <c r="A51" s="325">
        <v>27</v>
      </c>
      <c r="B51" s="271" t="s">
        <v>1020</v>
      </c>
      <c r="C51" s="713">
        <v>0</v>
      </c>
      <c r="D51" s="134">
        <v>2</v>
      </c>
      <c r="E51" s="134">
        <f>D51+C51</f>
        <v>2</v>
      </c>
      <c r="F51" s="713">
        <v>0</v>
      </c>
      <c r="G51" s="714">
        <v>14</v>
      </c>
      <c r="H51" s="714">
        <f>G51+F51</f>
        <v>14</v>
      </c>
      <c r="I51" s="713">
        <v>0</v>
      </c>
      <c r="J51" s="714">
        <v>27</v>
      </c>
      <c r="K51" s="141">
        <f>J51+I51</f>
        <v>27</v>
      </c>
      <c r="L51" s="714" t="s">
        <v>56</v>
      </c>
      <c r="M51" s="714">
        <v>57</v>
      </c>
      <c r="N51" s="141">
        <f t="shared" si="9"/>
        <v>57</v>
      </c>
      <c r="O51" s="635" t="s">
        <v>2002</v>
      </c>
      <c r="P51" s="878">
        <v>27</v>
      </c>
      <c r="Q51" s="44"/>
      <c r="R51"/>
      <c r="S51"/>
    </row>
    <row r="52" spans="1:19" ht="27" customHeight="1">
      <c r="A52" s="192">
        <v>28</v>
      </c>
      <c r="B52" s="241" t="s">
        <v>1021</v>
      </c>
      <c r="C52" s="137">
        <v>0</v>
      </c>
      <c r="D52" s="139">
        <v>6</v>
      </c>
      <c r="E52" s="139">
        <f>D52+C52</f>
        <v>6</v>
      </c>
      <c r="F52" s="137">
        <v>0</v>
      </c>
      <c r="G52" s="138" t="s">
        <v>43</v>
      </c>
      <c r="H52" s="138" t="s">
        <v>43</v>
      </c>
      <c r="I52" s="137">
        <v>0</v>
      </c>
      <c r="J52" s="138" t="s">
        <v>43</v>
      </c>
      <c r="K52" s="138" t="s">
        <v>43</v>
      </c>
      <c r="L52" s="137" t="s">
        <v>56</v>
      </c>
      <c r="M52" s="138" t="s">
        <v>56</v>
      </c>
      <c r="N52" s="138" t="s">
        <v>56</v>
      </c>
      <c r="O52" s="238" t="s">
        <v>2003</v>
      </c>
      <c r="P52" s="928">
        <v>28</v>
      </c>
    </row>
    <row r="53" spans="1:19" s="676" customFormat="1" ht="27" customHeight="1">
      <c r="A53" s="325">
        <v>29</v>
      </c>
      <c r="B53" s="271" t="s">
        <v>1022</v>
      </c>
      <c r="C53" s="713">
        <v>0</v>
      </c>
      <c r="D53" s="134">
        <v>2</v>
      </c>
      <c r="E53" s="134">
        <f>D53+C53</f>
        <v>2</v>
      </c>
      <c r="F53" s="713">
        <v>0</v>
      </c>
      <c r="G53" s="714" t="s">
        <v>43</v>
      </c>
      <c r="H53" s="714" t="s">
        <v>43</v>
      </c>
      <c r="I53" s="713">
        <v>0</v>
      </c>
      <c r="J53" s="714" t="s">
        <v>43</v>
      </c>
      <c r="K53" s="714" t="s">
        <v>43</v>
      </c>
      <c r="L53" s="713" t="s">
        <v>56</v>
      </c>
      <c r="M53" s="714" t="s">
        <v>56</v>
      </c>
      <c r="N53" s="714" t="s">
        <v>56</v>
      </c>
      <c r="O53" s="643" t="s">
        <v>2004</v>
      </c>
      <c r="P53" s="878">
        <v>29</v>
      </c>
      <c r="Q53" s="705"/>
      <c r="R53"/>
      <c r="S53"/>
    </row>
    <row r="54" spans="1:19" ht="27" customHeight="1">
      <c r="A54" s="192">
        <v>30</v>
      </c>
      <c r="B54" s="241" t="s">
        <v>1023</v>
      </c>
      <c r="C54" s="137">
        <v>0</v>
      </c>
      <c r="D54" s="139">
        <v>3</v>
      </c>
      <c r="E54" s="139">
        <f>D54+C54</f>
        <v>3</v>
      </c>
      <c r="F54" s="137">
        <v>0</v>
      </c>
      <c r="G54" s="138" t="s">
        <v>43</v>
      </c>
      <c r="H54" s="138" t="s">
        <v>43</v>
      </c>
      <c r="I54" s="137">
        <v>0</v>
      </c>
      <c r="J54" s="138" t="s">
        <v>43</v>
      </c>
      <c r="K54" s="142" t="s">
        <v>43</v>
      </c>
      <c r="L54" s="137" t="s">
        <v>56</v>
      </c>
      <c r="M54" s="138" t="s">
        <v>56</v>
      </c>
      <c r="N54" s="142" t="s">
        <v>56</v>
      </c>
      <c r="O54" s="238" t="s">
        <v>2005</v>
      </c>
      <c r="P54" s="928">
        <v>30</v>
      </c>
      <c r="Q54" s="44"/>
    </row>
    <row r="55" spans="1:19" ht="24" customHeight="1">
      <c r="A55" s="797"/>
      <c r="B55" s="724" t="s">
        <v>1024</v>
      </c>
      <c r="C55" s="713"/>
      <c r="D55" s="134"/>
      <c r="E55" s="135"/>
      <c r="F55" s="714"/>
      <c r="G55" s="714"/>
      <c r="H55" s="141"/>
      <c r="I55" s="713"/>
      <c r="J55" s="1037"/>
      <c r="K55" s="141"/>
      <c r="L55" s="714"/>
      <c r="M55" s="714"/>
      <c r="N55" s="141"/>
      <c r="O55" s="743" t="s">
        <v>30</v>
      </c>
      <c r="P55" s="927"/>
      <c r="Q55" s="44"/>
    </row>
    <row r="56" spans="1:19" ht="27" customHeight="1">
      <c r="A56" s="396">
        <v>31</v>
      </c>
      <c r="B56" s="241" t="s">
        <v>1025</v>
      </c>
      <c r="C56" s="137">
        <v>0</v>
      </c>
      <c r="D56" s="139" t="s">
        <v>43</v>
      </c>
      <c r="E56" s="139" t="s">
        <v>43</v>
      </c>
      <c r="F56" s="137">
        <v>0</v>
      </c>
      <c r="G56" s="138" t="s">
        <v>43</v>
      </c>
      <c r="H56" s="138" t="s">
        <v>43</v>
      </c>
      <c r="I56" s="137">
        <v>0</v>
      </c>
      <c r="J56" s="138">
        <v>25</v>
      </c>
      <c r="K56" s="142">
        <f>J56+I56</f>
        <v>25</v>
      </c>
      <c r="L56" s="138" t="s">
        <v>56</v>
      </c>
      <c r="M56" s="138">
        <v>25</v>
      </c>
      <c r="N56" s="142">
        <f>M56</f>
        <v>25</v>
      </c>
      <c r="O56" s="238" t="s">
        <v>2006</v>
      </c>
      <c r="P56" s="879">
        <v>31</v>
      </c>
      <c r="Q56" s="705"/>
    </row>
    <row r="57" spans="1:19" ht="24" customHeight="1">
      <c r="A57" s="797">
        <v>32</v>
      </c>
      <c r="B57" s="271" t="s">
        <v>1026</v>
      </c>
      <c r="C57" s="713">
        <v>0</v>
      </c>
      <c r="D57" s="134" t="s">
        <v>56</v>
      </c>
      <c r="E57" s="135" t="s">
        <v>56</v>
      </c>
      <c r="F57" s="713">
        <v>0</v>
      </c>
      <c r="G57" s="714">
        <v>13</v>
      </c>
      <c r="H57" s="141">
        <f>G57+F57</f>
        <v>13</v>
      </c>
      <c r="I57" s="713">
        <v>0</v>
      </c>
      <c r="J57" s="714">
        <v>23</v>
      </c>
      <c r="K57" s="141">
        <f>J57+I57</f>
        <v>23</v>
      </c>
      <c r="L57" s="713" t="s">
        <v>56</v>
      </c>
      <c r="M57" s="714">
        <v>50</v>
      </c>
      <c r="N57" s="141">
        <f t="shared" ref="N57:N58" si="10">M57</f>
        <v>50</v>
      </c>
      <c r="O57" s="643" t="s">
        <v>2007</v>
      </c>
      <c r="P57" s="927">
        <v>32</v>
      </c>
      <c r="Q57" s="44"/>
    </row>
    <row r="58" spans="1:19" ht="27" customHeight="1">
      <c r="A58" s="397">
        <v>33</v>
      </c>
      <c r="B58" s="297" t="s">
        <v>1027</v>
      </c>
      <c r="C58" s="364">
        <v>0</v>
      </c>
      <c r="D58" s="365" t="s">
        <v>56</v>
      </c>
      <c r="E58" s="365" t="s">
        <v>56</v>
      </c>
      <c r="F58" s="364">
        <v>0</v>
      </c>
      <c r="G58" s="367" t="s">
        <v>43</v>
      </c>
      <c r="H58" s="367" t="s">
        <v>43</v>
      </c>
      <c r="I58" s="364">
        <v>0</v>
      </c>
      <c r="J58" s="367">
        <v>26</v>
      </c>
      <c r="K58" s="368">
        <f>J58+I58</f>
        <v>26</v>
      </c>
      <c r="L58" s="367" t="s">
        <v>56</v>
      </c>
      <c r="M58" s="367">
        <v>35</v>
      </c>
      <c r="N58" s="368">
        <f t="shared" si="10"/>
        <v>35</v>
      </c>
      <c r="O58" s="293" t="s">
        <v>2008</v>
      </c>
      <c r="P58" s="929">
        <v>33</v>
      </c>
      <c r="Q58" s="44"/>
    </row>
    <row r="59" spans="1:19" ht="18" hidden="1" customHeight="1">
      <c r="A59" s="1508" t="s">
        <v>1187</v>
      </c>
      <c r="B59" s="1508"/>
      <c r="C59" s="191"/>
      <c r="D59" s="191"/>
      <c r="E59" s="191"/>
      <c r="F59" s="138"/>
      <c r="G59" s="138"/>
      <c r="H59" s="138"/>
      <c r="I59" s="138"/>
      <c r="J59" s="138"/>
      <c r="K59" s="138"/>
      <c r="L59" s="138"/>
      <c r="M59" s="138"/>
      <c r="N59" s="138"/>
      <c r="O59" s="1509" t="s">
        <v>1300</v>
      </c>
      <c r="P59" s="1509"/>
      <c r="Q59" s="705"/>
    </row>
    <row r="60" spans="1:19" s="676" customFormat="1" ht="18" hidden="1" customHeight="1">
      <c r="A60" s="1520"/>
      <c r="B60" s="1520"/>
      <c r="C60" s="523"/>
      <c r="D60" s="523"/>
      <c r="E60" s="523"/>
      <c r="F60" s="523"/>
      <c r="G60" s="523"/>
      <c r="H60" s="523"/>
      <c r="I60" s="523"/>
      <c r="J60" s="168"/>
      <c r="K60" s="168"/>
      <c r="L60" s="1509" t="s">
        <v>1299</v>
      </c>
      <c r="M60" s="1509"/>
      <c r="N60" s="1509"/>
      <c r="O60" s="1509"/>
      <c r="P60" s="1509"/>
      <c r="Q60" s="11"/>
      <c r="R60"/>
      <c r="S60"/>
    </row>
    <row r="61" spans="1:19" s="676" customFormat="1" ht="18" hidden="1" customHeight="1">
      <c r="A61" s="1438" t="s">
        <v>621</v>
      </c>
      <c r="B61" s="1468" t="s">
        <v>1221</v>
      </c>
      <c r="C61" s="1320" t="s">
        <v>1307</v>
      </c>
      <c r="D61" s="1470"/>
      <c r="E61" s="1449"/>
      <c r="F61" s="1320" t="s">
        <v>1219</v>
      </c>
      <c r="G61" s="1470"/>
      <c r="H61" s="1449"/>
      <c r="I61" s="1320" t="s">
        <v>1218</v>
      </c>
      <c r="J61" s="1470"/>
      <c r="K61" s="1449"/>
      <c r="L61" s="1320" t="s">
        <v>79</v>
      </c>
      <c r="M61" s="1470"/>
      <c r="N61" s="1449"/>
      <c r="O61" s="1438" t="s">
        <v>1975</v>
      </c>
      <c r="P61" s="1471" t="s">
        <v>727</v>
      </c>
      <c r="R61"/>
      <c r="S61"/>
    </row>
    <row r="62" spans="1:19" ht="18" hidden="1" customHeight="1">
      <c r="A62" s="1439"/>
      <c r="B62" s="1468"/>
      <c r="C62" s="1280"/>
      <c r="D62" s="1474"/>
      <c r="E62" s="1475"/>
      <c r="F62" s="1280"/>
      <c r="G62" s="1474"/>
      <c r="H62" s="1475"/>
      <c r="I62" s="1280"/>
      <c r="J62" s="1474"/>
      <c r="K62" s="1475"/>
      <c r="L62" s="1280"/>
      <c r="M62" s="1474"/>
      <c r="N62" s="1475"/>
      <c r="O62" s="1439"/>
      <c r="P62" s="1472"/>
    </row>
    <row r="63" spans="1:19" ht="18" hidden="1" customHeight="1">
      <c r="A63" s="1439"/>
      <c r="B63" s="1468"/>
      <c r="C63" s="1281" t="s">
        <v>138</v>
      </c>
      <c r="D63" s="1476"/>
      <c r="E63" s="1450"/>
      <c r="F63" s="1281" t="s">
        <v>1186</v>
      </c>
      <c r="G63" s="1476"/>
      <c r="H63" s="1450"/>
      <c r="I63" s="1281" t="s">
        <v>587</v>
      </c>
      <c r="J63" s="1476"/>
      <c r="K63" s="1450"/>
      <c r="L63" s="1281" t="s">
        <v>137</v>
      </c>
      <c r="M63" s="1476"/>
      <c r="N63" s="1450"/>
      <c r="O63" s="1439"/>
      <c r="P63" s="1472"/>
    </row>
    <row r="64" spans="1:19" ht="18" hidden="1" customHeight="1">
      <c r="A64" s="1439"/>
      <c r="B64" s="1469"/>
      <c r="C64" s="1382" t="s">
        <v>583</v>
      </c>
      <c r="D64" s="1382" t="s">
        <v>581</v>
      </c>
      <c r="E64" s="1449" t="s">
        <v>489</v>
      </c>
      <c r="F64" s="1382" t="s">
        <v>583</v>
      </c>
      <c r="G64" s="1382" t="s">
        <v>581</v>
      </c>
      <c r="H64" s="1449" t="s">
        <v>489</v>
      </c>
      <c r="I64" s="1382" t="s">
        <v>583</v>
      </c>
      <c r="J64" s="1382" t="s">
        <v>581</v>
      </c>
      <c r="K64" s="1449" t="s">
        <v>489</v>
      </c>
      <c r="L64" s="1382" t="s">
        <v>583</v>
      </c>
      <c r="M64" s="1382" t="s">
        <v>581</v>
      </c>
      <c r="N64" s="1449" t="s">
        <v>489</v>
      </c>
      <c r="O64" s="1439"/>
      <c r="P64" s="1472"/>
      <c r="Q64" s="676"/>
    </row>
    <row r="65" spans="1:19" ht="18" hidden="1" customHeight="1">
      <c r="A65" s="1439"/>
      <c r="B65" s="1469"/>
      <c r="C65" s="1384"/>
      <c r="D65" s="1384"/>
      <c r="E65" s="1450"/>
      <c r="F65" s="1384"/>
      <c r="G65" s="1384"/>
      <c r="H65" s="1450"/>
      <c r="I65" s="1384"/>
      <c r="J65" s="1384"/>
      <c r="K65" s="1450"/>
      <c r="L65" s="1384"/>
      <c r="M65" s="1384"/>
      <c r="N65" s="1450"/>
      <c r="O65" s="1439"/>
      <c r="P65" s="1472"/>
    </row>
    <row r="66" spans="1:19" ht="18" hidden="1" customHeight="1">
      <c r="A66" s="1462"/>
      <c r="B66" s="1469"/>
      <c r="C66" s="1206" t="s">
        <v>133</v>
      </c>
      <c r="D66" s="1206" t="s">
        <v>134</v>
      </c>
      <c r="E66" s="893" t="s">
        <v>100</v>
      </c>
      <c r="F66" s="1206" t="s">
        <v>133</v>
      </c>
      <c r="G66" s="1206" t="s">
        <v>134</v>
      </c>
      <c r="H66" s="893" t="s">
        <v>100</v>
      </c>
      <c r="I66" s="1206" t="s">
        <v>133</v>
      </c>
      <c r="J66" s="1206" t="s">
        <v>134</v>
      </c>
      <c r="K66" s="893" t="s">
        <v>100</v>
      </c>
      <c r="L66" s="1206" t="s">
        <v>133</v>
      </c>
      <c r="M66" s="1206" t="s">
        <v>134</v>
      </c>
      <c r="N66" s="893" t="s">
        <v>100</v>
      </c>
      <c r="O66" s="1462"/>
      <c r="P66" s="1473"/>
    </row>
    <row r="67" spans="1:19" ht="25" customHeight="1">
      <c r="A67" s="797"/>
      <c r="B67" s="843" t="s">
        <v>1028</v>
      </c>
      <c r="C67" s="713"/>
      <c r="D67" s="134"/>
      <c r="E67" s="135"/>
      <c r="F67" s="713"/>
      <c r="G67" s="714"/>
      <c r="H67" s="714"/>
      <c r="I67" s="713"/>
      <c r="J67" s="1037"/>
      <c r="K67" s="141"/>
      <c r="L67" s="714"/>
      <c r="M67" s="714"/>
      <c r="N67" s="141"/>
      <c r="O67" s="743" t="s">
        <v>20</v>
      </c>
      <c r="P67" s="927"/>
    </row>
    <row r="68" spans="1:19" ht="28" customHeight="1">
      <c r="A68" s="396">
        <v>34</v>
      </c>
      <c r="B68" s="241" t="s">
        <v>1029</v>
      </c>
      <c r="C68" s="1010">
        <v>0</v>
      </c>
      <c r="D68" s="213">
        <v>2</v>
      </c>
      <c r="E68" s="295">
        <f>D68+C68</f>
        <v>2</v>
      </c>
      <c r="F68" s="1010">
        <v>0</v>
      </c>
      <c r="G68" s="213" t="s">
        <v>56</v>
      </c>
      <c r="H68" s="1042" t="s">
        <v>56</v>
      </c>
      <c r="I68" s="1010">
        <v>0</v>
      </c>
      <c r="J68" s="213" t="s">
        <v>43</v>
      </c>
      <c r="K68" s="1042" t="s">
        <v>43</v>
      </c>
      <c r="L68" s="1010" t="s">
        <v>43</v>
      </c>
      <c r="M68" s="213">
        <v>22</v>
      </c>
      <c r="N68" s="1042">
        <f>M68</f>
        <v>22</v>
      </c>
      <c r="O68" s="238" t="s">
        <v>2009</v>
      </c>
      <c r="P68" s="928">
        <v>34</v>
      </c>
    </row>
    <row r="69" spans="1:19" ht="25" customHeight="1">
      <c r="A69" s="325"/>
      <c r="B69" s="843" t="s">
        <v>1030</v>
      </c>
      <c r="C69" s="713"/>
      <c r="D69" s="134"/>
      <c r="E69" s="639"/>
      <c r="F69" s="713"/>
      <c r="G69" s="714"/>
      <c r="H69" s="714"/>
      <c r="I69" s="713"/>
      <c r="J69" s="1037"/>
      <c r="K69" s="141"/>
      <c r="L69" s="714"/>
      <c r="M69" s="714"/>
      <c r="N69" s="141"/>
      <c r="O69" s="727" t="s">
        <v>21</v>
      </c>
      <c r="P69" s="878"/>
    </row>
    <row r="70" spans="1:19" ht="28" customHeight="1">
      <c r="A70" s="192">
        <v>35</v>
      </c>
      <c r="B70" s="241" t="s">
        <v>1031</v>
      </c>
      <c r="C70" s="137">
        <v>0</v>
      </c>
      <c r="D70" s="139" t="s">
        <v>56</v>
      </c>
      <c r="E70" s="140" t="s">
        <v>56</v>
      </c>
      <c r="F70" s="138">
        <v>0</v>
      </c>
      <c r="G70" s="138">
        <v>1</v>
      </c>
      <c r="H70" s="142">
        <f>G70+F70</f>
        <v>1</v>
      </c>
      <c r="I70" s="138">
        <v>0</v>
      </c>
      <c r="J70" s="138">
        <v>29</v>
      </c>
      <c r="K70" s="142">
        <f t="shared" ref="K70:K75" si="11">J70+I70</f>
        <v>29</v>
      </c>
      <c r="L70" s="138" t="s">
        <v>43</v>
      </c>
      <c r="M70" s="138">
        <v>38</v>
      </c>
      <c r="N70" s="142">
        <f t="shared" ref="N70:N74" si="12">M70</f>
        <v>38</v>
      </c>
      <c r="O70" s="238" t="s">
        <v>2010</v>
      </c>
      <c r="P70" s="928">
        <v>35</v>
      </c>
      <c r="Q70" s="705"/>
    </row>
    <row r="71" spans="1:19" ht="28" customHeight="1">
      <c r="A71" s="797">
        <v>36</v>
      </c>
      <c r="B71" s="271" t="s">
        <v>1032</v>
      </c>
      <c r="C71" s="713">
        <v>0</v>
      </c>
      <c r="D71" s="134" t="s">
        <v>56</v>
      </c>
      <c r="E71" s="134" t="s">
        <v>56</v>
      </c>
      <c r="F71" s="713">
        <v>0</v>
      </c>
      <c r="G71" s="714">
        <v>14</v>
      </c>
      <c r="H71" s="141">
        <f>G71+F71</f>
        <v>14</v>
      </c>
      <c r="I71" s="713">
        <v>0</v>
      </c>
      <c r="J71" s="714">
        <v>16</v>
      </c>
      <c r="K71" s="141">
        <f t="shared" si="11"/>
        <v>16</v>
      </c>
      <c r="L71" s="714" t="s">
        <v>43</v>
      </c>
      <c r="M71" s="714">
        <v>62</v>
      </c>
      <c r="N71" s="141">
        <f t="shared" si="12"/>
        <v>62</v>
      </c>
      <c r="O71" s="635" t="s">
        <v>2011</v>
      </c>
      <c r="P71" s="927">
        <v>36</v>
      </c>
    </row>
    <row r="72" spans="1:19" ht="25" customHeight="1">
      <c r="A72" s="396">
        <v>37</v>
      </c>
      <c r="B72" s="241" t="s">
        <v>1033</v>
      </c>
      <c r="C72" s="137">
        <v>0</v>
      </c>
      <c r="D72" s="139">
        <v>2</v>
      </c>
      <c r="E72" s="139">
        <f>D72+C72</f>
        <v>2</v>
      </c>
      <c r="F72" s="137">
        <v>0</v>
      </c>
      <c r="G72" s="138">
        <v>8</v>
      </c>
      <c r="H72" s="138">
        <f>G72+F72</f>
        <v>8</v>
      </c>
      <c r="I72" s="137">
        <v>0</v>
      </c>
      <c r="J72" s="138">
        <v>16</v>
      </c>
      <c r="K72" s="142">
        <f t="shared" si="11"/>
        <v>16</v>
      </c>
      <c r="L72" s="138" t="s">
        <v>43</v>
      </c>
      <c r="M72" s="138">
        <v>49</v>
      </c>
      <c r="N72" s="142">
        <f t="shared" si="12"/>
        <v>49</v>
      </c>
      <c r="O72" s="246" t="s">
        <v>2012</v>
      </c>
      <c r="P72" s="928">
        <v>37</v>
      </c>
      <c r="Q72" s="44"/>
    </row>
    <row r="73" spans="1:19" ht="24" customHeight="1">
      <c r="A73" s="797">
        <v>38</v>
      </c>
      <c r="B73" s="271" t="s">
        <v>1034</v>
      </c>
      <c r="C73" s="713">
        <v>0</v>
      </c>
      <c r="D73" s="134">
        <v>3</v>
      </c>
      <c r="E73" s="135">
        <f>D73+C73</f>
        <v>3</v>
      </c>
      <c r="F73" s="714">
        <v>0</v>
      </c>
      <c r="G73" s="714">
        <v>5</v>
      </c>
      <c r="H73" s="141">
        <f>G73+F73</f>
        <v>5</v>
      </c>
      <c r="I73" s="714">
        <v>0</v>
      </c>
      <c r="J73" s="714">
        <v>30</v>
      </c>
      <c r="K73" s="141">
        <f t="shared" si="11"/>
        <v>30</v>
      </c>
      <c r="L73" s="714" t="s">
        <v>43</v>
      </c>
      <c r="M73" s="714">
        <v>34</v>
      </c>
      <c r="N73" s="141">
        <f t="shared" si="12"/>
        <v>34</v>
      </c>
      <c r="O73" s="643" t="s">
        <v>2013</v>
      </c>
      <c r="P73" s="927">
        <v>38</v>
      </c>
    </row>
    <row r="74" spans="1:19" s="676" customFormat="1" ht="28" customHeight="1">
      <c r="A74" s="396">
        <v>39</v>
      </c>
      <c r="B74" s="241" t="s">
        <v>1035</v>
      </c>
      <c r="C74" s="137">
        <v>0</v>
      </c>
      <c r="D74" s="139">
        <v>2</v>
      </c>
      <c r="E74" s="139">
        <f>D74+C74</f>
        <v>2</v>
      </c>
      <c r="F74" s="137">
        <v>0</v>
      </c>
      <c r="G74" s="138">
        <v>5</v>
      </c>
      <c r="H74" s="138">
        <f>G74+F74</f>
        <v>5</v>
      </c>
      <c r="I74" s="137">
        <v>0</v>
      </c>
      <c r="J74" s="138">
        <v>28</v>
      </c>
      <c r="K74" s="142">
        <f t="shared" si="11"/>
        <v>28</v>
      </c>
      <c r="L74" s="138" t="s">
        <v>43</v>
      </c>
      <c r="M74" s="138">
        <v>60</v>
      </c>
      <c r="N74" s="142">
        <f t="shared" si="12"/>
        <v>60</v>
      </c>
      <c r="O74" s="246" t="s">
        <v>2014</v>
      </c>
      <c r="P74" s="928">
        <v>39</v>
      </c>
      <c r="Q74" s="44"/>
      <c r="R74"/>
      <c r="S74"/>
    </row>
    <row r="75" spans="1:19" s="676" customFormat="1" ht="28" customHeight="1">
      <c r="A75" s="325">
        <v>40</v>
      </c>
      <c r="B75" s="271" t="s">
        <v>1041</v>
      </c>
      <c r="C75" s="713">
        <v>2</v>
      </c>
      <c r="D75" s="134">
        <v>1</v>
      </c>
      <c r="E75" s="134">
        <f>D75+C75</f>
        <v>3</v>
      </c>
      <c r="F75" s="713">
        <v>0</v>
      </c>
      <c r="G75" s="714" t="s">
        <v>56</v>
      </c>
      <c r="H75" s="714" t="s">
        <v>56</v>
      </c>
      <c r="I75" s="713">
        <v>25</v>
      </c>
      <c r="J75" s="714">
        <v>41</v>
      </c>
      <c r="K75" s="141">
        <f t="shared" si="11"/>
        <v>66</v>
      </c>
      <c r="L75" s="714">
        <v>39</v>
      </c>
      <c r="M75" s="714">
        <v>64</v>
      </c>
      <c r="N75" s="141">
        <f t="shared" ref="N75" si="13">M75+L75</f>
        <v>103</v>
      </c>
      <c r="O75" s="635" t="s">
        <v>2015</v>
      </c>
      <c r="P75" s="927">
        <v>40</v>
      </c>
      <c r="Q75" s="44"/>
      <c r="R75"/>
      <c r="S75"/>
    </row>
    <row r="76" spans="1:19" ht="25" customHeight="1">
      <c r="A76" s="192"/>
      <c r="B76" s="622" t="s">
        <v>1036</v>
      </c>
      <c r="C76" s="137"/>
      <c r="D76" s="139"/>
      <c r="E76" s="140"/>
      <c r="F76" s="138"/>
      <c r="G76" s="138"/>
      <c r="H76" s="142"/>
      <c r="I76" s="138"/>
      <c r="J76" s="1038"/>
      <c r="K76" s="142"/>
      <c r="L76" s="138"/>
      <c r="M76" s="138"/>
      <c r="N76" s="142"/>
      <c r="O76" s="1000" t="s">
        <v>31</v>
      </c>
      <c r="P76" s="928"/>
      <c r="Q76" s="44"/>
    </row>
    <row r="77" spans="1:19" s="676" customFormat="1" ht="28" customHeight="1">
      <c r="A77" s="325">
        <v>41</v>
      </c>
      <c r="B77" s="271" t="s">
        <v>1267</v>
      </c>
      <c r="C77" s="713">
        <v>0</v>
      </c>
      <c r="D77" s="134">
        <v>3</v>
      </c>
      <c r="E77" s="134">
        <f t="shared" ref="E77:E83" si="14">D77+C77</f>
        <v>3</v>
      </c>
      <c r="F77" s="713">
        <v>0</v>
      </c>
      <c r="G77" s="714">
        <v>7</v>
      </c>
      <c r="H77" s="714">
        <f>G77+F77</f>
        <v>7</v>
      </c>
      <c r="I77" s="713">
        <v>10</v>
      </c>
      <c r="J77" s="714">
        <v>64</v>
      </c>
      <c r="K77" s="141">
        <f t="shared" ref="K77:K83" si="15">J77+I77</f>
        <v>74</v>
      </c>
      <c r="L77" s="714">
        <v>42</v>
      </c>
      <c r="M77" s="714">
        <v>192</v>
      </c>
      <c r="N77" s="141">
        <f t="shared" ref="N77:N82" si="16">M77+L77</f>
        <v>234</v>
      </c>
      <c r="O77" s="635" t="s">
        <v>2016</v>
      </c>
      <c r="P77" s="878">
        <v>41</v>
      </c>
      <c r="Q77" s="44"/>
      <c r="R77"/>
      <c r="S77"/>
    </row>
    <row r="78" spans="1:19" ht="28" customHeight="1">
      <c r="A78" s="192">
        <v>42</v>
      </c>
      <c r="B78" s="240" t="s">
        <v>1037</v>
      </c>
      <c r="C78" s="137">
        <v>0</v>
      </c>
      <c r="D78" s="139">
        <v>1</v>
      </c>
      <c r="E78" s="140">
        <f t="shared" si="14"/>
        <v>1</v>
      </c>
      <c r="F78" s="138">
        <v>0</v>
      </c>
      <c r="G78" s="138" t="s">
        <v>56</v>
      </c>
      <c r="H78" s="142" t="s">
        <v>56</v>
      </c>
      <c r="I78" s="137">
        <v>0</v>
      </c>
      <c r="J78" s="138">
        <v>20</v>
      </c>
      <c r="K78" s="142">
        <f t="shared" si="15"/>
        <v>20</v>
      </c>
      <c r="L78" s="138" t="s">
        <v>56</v>
      </c>
      <c r="M78" s="138">
        <v>20</v>
      </c>
      <c r="N78" s="142">
        <f t="shared" ref="N78:N80" si="17">M78</f>
        <v>20</v>
      </c>
      <c r="O78" s="238" t="s">
        <v>2017</v>
      </c>
      <c r="P78" s="928">
        <v>42</v>
      </c>
      <c r="Q78" s="44"/>
    </row>
    <row r="79" spans="1:19" ht="28" customHeight="1">
      <c r="A79" s="325">
        <v>43</v>
      </c>
      <c r="B79" s="239" t="s">
        <v>1038</v>
      </c>
      <c r="C79" s="713">
        <v>0</v>
      </c>
      <c r="D79" s="134">
        <v>3</v>
      </c>
      <c r="E79" s="135">
        <f t="shared" si="14"/>
        <v>3</v>
      </c>
      <c r="F79" s="713">
        <v>0</v>
      </c>
      <c r="G79" s="714">
        <v>16</v>
      </c>
      <c r="H79" s="714">
        <f>G79+F79</f>
        <v>16</v>
      </c>
      <c r="I79" s="713">
        <v>0</v>
      </c>
      <c r="J79" s="714">
        <v>44</v>
      </c>
      <c r="K79" s="141">
        <f t="shared" si="15"/>
        <v>44</v>
      </c>
      <c r="L79" s="713" t="s">
        <v>56</v>
      </c>
      <c r="M79" s="714">
        <v>56</v>
      </c>
      <c r="N79" s="141">
        <f t="shared" si="17"/>
        <v>56</v>
      </c>
      <c r="O79" s="248" t="s">
        <v>2018</v>
      </c>
      <c r="P79" s="878">
        <v>43</v>
      </c>
      <c r="Q79" s="44"/>
    </row>
    <row r="80" spans="1:19" s="676" customFormat="1" ht="28" customHeight="1">
      <c r="A80" s="396">
        <v>44</v>
      </c>
      <c r="B80" s="240" t="s">
        <v>1039</v>
      </c>
      <c r="C80" s="137">
        <v>0</v>
      </c>
      <c r="D80" s="139">
        <v>3</v>
      </c>
      <c r="E80" s="140">
        <f t="shared" si="14"/>
        <v>3</v>
      </c>
      <c r="F80" s="137">
        <v>0</v>
      </c>
      <c r="G80" s="138" t="s">
        <v>56</v>
      </c>
      <c r="H80" s="138" t="s">
        <v>56</v>
      </c>
      <c r="I80" s="137">
        <v>0</v>
      </c>
      <c r="J80" s="138">
        <v>15</v>
      </c>
      <c r="K80" s="142">
        <f t="shared" si="15"/>
        <v>15</v>
      </c>
      <c r="L80" s="137" t="s">
        <v>56</v>
      </c>
      <c r="M80" s="138">
        <v>27</v>
      </c>
      <c r="N80" s="142">
        <f t="shared" si="17"/>
        <v>27</v>
      </c>
      <c r="O80" s="247" t="s">
        <v>2019</v>
      </c>
      <c r="P80" s="928">
        <v>44</v>
      </c>
      <c r="R80"/>
      <c r="S80"/>
    </row>
    <row r="81" spans="1:19" ht="28" customHeight="1">
      <c r="A81" s="797">
        <v>45</v>
      </c>
      <c r="B81" s="239" t="s">
        <v>1040</v>
      </c>
      <c r="C81" s="713">
        <v>0</v>
      </c>
      <c r="D81" s="134">
        <v>3</v>
      </c>
      <c r="E81" s="135">
        <f t="shared" si="14"/>
        <v>3</v>
      </c>
      <c r="F81" s="713">
        <v>0</v>
      </c>
      <c r="G81" s="714" t="s">
        <v>56</v>
      </c>
      <c r="H81" s="714" t="s">
        <v>56</v>
      </c>
      <c r="I81" s="713"/>
      <c r="J81" s="714">
        <v>15</v>
      </c>
      <c r="K81" s="141">
        <f t="shared" si="15"/>
        <v>15</v>
      </c>
      <c r="L81" s="713" t="s">
        <v>56</v>
      </c>
      <c r="M81" s="714">
        <v>49</v>
      </c>
      <c r="N81" s="141">
        <f>M81</f>
        <v>49</v>
      </c>
      <c r="O81" s="248" t="s">
        <v>2143</v>
      </c>
      <c r="P81" s="878">
        <v>45</v>
      </c>
      <c r="Q81" s="44"/>
    </row>
    <row r="82" spans="1:19" s="676" customFormat="1" ht="28" customHeight="1">
      <c r="A82" s="396">
        <v>46</v>
      </c>
      <c r="B82" s="240" t="s">
        <v>1041</v>
      </c>
      <c r="C82" s="137">
        <v>2</v>
      </c>
      <c r="D82" s="139">
        <v>3</v>
      </c>
      <c r="E82" s="140">
        <f t="shared" si="14"/>
        <v>5</v>
      </c>
      <c r="F82" s="137"/>
      <c r="G82" s="138">
        <v>11</v>
      </c>
      <c r="H82" s="138">
        <f>G82+F82</f>
        <v>11</v>
      </c>
      <c r="I82" s="137">
        <v>10</v>
      </c>
      <c r="J82" s="138">
        <v>26</v>
      </c>
      <c r="K82" s="142">
        <f t="shared" si="15"/>
        <v>36</v>
      </c>
      <c r="L82" s="137">
        <v>90</v>
      </c>
      <c r="M82" s="138">
        <v>209</v>
      </c>
      <c r="N82" s="142">
        <f t="shared" si="16"/>
        <v>299</v>
      </c>
      <c r="O82" s="247" t="s">
        <v>2020</v>
      </c>
      <c r="P82" s="928">
        <v>46</v>
      </c>
      <c r="Q82" s="705"/>
      <c r="R82"/>
      <c r="S82"/>
    </row>
    <row r="83" spans="1:19" ht="25" customHeight="1">
      <c r="A83" s="797">
        <v>47</v>
      </c>
      <c r="B83" s="239" t="s">
        <v>1042</v>
      </c>
      <c r="C83" s="713">
        <v>1</v>
      </c>
      <c r="D83" s="134">
        <v>1</v>
      </c>
      <c r="E83" s="135">
        <f t="shared" si="14"/>
        <v>2</v>
      </c>
      <c r="F83" s="714">
        <v>0</v>
      </c>
      <c r="G83" s="714" t="s">
        <v>56</v>
      </c>
      <c r="H83" s="141" t="s">
        <v>56</v>
      </c>
      <c r="I83" s="713">
        <v>0</v>
      </c>
      <c r="J83" s="714">
        <v>76</v>
      </c>
      <c r="K83" s="141">
        <f t="shared" si="15"/>
        <v>76</v>
      </c>
      <c r="L83" s="713" t="s">
        <v>56</v>
      </c>
      <c r="M83" s="714">
        <v>89</v>
      </c>
      <c r="N83" s="141">
        <f>M83</f>
        <v>89</v>
      </c>
      <c r="O83" s="248" t="s">
        <v>2021</v>
      </c>
      <c r="P83" s="878">
        <v>47</v>
      </c>
      <c r="Q83" s="44"/>
    </row>
    <row r="84" spans="1:19" ht="21.75" customHeight="1">
      <c r="A84" s="192"/>
      <c r="B84" s="490" t="s">
        <v>1043</v>
      </c>
      <c r="C84" s="137"/>
      <c r="D84" s="139"/>
      <c r="E84" s="140"/>
      <c r="F84" s="137"/>
      <c r="G84" s="138"/>
      <c r="H84" s="138"/>
      <c r="I84" s="137"/>
      <c r="J84" s="1038"/>
      <c r="K84" s="142"/>
      <c r="L84" s="137"/>
      <c r="M84" s="138"/>
      <c r="N84" s="142"/>
      <c r="O84" s="1000" t="s">
        <v>32</v>
      </c>
      <c r="P84" s="928"/>
      <c r="Q84" s="705"/>
    </row>
    <row r="85" spans="1:19" s="676" customFormat="1" ht="28" customHeight="1">
      <c r="A85" s="797">
        <v>48</v>
      </c>
      <c r="B85" s="239" t="s">
        <v>1044</v>
      </c>
      <c r="C85" s="713">
        <v>0</v>
      </c>
      <c r="D85" s="134">
        <v>1</v>
      </c>
      <c r="E85" s="135">
        <f>D85+C85</f>
        <v>1</v>
      </c>
      <c r="F85" s="713">
        <v>0</v>
      </c>
      <c r="G85" s="714" t="s">
        <v>56</v>
      </c>
      <c r="H85" s="141" t="s">
        <v>56</v>
      </c>
      <c r="I85" s="713">
        <v>0</v>
      </c>
      <c r="J85" s="714">
        <v>16</v>
      </c>
      <c r="K85" s="141">
        <f>J85+I85</f>
        <v>16</v>
      </c>
      <c r="L85" s="713" t="s">
        <v>56</v>
      </c>
      <c r="M85" s="1044">
        <v>36</v>
      </c>
      <c r="N85" s="141">
        <f t="shared" ref="N85:N87" si="18">M85</f>
        <v>36</v>
      </c>
      <c r="O85" s="248" t="s">
        <v>2022</v>
      </c>
      <c r="P85" s="927">
        <v>48</v>
      </c>
      <c r="Q85" s="44"/>
      <c r="R85"/>
      <c r="S85"/>
    </row>
    <row r="86" spans="1:19" ht="28" customHeight="1">
      <c r="A86" s="396">
        <v>49</v>
      </c>
      <c r="B86" s="240" t="s">
        <v>1045</v>
      </c>
      <c r="C86" s="137">
        <v>0</v>
      </c>
      <c r="D86" s="139">
        <v>1</v>
      </c>
      <c r="E86" s="140">
        <f>D86+C86</f>
        <v>1</v>
      </c>
      <c r="F86" s="137">
        <v>0</v>
      </c>
      <c r="G86" s="138" t="s">
        <v>56</v>
      </c>
      <c r="H86" s="138" t="s">
        <v>56</v>
      </c>
      <c r="I86" s="137">
        <v>0</v>
      </c>
      <c r="J86" s="138">
        <v>14</v>
      </c>
      <c r="K86" s="142">
        <f>J86+I86</f>
        <v>14</v>
      </c>
      <c r="L86" s="137" t="s">
        <v>56</v>
      </c>
      <c r="M86" s="1043">
        <v>37</v>
      </c>
      <c r="N86" s="142">
        <f t="shared" si="18"/>
        <v>37</v>
      </c>
      <c r="O86" s="247" t="s">
        <v>2023</v>
      </c>
      <c r="P86" s="879">
        <v>49</v>
      </c>
      <c r="Q86" s="705"/>
    </row>
    <row r="87" spans="1:19" ht="28" customHeight="1">
      <c r="A87" s="800">
        <v>50</v>
      </c>
      <c r="B87" s="275" t="s">
        <v>1046</v>
      </c>
      <c r="C87" s="811">
        <v>0</v>
      </c>
      <c r="D87" s="194">
        <v>2</v>
      </c>
      <c r="E87" s="195">
        <f>D87+C87</f>
        <v>2</v>
      </c>
      <c r="F87" s="811">
        <v>0</v>
      </c>
      <c r="G87" s="812" t="s">
        <v>56</v>
      </c>
      <c r="H87" s="812" t="s">
        <v>56</v>
      </c>
      <c r="I87" s="811">
        <v>0</v>
      </c>
      <c r="J87" s="812">
        <v>23</v>
      </c>
      <c r="K87" s="193">
        <f>J87+I87</f>
        <v>23</v>
      </c>
      <c r="L87" s="811" t="s">
        <v>56</v>
      </c>
      <c r="M87" s="1045">
        <v>36</v>
      </c>
      <c r="N87" s="193">
        <f t="shared" si="18"/>
        <v>36</v>
      </c>
      <c r="O87" s="813" t="s">
        <v>2024</v>
      </c>
      <c r="P87" s="930">
        <v>50</v>
      </c>
      <c r="Q87" s="705"/>
    </row>
    <row r="88" spans="1:19" ht="18" hidden="1" customHeight="1">
      <c r="A88" s="1508" t="s">
        <v>1187</v>
      </c>
      <c r="B88" s="1508"/>
      <c r="C88" s="191"/>
      <c r="D88" s="191"/>
      <c r="E88" s="191"/>
      <c r="F88" s="138"/>
      <c r="G88" s="138"/>
      <c r="H88" s="138"/>
      <c r="I88" s="138"/>
      <c r="J88" s="138"/>
      <c r="K88" s="138"/>
      <c r="L88" s="138"/>
      <c r="M88" s="138"/>
      <c r="N88" s="138"/>
      <c r="O88" s="1509" t="s">
        <v>1300</v>
      </c>
      <c r="P88" s="1509"/>
      <c r="Q88" s="44"/>
    </row>
    <row r="89" spans="1:19" ht="18" hidden="1" customHeight="1">
      <c r="A89" s="1520"/>
      <c r="B89" s="1520"/>
      <c r="J89" s="168"/>
      <c r="K89" s="168"/>
      <c r="L89" s="1509" t="s">
        <v>1299</v>
      </c>
      <c r="M89" s="1509"/>
      <c r="N89" s="1509"/>
      <c r="O89" s="1509"/>
      <c r="P89" s="1509"/>
      <c r="Q89" s="44"/>
    </row>
    <row r="90" spans="1:19" ht="18" hidden="1" customHeight="1">
      <c r="A90" s="1438" t="s">
        <v>621</v>
      </c>
      <c r="B90" s="1468" t="s">
        <v>1221</v>
      </c>
      <c r="C90" s="1320" t="s">
        <v>1307</v>
      </c>
      <c r="D90" s="1470"/>
      <c r="E90" s="1449"/>
      <c r="F90" s="1320" t="s">
        <v>1219</v>
      </c>
      <c r="G90" s="1470"/>
      <c r="H90" s="1449"/>
      <c r="I90" s="1320" t="s">
        <v>1218</v>
      </c>
      <c r="J90" s="1470"/>
      <c r="K90" s="1449"/>
      <c r="L90" s="1320" t="s">
        <v>79</v>
      </c>
      <c r="M90" s="1470"/>
      <c r="N90" s="1449"/>
      <c r="O90" s="1438" t="s">
        <v>1975</v>
      </c>
      <c r="P90" s="1471" t="s">
        <v>727</v>
      </c>
      <c r="Q90" s="44"/>
    </row>
    <row r="91" spans="1:19" ht="18" hidden="1" customHeight="1">
      <c r="A91" s="1439"/>
      <c r="B91" s="1468"/>
      <c r="C91" s="1280"/>
      <c r="D91" s="1474"/>
      <c r="E91" s="1475"/>
      <c r="F91" s="1280"/>
      <c r="G91" s="1474"/>
      <c r="H91" s="1475"/>
      <c r="I91" s="1280"/>
      <c r="J91" s="1474"/>
      <c r="K91" s="1475"/>
      <c r="L91" s="1280"/>
      <c r="M91" s="1474"/>
      <c r="N91" s="1475"/>
      <c r="O91" s="1439"/>
      <c r="P91" s="1472"/>
      <c r="Q91" s="44"/>
    </row>
    <row r="92" spans="1:19" ht="18" hidden="1" customHeight="1">
      <c r="A92" s="1439"/>
      <c r="B92" s="1468"/>
      <c r="C92" s="1281" t="s">
        <v>138</v>
      </c>
      <c r="D92" s="1476"/>
      <c r="E92" s="1450"/>
      <c r="F92" s="1281" t="s">
        <v>1186</v>
      </c>
      <c r="G92" s="1476"/>
      <c r="H92" s="1450"/>
      <c r="I92" s="1281" t="s">
        <v>587</v>
      </c>
      <c r="J92" s="1476"/>
      <c r="K92" s="1450"/>
      <c r="L92" s="1281" t="s">
        <v>137</v>
      </c>
      <c r="M92" s="1476"/>
      <c r="N92" s="1450"/>
      <c r="O92" s="1439"/>
      <c r="P92" s="1472"/>
      <c r="Q92" s="44"/>
    </row>
    <row r="93" spans="1:19" ht="18" hidden="1" customHeight="1">
      <c r="A93" s="1439"/>
      <c r="B93" s="1469"/>
      <c r="C93" s="1382" t="s">
        <v>583</v>
      </c>
      <c r="D93" s="1382" t="s">
        <v>581</v>
      </c>
      <c r="E93" s="1449" t="s">
        <v>489</v>
      </c>
      <c r="F93" s="1382" t="s">
        <v>583</v>
      </c>
      <c r="G93" s="1382" t="s">
        <v>581</v>
      </c>
      <c r="H93" s="1449" t="s">
        <v>489</v>
      </c>
      <c r="I93" s="1382" t="s">
        <v>583</v>
      </c>
      <c r="J93" s="1382" t="s">
        <v>581</v>
      </c>
      <c r="K93" s="1449" t="s">
        <v>489</v>
      </c>
      <c r="L93" s="1382" t="s">
        <v>583</v>
      </c>
      <c r="M93" s="1382" t="s">
        <v>581</v>
      </c>
      <c r="N93" s="1449" t="s">
        <v>489</v>
      </c>
      <c r="O93" s="1439"/>
      <c r="P93" s="1472"/>
      <c r="Q93" s="44"/>
    </row>
    <row r="94" spans="1:19" ht="18" hidden="1" customHeight="1">
      <c r="A94" s="1439"/>
      <c r="B94" s="1469"/>
      <c r="C94" s="1384"/>
      <c r="D94" s="1384"/>
      <c r="E94" s="1450"/>
      <c r="F94" s="1384"/>
      <c r="G94" s="1384"/>
      <c r="H94" s="1450"/>
      <c r="I94" s="1384"/>
      <c r="J94" s="1384"/>
      <c r="K94" s="1450"/>
      <c r="L94" s="1384"/>
      <c r="M94" s="1384"/>
      <c r="N94" s="1450"/>
      <c r="O94" s="1439"/>
      <c r="P94" s="1472"/>
      <c r="Q94" s="44"/>
    </row>
    <row r="95" spans="1:19" ht="18" hidden="1" customHeight="1">
      <c r="A95" s="1462"/>
      <c r="B95" s="1469"/>
      <c r="C95" s="1206" t="s">
        <v>133</v>
      </c>
      <c r="D95" s="1206" t="s">
        <v>134</v>
      </c>
      <c r="E95" s="893" t="s">
        <v>100</v>
      </c>
      <c r="F95" s="1206" t="s">
        <v>133</v>
      </c>
      <c r="G95" s="1206" t="s">
        <v>134</v>
      </c>
      <c r="H95" s="893" t="s">
        <v>100</v>
      </c>
      <c r="I95" s="1206" t="s">
        <v>133</v>
      </c>
      <c r="J95" s="1206" t="s">
        <v>134</v>
      </c>
      <c r="K95" s="893" t="s">
        <v>100</v>
      </c>
      <c r="L95" s="1206" t="s">
        <v>133</v>
      </c>
      <c r="M95" s="1206" t="s">
        <v>134</v>
      </c>
      <c r="N95" s="893" t="s">
        <v>100</v>
      </c>
      <c r="O95" s="1462"/>
      <c r="P95" s="1473"/>
      <c r="Q95" s="44"/>
    </row>
    <row r="96" spans="1:19" s="676" customFormat="1" ht="30" customHeight="1">
      <c r="A96" s="325">
        <v>51</v>
      </c>
      <c r="B96" s="239" t="s">
        <v>1047</v>
      </c>
      <c r="C96" s="713">
        <v>0</v>
      </c>
      <c r="D96" s="134">
        <v>5</v>
      </c>
      <c r="E96" s="135">
        <f>D96+C96</f>
        <v>5</v>
      </c>
      <c r="F96" s="713">
        <v>0</v>
      </c>
      <c r="G96" s="714" t="s">
        <v>56</v>
      </c>
      <c r="H96" s="714" t="s">
        <v>56</v>
      </c>
      <c r="I96" s="713">
        <v>0</v>
      </c>
      <c r="J96" s="714">
        <v>14</v>
      </c>
      <c r="K96" s="141">
        <f>J96+I96</f>
        <v>14</v>
      </c>
      <c r="L96" s="713" t="s">
        <v>56</v>
      </c>
      <c r="M96" s="1044">
        <v>26</v>
      </c>
      <c r="N96" s="141">
        <f>M96</f>
        <v>26</v>
      </c>
      <c r="O96" s="248" t="s">
        <v>2025</v>
      </c>
      <c r="P96" s="878">
        <v>51</v>
      </c>
      <c r="R96"/>
      <c r="S96"/>
    </row>
    <row r="97" spans="1:19" ht="30" customHeight="1">
      <c r="A97" s="192">
        <v>52</v>
      </c>
      <c r="B97" s="240" t="s">
        <v>1048</v>
      </c>
      <c r="C97" s="137">
        <v>0</v>
      </c>
      <c r="D97" s="139">
        <v>2</v>
      </c>
      <c r="E97" s="140">
        <f>D97+C97</f>
        <v>2</v>
      </c>
      <c r="F97" s="137">
        <v>0</v>
      </c>
      <c r="G97" s="138" t="s">
        <v>56</v>
      </c>
      <c r="H97" s="138" t="s">
        <v>56</v>
      </c>
      <c r="I97" s="137">
        <v>0</v>
      </c>
      <c r="J97" s="138">
        <v>12</v>
      </c>
      <c r="K97" s="142">
        <f>J97+I97</f>
        <v>12</v>
      </c>
      <c r="L97" s="137" t="s">
        <v>56</v>
      </c>
      <c r="M97" s="1043">
        <v>20</v>
      </c>
      <c r="N97" s="142">
        <f t="shared" ref="N97:N98" si="19">M97</f>
        <v>20</v>
      </c>
      <c r="O97" s="247" t="s">
        <v>2026</v>
      </c>
      <c r="P97" s="928">
        <v>52</v>
      </c>
      <c r="Q97" s="44"/>
    </row>
    <row r="98" spans="1:19" s="676" customFormat="1" ht="30" customHeight="1">
      <c r="A98" s="325">
        <v>53</v>
      </c>
      <c r="B98" s="239" t="s">
        <v>1049</v>
      </c>
      <c r="C98" s="713">
        <v>0</v>
      </c>
      <c r="D98" s="134">
        <v>2</v>
      </c>
      <c r="E98" s="135">
        <f>D98+C98</f>
        <v>2</v>
      </c>
      <c r="F98" s="713">
        <v>0</v>
      </c>
      <c r="G98" s="714" t="s">
        <v>56</v>
      </c>
      <c r="H98" s="714" t="s">
        <v>56</v>
      </c>
      <c r="I98" s="713">
        <v>0</v>
      </c>
      <c r="J98" s="714">
        <v>15</v>
      </c>
      <c r="K98" s="141">
        <f>J98+I98</f>
        <v>15</v>
      </c>
      <c r="L98" s="713" t="s">
        <v>56</v>
      </c>
      <c r="M98" s="1044">
        <v>21</v>
      </c>
      <c r="N98" s="141">
        <f t="shared" si="19"/>
        <v>21</v>
      </c>
      <c r="O98" s="248" t="s">
        <v>1252</v>
      </c>
      <c r="P98" s="878">
        <v>53</v>
      </c>
      <c r="Q98" s="705"/>
      <c r="R98"/>
      <c r="S98"/>
    </row>
    <row r="99" spans="1:19" ht="30" customHeight="1">
      <c r="A99" s="396"/>
      <c r="B99" s="490" t="s">
        <v>1050</v>
      </c>
      <c r="C99" s="137"/>
      <c r="D99" s="139"/>
      <c r="E99" s="140"/>
      <c r="F99" s="137"/>
      <c r="G99" s="138"/>
      <c r="H99" s="138"/>
      <c r="I99" s="137"/>
      <c r="J99" s="1038"/>
      <c r="K99" s="142"/>
      <c r="L99" s="137"/>
      <c r="M99" s="138"/>
      <c r="N99" s="142"/>
      <c r="O99" s="607" t="s">
        <v>33</v>
      </c>
      <c r="P99" s="879"/>
      <c r="Q99" s="44"/>
    </row>
    <row r="100" spans="1:19" ht="30" customHeight="1">
      <c r="A100" s="797">
        <v>54</v>
      </c>
      <c r="B100" s="239" t="s">
        <v>1051</v>
      </c>
      <c r="C100" s="713">
        <v>0</v>
      </c>
      <c r="D100" s="134">
        <v>1</v>
      </c>
      <c r="E100" s="135">
        <f t="shared" ref="E100:E105" si="20">D100+C100</f>
        <v>1</v>
      </c>
      <c r="F100" s="713">
        <v>0</v>
      </c>
      <c r="G100" s="714">
        <v>10</v>
      </c>
      <c r="H100" s="714">
        <f t="shared" ref="H100:H107" si="21">G100+F100</f>
        <v>10</v>
      </c>
      <c r="I100" s="713">
        <v>0</v>
      </c>
      <c r="J100" s="714">
        <v>21</v>
      </c>
      <c r="K100" s="141">
        <f t="shared" ref="K100:K108" si="22">J100+I100</f>
        <v>21</v>
      </c>
      <c r="L100" s="713" t="s">
        <v>56</v>
      </c>
      <c r="M100" s="1044">
        <v>41</v>
      </c>
      <c r="N100" s="141">
        <f t="shared" ref="N100:N108" si="23">M100</f>
        <v>41</v>
      </c>
      <c r="O100" s="643" t="s">
        <v>2027</v>
      </c>
      <c r="P100" s="927">
        <v>54</v>
      </c>
      <c r="Q100" s="705"/>
    </row>
    <row r="101" spans="1:19" ht="30" customHeight="1">
      <c r="A101" s="396">
        <v>55</v>
      </c>
      <c r="B101" s="240" t="s">
        <v>1052</v>
      </c>
      <c r="C101" s="137">
        <v>0</v>
      </c>
      <c r="D101" s="139">
        <v>2</v>
      </c>
      <c r="E101" s="140">
        <f t="shared" si="20"/>
        <v>2</v>
      </c>
      <c r="F101" s="137">
        <v>0</v>
      </c>
      <c r="G101" s="138">
        <v>9</v>
      </c>
      <c r="H101" s="142">
        <f t="shared" si="21"/>
        <v>9</v>
      </c>
      <c r="I101" s="137">
        <v>0</v>
      </c>
      <c r="J101" s="138">
        <v>15</v>
      </c>
      <c r="K101" s="142">
        <f t="shared" si="22"/>
        <v>15</v>
      </c>
      <c r="L101" s="137" t="s">
        <v>56</v>
      </c>
      <c r="M101" s="1043">
        <v>48</v>
      </c>
      <c r="N101" s="142">
        <f t="shared" si="23"/>
        <v>48</v>
      </c>
      <c r="O101" s="247" t="s">
        <v>2028</v>
      </c>
      <c r="P101" s="879">
        <v>55</v>
      </c>
      <c r="Q101" s="44"/>
    </row>
    <row r="102" spans="1:19" ht="30" customHeight="1">
      <c r="A102" s="797">
        <v>56</v>
      </c>
      <c r="B102" s="239" t="s">
        <v>1053</v>
      </c>
      <c r="C102" s="713">
        <v>0</v>
      </c>
      <c r="D102" s="134">
        <v>2</v>
      </c>
      <c r="E102" s="135">
        <f t="shared" si="20"/>
        <v>2</v>
      </c>
      <c r="F102" s="713">
        <v>0</v>
      </c>
      <c r="G102" s="714" t="s">
        <v>56</v>
      </c>
      <c r="H102" s="714" t="s">
        <v>56</v>
      </c>
      <c r="I102" s="713">
        <v>0</v>
      </c>
      <c r="J102" s="714">
        <v>33</v>
      </c>
      <c r="K102" s="141">
        <f t="shared" si="22"/>
        <v>33</v>
      </c>
      <c r="L102" s="713" t="s">
        <v>56</v>
      </c>
      <c r="M102" s="1044">
        <v>106</v>
      </c>
      <c r="N102" s="141">
        <f t="shared" si="23"/>
        <v>106</v>
      </c>
      <c r="O102" s="248" t="s">
        <v>2029</v>
      </c>
      <c r="P102" s="927">
        <v>56</v>
      </c>
      <c r="Q102" s="705"/>
    </row>
    <row r="103" spans="1:19" ht="30" customHeight="1">
      <c r="A103" s="396">
        <v>57</v>
      </c>
      <c r="B103" s="240" t="s">
        <v>1054</v>
      </c>
      <c r="C103" s="137">
        <v>0</v>
      </c>
      <c r="D103" s="139" t="s">
        <v>56</v>
      </c>
      <c r="E103" s="140" t="s">
        <v>56</v>
      </c>
      <c r="F103" s="137">
        <v>0</v>
      </c>
      <c r="G103" s="138" t="s">
        <v>56</v>
      </c>
      <c r="H103" s="138" t="s">
        <v>56</v>
      </c>
      <c r="I103" s="137">
        <v>0</v>
      </c>
      <c r="J103" s="138">
        <v>18</v>
      </c>
      <c r="K103" s="142">
        <f t="shared" si="22"/>
        <v>18</v>
      </c>
      <c r="L103" s="137" t="s">
        <v>56</v>
      </c>
      <c r="M103" s="1043">
        <v>33</v>
      </c>
      <c r="N103" s="142">
        <f t="shared" si="23"/>
        <v>33</v>
      </c>
      <c r="O103" s="238" t="s">
        <v>2030</v>
      </c>
      <c r="P103" s="879">
        <v>57</v>
      </c>
    </row>
    <row r="104" spans="1:19" ht="30" customHeight="1">
      <c r="A104" s="797">
        <v>58</v>
      </c>
      <c r="B104" s="271" t="s">
        <v>1055</v>
      </c>
      <c r="C104" s="713">
        <v>0</v>
      </c>
      <c r="D104" s="134">
        <v>2</v>
      </c>
      <c r="E104" s="135">
        <f t="shared" si="20"/>
        <v>2</v>
      </c>
      <c r="F104" s="713">
        <v>0</v>
      </c>
      <c r="G104" s="714">
        <v>8</v>
      </c>
      <c r="H104" s="141">
        <f t="shared" si="21"/>
        <v>8</v>
      </c>
      <c r="I104" s="713">
        <v>0</v>
      </c>
      <c r="J104" s="714">
        <v>23</v>
      </c>
      <c r="K104" s="141">
        <f t="shared" si="22"/>
        <v>23</v>
      </c>
      <c r="L104" s="713" t="s">
        <v>56</v>
      </c>
      <c r="M104" s="1044">
        <v>41</v>
      </c>
      <c r="N104" s="141">
        <f t="shared" si="23"/>
        <v>41</v>
      </c>
      <c r="O104" s="643" t="s">
        <v>2031</v>
      </c>
      <c r="P104" s="927">
        <v>58</v>
      </c>
      <c r="Q104" s="44"/>
    </row>
    <row r="105" spans="1:19" ht="30" customHeight="1">
      <c r="A105" s="396">
        <v>59</v>
      </c>
      <c r="B105" s="241" t="s">
        <v>1056</v>
      </c>
      <c r="C105" s="137">
        <v>0</v>
      </c>
      <c r="D105" s="139">
        <v>3</v>
      </c>
      <c r="E105" s="140">
        <f t="shared" si="20"/>
        <v>3</v>
      </c>
      <c r="F105" s="137">
        <v>0</v>
      </c>
      <c r="G105" s="138">
        <v>6</v>
      </c>
      <c r="H105" s="142">
        <f t="shared" si="21"/>
        <v>6</v>
      </c>
      <c r="I105" s="137">
        <v>0</v>
      </c>
      <c r="J105" s="138">
        <v>19</v>
      </c>
      <c r="K105" s="142">
        <f t="shared" si="22"/>
        <v>19</v>
      </c>
      <c r="L105" s="137" t="s">
        <v>56</v>
      </c>
      <c r="M105" s="1043">
        <v>37</v>
      </c>
      <c r="N105" s="142">
        <f t="shared" si="23"/>
        <v>37</v>
      </c>
      <c r="O105" s="246" t="s">
        <v>2032</v>
      </c>
      <c r="P105" s="879">
        <v>59</v>
      </c>
      <c r="Q105" s="44"/>
    </row>
    <row r="106" spans="1:19" s="676" customFormat="1" ht="30" customHeight="1">
      <c r="A106" s="797">
        <v>60</v>
      </c>
      <c r="B106" s="271" t="s">
        <v>1057</v>
      </c>
      <c r="C106" s="713">
        <v>0</v>
      </c>
      <c r="D106" s="134">
        <v>2</v>
      </c>
      <c r="E106" s="135">
        <v>2</v>
      </c>
      <c r="F106" s="713">
        <v>0</v>
      </c>
      <c r="G106" s="714">
        <v>10</v>
      </c>
      <c r="H106" s="141">
        <f t="shared" si="21"/>
        <v>10</v>
      </c>
      <c r="I106" s="713">
        <v>0</v>
      </c>
      <c r="J106" s="714">
        <v>22</v>
      </c>
      <c r="K106" s="141">
        <f t="shared" si="22"/>
        <v>22</v>
      </c>
      <c r="L106" s="713" t="s">
        <v>56</v>
      </c>
      <c r="M106" s="1044">
        <v>80</v>
      </c>
      <c r="N106" s="141">
        <f t="shared" si="23"/>
        <v>80</v>
      </c>
      <c r="O106" s="643" t="s">
        <v>2033</v>
      </c>
      <c r="P106" s="927">
        <v>60</v>
      </c>
      <c r="Q106" s="44"/>
      <c r="R106"/>
      <c r="S106"/>
    </row>
    <row r="107" spans="1:19" ht="30" customHeight="1">
      <c r="A107" s="192">
        <v>61</v>
      </c>
      <c r="B107" s="241" t="s">
        <v>1058</v>
      </c>
      <c r="C107" s="137">
        <v>0</v>
      </c>
      <c r="D107" s="139">
        <v>3</v>
      </c>
      <c r="E107" s="140">
        <v>3</v>
      </c>
      <c r="F107" s="137">
        <v>0</v>
      </c>
      <c r="G107" s="138">
        <v>16</v>
      </c>
      <c r="H107" s="142">
        <f t="shared" si="21"/>
        <v>16</v>
      </c>
      <c r="I107" s="137">
        <v>0</v>
      </c>
      <c r="J107" s="138">
        <v>15</v>
      </c>
      <c r="K107" s="142">
        <f t="shared" si="22"/>
        <v>15</v>
      </c>
      <c r="L107" s="137" t="s">
        <v>56</v>
      </c>
      <c r="M107" s="1043">
        <v>43</v>
      </c>
      <c r="N107" s="142">
        <f t="shared" si="23"/>
        <v>43</v>
      </c>
      <c r="O107" s="246" t="s">
        <v>2034</v>
      </c>
      <c r="P107" s="879">
        <v>61</v>
      </c>
      <c r="Q107" s="44"/>
    </row>
    <row r="108" spans="1:19" s="676" customFormat="1" ht="30" customHeight="1">
      <c r="A108" s="325">
        <v>62</v>
      </c>
      <c r="B108" s="271" t="s">
        <v>1059</v>
      </c>
      <c r="C108" s="713">
        <v>0</v>
      </c>
      <c r="D108" s="134">
        <v>3</v>
      </c>
      <c r="E108" s="135">
        <f>D108+C108</f>
        <v>3</v>
      </c>
      <c r="F108" s="713">
        <v>0</v>
      </c>
      <c r="G108" s="714" t="s">
        <v>56</v>
      </c>
      <c r="H108" s="141" t="s">
        <v>56</v>
      </c>
      <c r="I108" s="713">
        <v>0</v>
      </c>
      <c r="J108" s="714">
        <v>14</v>
      </c>
      <c r="K108" s="141">
        <f t="shared" si="22"/>
        <v>14</v>
      </c>
      <c r="L108" s="713" t="s">
        <v>56</v>
      </c>
      <c r="M108" s="1044">
        <v>24</v>
      </c>
      <c r="N108" s="141">
        <f t="shared" si="23"/>
        <v>24</v>
      </c>
      <c r="O108" s="635" t="s">
        <v>2035</v>
      </c>
      <c r="P108" s="927">
        <v>62</v>
      </c>
      <c r="Q108" s="44"/>
      <c r="R108"/>
      <c r="S108"/>
    </row>
    <row r="109" spans="1:19" ht="30" customHeight="1">
      <c r="A109" s="604"/>
      <c r="B109" s="490" t="s">
        <v>1060</v>
      </c>
      <c r="C109" s="849"/>
      <c r="D109" s="491"/>
      <c r="E109" s="963"/>
      <c r="F109" s="849"/>
      <c r="G109" s="491"/>
      <c r="H109" s="963"/>
      <c r="I109" s="849"/>
      <c r="J109" s="491"/>
      <c r="K109" s="963"/>
      <c r="L109" s="849"/>
      <c r="M109" s="491"/>
      <c r="N109" s="963"/>
      <c r="O109" s="1000" t="s">
        <v>34</v>
      </c>
      <c r="P109" s="1035"/>
      <c r="Q109" s="44"/>
    </row>
    <row r="110" spans="1:19" s="676" customFormat="1" ht="30" customHeight="1">
      <c r="A110" s="325">
        <v>63</v>
      </c>
      <c r="B110" s="271" t="s">
        <v>1061</v>
      </c>
      <c r="C110" s="713">
        <v>0</v>
      </c>
      <c r="D110" s="134">
        <v>4</v>
      </c>
      <c r="E110" s="135">
        <f>D110+C110</f>
        <v>4</v>
      </c>
      <c r="F110" s="713">
        <v>0</v>
      </c>
      <c r="G110" s="714">
        <v>5</v>
      </c>
      <c r="H110" s="141">
        <f>G110+F110</f>
        <v>5</v>
      </c>
      <c r="I110" s="713">
        <v>0</v>
      </c>
      <c r="J110" s="714">
        <v>28</v>
      </c>
      <c r="K110" s="141">
        <f>J110+I110</f>
        <v>28</v>
      </c>
      <c r="L110" s="713" t="s">
        <v>56</v>
      </c>
      <c r="M110" s="714">
        <v>39</v>
      </c>
      <c r="N110" s="141">
        <f t="shared" ref="N110:N113" si="24">M110</f>
        <v>39</v>
      </c>
      <c r="O110" s="643" t="s">
        <v>2036</v>
      </c>
      <c r="P110" s="878">
        <v>63</v>
      </c>
      <c r="Q110" s="44"/>
      <c r="R110"/>
      <c r="S110"/>
    </row>
    <row r="111" spans="1:19" s="676" customFormat="1" ht="30" customHeight="1">
      <c r="A111" s="192">
        <v>64</v>
      </c>
      <c r="B111" s="241" t="s">
        <v>1041</v>
      </c>
      <c r="C111" s="137">
        <v>0</v>
      </c>
      <c r="D111" s="139">
        <v>4</v>
      </c>
      <c r="E111" s="140">
        <f>D111+C111</f>
        <v>4</v>
      </c>
      <c r="F111" s="137">
        <v>0</v>
      </c>
      <c r="G111" s="138" t="s">
        <v>56</v>
      </c>
      <c r="H111" s="142" t="s">
        <v>56</v>
      </c>
      <c r="I111" s="137">
        <v>0</v>
      </c>
      <c r="J111" s="138">
        <v>46</v>
      </c>
      <c r="K111" s="142">
        <f>J111+I111</f>
        <v>46</v>
      </c>
      <c r="L111" s="137" t="s">
        <v>56</v>
      </c>
      <c r="M111" s="138">
        <v>108</v>
      </c>
      <c r="N111" s="142">
        <f t="shared" si="24"/>
        <v>108</v>
      </c>
      <c r="O111" s="238" t="s">
        <v>2037</v>
      </c>
      <c r="P111" s="928">
        <v>64</v>
      </c>
      <c r="Q111" s="44"/>
      <c r="R111"/>
      <c r="S111"/>
    </row>
    <row r="112" spans="1:19" ht="30" customHeight="1">
      <c r="A112" s="325">
        <v>65</v>
      </c>
      <c r="B112" s="271" t="s">
        <v>1222</v>
      </c>
      <c r="C112" s="713">
        <v>0</v>
      </c>
      <c r="D112" s="134">
        <v>3</v>
      </c>
      <c r="E112" s="135">
        <f>D112+C112</f>
        <v>3</v>
      </c>
      <c r="F112" s="713">
        <v>0</v>
      </c>
      <c r="G112" s="714">
        <v>14</v>
      </c>
      <c r="H112" s="141">
        <f>G112+F112</f>
        <v>14</v>
      </c>
      <c r="I112" s="713">
        <v>0</v>
      </c>
      <c r="J112" s="714">
        <v>29</v>
      </c>
      <c r="K112" s="141">
        <f>J112+I112</f>
        <v>29</v>
      </c>
      <c r="L112" s="713" t="s">
        <v>56</v>
      </c>
      <c r="M112" s="714">
        <v>54</v>
      </c>
      <c r="N112" s="141">
        <f t="shared" si="24"/>
        <v>54</v>
      </c>
      <c r="O112" s="635" t="s">
        <v>2038</v>
      </c>
      <c r="P112" s="878">
        <v>65</v>
      </c>
      <c r="Q112" s="44"/>
    </row>
    <row r="113" spans="1:19" ht="30" customHeight="1">
      <c r="A113" s="586">
        <v>66</v>
      </c>
      <c r="B113" s="297" t="s">
        <v>1062</v>
      </c>
      <c r="C113" s="364">
        <v>0</v>
      </c>
      <c r="D113" s="365">
        <v>3</v>
      </c>
      <c r="E113" s="366">
        <f>D113+C113</f>
        <v>3</v>
      </c>
      <c r="F113" s="364">
        <v>0</v>
      </c>
      <c r="G113" s="367">
        <v>10</v>
      </c>
      <c r="H113" s="368">
        <f>G113+F113</f>
        <v>10</v>
      </c>
      <c r="I113" s="364">
        <v>0</v>
      </c>
      <c r="J113" s="367">
        <v>29</v>
      </c>
      <c r="K113" s="368">
        <f>J113+I113</f>
        <v>29</v>
      </c>
      <c r="L113" s="364" t="s">
        <v>56</v>
      </c>
      <c r="M113" s="367">
        <v>49</v>
      </c>
      <c r="N113" s="368">
        <f t="shared" si="24"/>
        <v>49</v>
      </c>
      <c r="O113" s="293" t="s">
        <v>2039</v>
      </c>
      <c r="P113" s="929">
        <v>66</v>
      </c>
      <c r="Q113" s="44"/>
    </row>
    <row r="114" spans="1:19" ht="22" hidden="1" customHeight="1">
      <c r="A114" s="1508" t="s">
        <v>1187</v>
      </c>
      <c r="B114" s="1508"/>
      <c r="C114" s="191"/>
      <c r="D114" s="191"/>
      <c r="E114" s="191"/>
      <c r="F114" s="138"/>
      <c r="G114" s="138"/>
      <c r="H114" s="138"/>
      <c r="I114" s="138"/>
      <c r="J114" s="138"/>
      <c r="K114" s="138"/>
      <c r="L114" s="138"/>
      <c r="M114" s="138"/>
      <c r="N114" s="138"/>
      <c r="O114" s="1509" t="s">
        <v>1300</v>
      </c>
      <c r="P114" s="1509"/>
    </row>
    <row r="115" spans="1:19" ht="22" hidden="1" customHeight="1">
      <c r="A115" s="1520"/>
      <c r="B115" s="1520"/>
      <c r="J115" s="168"/>
      <c r="K115" s="168"/>
      <c r="L115" s="1509" t="s">
        <v>1299</v>
      </c>
      <c r="M115" s="1509"/>
      <c r="N115" s="1509"/>
      <c r="O115" s="1509"/>
      <c r="P115" s="1509"/>
    </row>
    <row r="116" spans="1:19" ht="18" hidden="1" customHeight="1">
      <c r="A116" s="1438" t="s">
        <v>621</v>
      </c>
      <c r="B116" s="1468" t="s">
        <v>1221</v>
      </c>
      <c r="C116" s="1320" t="s">
        <v>1307</v>
      </c>
      <c r="D116" s="1470"/>
      <c r="E116" s="1449"/>
      <c r="F116" s="1320" t="s">
        <v>1219</v>
      </c>
      <c r="G116" s="1470"/>
      <c r="H116" s="1449"/>
      <c r="I116" s="1320" t="s">
        <v>1218</v>
      </c>
      <c r="J116" s="1470"/>
      <c r="K116" s="1449"/>
      <c r="L116" s="1320" t="s">
        <v>79</v>
      </c>
      <c r="M116" s="1470"/>
      <c r="N116" s="1449"/>
      <c r="O116" s="1438" t="s">
        <v>1975</v>
      </c>
      <c r="P116" s="1471" t="s">
        <v>727</v>
      </c>
    </row>
    <row r="117" spans="1:19" s="676" customFormat="1" ht="18" hidden="1" customHeight="1">
      <c r="A117" s="1439"/>
      <c r="B117" s="1468"/>
      <c r="C117" s="1280"/>
      <c r="D117" s="1474"/>
      <c r="E117" s="1475"/>
      <c r="F117" s="1280"/>
      <c r="G117" s="1474"/>
      <c r="H117" s="1475"/>
      <c r="I117" s="1280"/>
      <c r="J117" s="1474"/>
      <c r="K117" s="1475"/>
      <c r="L117" s="1280"/>
      <c r="M117" s="1474"/>
      <c r="N117" s="1475"/>
      <c r="O117" s="1439"/>
      <c r="P117" s="1472"/>
      <c r="R117"/>
      <c r="S117"/>
    </row>
    <row r="118" spans="1:19" ht="28" hidden="1" customHeight="1">
      <c r="A118" s="1439"/>
      <c r="B118" s="1468"/>
      <c r="C118" s="1281" t="s">
        <v>138</v>
      </c>
      <c r="D118" s="1476"/>
      <c r="E118" s="1450"/>
      <c r="F118" s="1281" t="s">
        <v>1186</v>
      </c>
      <c r="G118" s="1476"/>
      <c r="H118" s="1450"/>
      <c r="I118" s="1281" t="s">
        <v>587</v>
      </c>
      <c r="J118" s="1476"/>
      <c r="K118" s="1450"/>
      <c r="L118" s="1281" t="s">
        <v>137</v>
      </c>
      <c r="M118" s="1476"/>
      <c r="N118" s="1450"/>
      <c r="O118" s="1439"/>
      <c r="P118" s="1472"/>
    </row>
    <row r="119" spans="1:19" ht="22" hidden="1" customHeight="1">
      <c r="A119" s="1439"/>
      <c r="B119" s="1469"/>
      <c r="C119" s="1382" t="s">
        <v>583</v>
      </c>
      <c r="D119" s="1382" t="s">
        <v>581</v>
      </c>
      <c r="E119" s="1449" t="s">
        <v>489</v>
      </c>
      <c r="F119" s="1382" t="s">
        <v>583</v>
      </c>
      <c r="G119" s="1382" t="s">
        <v>581</v>
      </c>
      <c r="H119" s="1449" t="s">
        <v>489</v>
      </c>
      <c r="I119" s="1382" t="s">
        <v>583</v>
      </c>
      <c r="J119" s="1382" t="s">
        <v>581</v>
      </c>
      <c r="K119" s="1449" t="s">
        <v>489</v>
      </c>
      <c r="L119" s="1382" t="s">
        <v>583</v>
      </c>
      <c r="M119" s="1382" t="s">
        <v>581</v>
      </c>
      <c r="N119" s="1449" t="s">
        <v>489</v>
      </c>
      <c r="O119" s="1439"/>
      <c r="P119" s="1472"/>
    </row>
    <row r="120" spans="1:19" s="676" customFormat="1" ht="22" hidden="1" customHeight="1">
      <c r="A120" s="1439"/>
      <c r="B120" s="1469"/>
      <c r="C120" s="1384"/>
      <c r="D120" s="1384"/>
      <c r="E120" s="1450"/>
      <c r="F120" s="1384"/>
      <c r="G120" s="1384"/>
      <c r="H120" s="1450"/>
      <c r="I120" s="1384"/>
      <c r="J120" s="1384"/>
      <c r="K120" s="1450"/>
      <c r="L120" s="1384"/>
      <c r="M120" s="1384"/>
      <c r="N120" s="1450"/>
      <c r="O120" s="1439"/>
      <c r="P120" s="1472"/>
      <c r="R120"/>
      <c r="S120"/>
    </row>
    <row r="121" spans="1:19" s="676" customFormat="1" ht="22" hidden="1" customHeight="1">
      <c r="A121" s="1462"/>
      <c r="B121" s="1469"/>
      <c r="C121" s="1206" t="s">
        <v>133</v>
      </c>
      <c r="D121" s="1206" t="s">
        <v>134</v>
      </c>
      <c r="E121" s="893" t="s">
        <v>100</v>
      </c>
      <c r="F121" s="1206" t="s">
        <v>133</v>
      </c>
      <c r="G121" s="1206" t="s">
        <v>134</v>
      </c>
      <c r="H121" s="893" t="s">
        <v>100</v>
      </c>
      <c r="I121" s="1206" t="s">
        <v>133</v>
      </c>
      <c r="J121" s="1206" t="s">
        <v>134</v>
      </c>
      <c r="K121" s="893" t="s">
        <v>100</v>
      </c>
      <c r="L121" s="1206" t="s">
        <v>133</v>
      </c>
      <c r="M121" s="1206" t="s">
        <v>134</v>
      </c>
      <c r="N121" s="893" t="s">
        <v>100</v>
      </c>
      <c r="O121" s="1462"/>
      <c r="P121" s="1473"/>
      <c r="R121"/>
      <c r="S121"/>
    </row>
    <row r="122" spans="1:19" s="676" customFormat="1" ht="29" customHeight="1">
      <c r="A122" s="325">
        <v>67</v>
      </c>
      <c r="B122" s="271" t="s">
        <v>1063</v>
      </c>
      <c r="C122" s="713">
        <v>0</v>
      </c>
      <c r="D122" s="134">
        <v>3</v>
      </c>
      <c r="E122" s="135">
        <f>D122+C122</f>
        <v>3</v>
      </c>
      <c r="F122" s="713">
        <v>0</v>
      </c>
      <c r="G122" s="714">
        <v>8</v>
      </c>
      <c r="H122" s="141">
        <f>G122+F122</f>
        <v>8</v>
      </c>
      <c r="I122" s="713">
        <v>0</v>
      </c>
      <c r="J122" s="714">
        <v>30</v>
      </c>
      <c r="K122" s="141">
        <f>J122+I122</f>
        <v>30</v>
      </c>
      <c r="L122" s="713" t="s">
        <v>56</v>
      </c>
      <c r="M122" s="714">
        <v>50</v>
      </c>
      <c r="N122" s="141">
        <f t="shared" ref="N122:N123" si="25">M122</f>
        <v>50</v>
      </c>
      <c r="O122" s="635" t="s">
        <v>2040</v>
      </c>
      <c r="P122" s="878">
        <v>67</v>
      </c>
      <c r="R122"/>
      <c r="S122"/>
    </row>
    <row r="123" spans="1:19" ht="29" customHeight="1">
      <c r="A123" s="396">
        <v>68</v>
      </c>
      <c r="B123" s="241" t="s">
        <v>1223</v>
      </c>
      <c r="C123" s="137">
        <v>0</v>
      </c>
      <c r="D123" s="139">
        <v>3</v>
      </c>
      <c r="E123" s="140">
        <f>D123+C123</f>
        <v>3</v>
      </c>
      <c r="F123" s="137">
        <v>0</v>
      </c>
      <c r="G123" s="138" t="s">
        <v>56</v>
      </c>
      <c r="H123" s="142" t="s">
        <v>56</v>
      </c>
      <c r="I123" s="137">
        <v>0</v>
      </c>
      <c r="J123" s="138">
        <v>17</v>
      </c>
      <c r="K123" s="142">
        <f>J123+I123</f>
        <v>17</v>
      </c>
      <c r="L123" s="137" t="s">
        <v>56</v>
      </c>
      <c r="M123" s="138">
        <v>31</v>
      </c>
      <c r="N123" s="142">
        <f t="shared" si="25"/>
        <v>31</v>
      </c>
      <c r="O123" s="1093" t="s">
        <v>2041</v>
      </c>
      <c r="P123" s="928">
        <v>68</v>
      </c>
      <c r="Q123" s="44"/>
    </row>
    <row r="124" spans="1:19" s="676" customFormat="1" ht="25" customHeight="1">
      <c r="A124" s="797"/>
      <c r="B124" s="843" t="s">
        <v>1064</v>
      </c>
      <c r="C124" s="713"/>
      <c r="D124" s="134"/>
      <c r="E124" s="135"/>
      <c r="F124" s="713"/>
      <c r="G124" s="714"/>
      <c r="H124" s="141"/>
      <c r="I124" s="713"/>
      <c r="J124" s="1037"/>
      <c r="K124" s="141"/>
      <c r="L124" s="713"/>
      <c r="M124" s="714"/>
      <c r="N124" s="141"/>
      <c r="O124" s="743" t="s">
        <v>814</v>
      </c>
      <c r="P124" s="927"/>
      <c r="Q124" s="705"/>
      <c r="R124"/>
      <c r="S124"/>
    </row>
    <row r="125" spans="1:19" ht="29" customHeight="1">
      <c r="A125" s="192">
        <v>69</v>
      </c>
      <c r="B125" s="241" t="s">
        <v>1065</v>
      </c>
      <c r="C125" s="137">
        <v>0</v>
      </c>
      <c r="D125" s="139">
        <v>5</v>
      </c>
      <c r="E125" s="140">
        <f t="shared" ref="E125:E130" si="26">D125+C125</f>
        <v>5</v>
      </c>
      <c r="F125" s="137">
        <v>0</v>
      </c>
      <c r="G125" s="138">
        <v>9</v>
      </c>
      <c r="H125" s="138">
        <f t="shared" ref="H125:H129" si="27">G125+F125</f>
        <v>9</v>
      </c>
      <c r="I125" s="137">
        <v>0</v>
      </c>
      <c r="J125" s="138">
        <v>37</v>
      </c>
      <c r="K125" s="142">
        <f t="shared" ref="K125:K130" si="28">J125+I125</f>
        <v>37</v>
      </c>
      <c r="L125" s="137" t="s">
        <v>56</v>
      </c>
      <c r="M125" s="138">
        <v>75</v>
      </c>
      <c r="N125" s="142">
        <f t="shared" ref="N125:N130" si="29">M125</f>
        <v>75</v>
      </c>
      <c r="O125" s="247" t="s">
        <v>2042</v>
      </c>
      <c r="P125" s="928">
        <v>69</v>
      </c>
      <c r="Q125" s="44"/>
    </row>
    <row r="126" spans="1:19" ht="25" customHeight="1">
      <c r="A126" s="797">
        <v>70</v>
      </c>
      <c r="B126" s="239" t="s">
        <v>1066</v>
      </c>
      <c r="C126" s="713">
        <v>0</v>
      </c>
      <c r="D126" s="134">
        <v>4</v>
      </c>
      <c r="E126" s="135">
        <f t="shared" si="26"/>
        <v>4</v>
      </c>
      <c r="F126" s="713">
        <v>0</v>
      </c>
      <c r="G126" s="714">
        <v>4</v>
      </c>
      <c r="H126" s="714">
        <f t="shared" si="27"/>
        <v>4</v>
      </c>
      <c r="I126" s="713">
        <v>0</v>
      </c>
      <c r="J126" s="714">
        <v>14</v>
      </c>
      <c r="K126" s="141">
        <f t="shared" si="28"/>
        <v>14</v>
      </c>
      <c r="L126" s="713" t="s">
        <v>56</v>
      </c>
      <c r="M126" s="714">
        <v>28</v>
      </c>
      <c r="N126" s="141">
        <f t="shared" si="29"/>
        <v>28</v>
      </c>
      <c r="O126" s="643" t="s">
        <v>2043</v>
      </c>
      <c r="P126" s="927">
        <v>70</v>
      </c>
      <c r="Q126" s="705"/>
    </row>
    <row r="127" spans="1:19" ht="25" customHeight="1">
      <c r="A127" s="192">
        <v>71</v>
      </c>
      <c r="B127" s="241" t="s">
        <v>1067</v>
      </c>
      <c r="C127" s="137">
        <v>0</v>
      </c>
      <c r="D127" s="139">
        <v>2</v>
      </c>
      <c r="E127" s="140">
        <f t="shared" si="26"/>
        <v>2</v>
      </c>
      <c r="F127" s="137">
        <v>0</v>
      </c>
      <c r="G127" s="138">
        <v>10</v>
      </c>
      <c r="H127" s="138">
        <f t="shared" si="27"/>
        <v>10</v>
      </c>
      <c r="I127" s="137">
        <v>0</v>
      </c>
      <c r="J127" s="138">
        <v>37</v>
      </c>
      <c r="K127" s="142">
        <f t="shared" si="28"/>
        <v>37</v>
      </c>
      <c r="L127" s="137" t="s">
        <v>56</v>
      </c>
      <c r="M127" s="138">
        <v>106</v>
      </c>
      <c r="N127" s="142">
        <f t="shared" si="29"/>
        <v>106</v>
      </c>
      <c r="O127" s="246" t="s">
        <v>2044</v>
      </c>
      <c r="P127" s="928">
        <v>71</v>
      </c>
      <c r="Q127" s="44"/>
    </row>
    <row r="128" spans="1:19" ht="29" customHeight="1">
      <c r="A128" s="797">
        <v>72</v>
      </c>
      <c r="B128" s="239" t="s">
        <v>1068</v>
      </c>
      <c r="C128" s="713">
        <v>0</v>
      </c>
      <c r="D128" s="134">
        <v>4</v>
      </c>
      <c r="E128" s="134">
        <f t="shared" si="26"/>
        <v>4</v>
      </c>
      <c r="F128" s="713">
        <v>0</v>
      </c>
      <c r="G128" s="714">
        <v>11</v>
      </c>
      <c r="H128" s="141">
        <f t="shared" si="27"/>
        <v>11</v>
      </c>
      <c r="I128" s="713">
        <v>0</v>
      </c>
      <c r="J128" s="714">
        <v>19</v>
      </c>
      <c r="K128" s="141">
        <f t="shared" si="28"/>
        <v>19</v>
      </c>
      <c r="L128" s="713" t="s">
        <v>56</v>
      </c>
      <c r="M128" s="714">
        <v>43</v>
      </c>
      <c r="N128" s="141">
        <f t="shared" si="29"/>
        <v>43</v>
      </c>
      <c r="O128" s="643" t="s">
        <v>2045</v>
      </c>
      <c r="P128" s="927">
        <v>72</v>
      </c>
      <c r="Q128" s="705"/>
    </row>
    <row r="129" spans="1:40" ht="29" customHeight="1">
      <c r="A129" s="192">
        <v>73</v>
      </c>
      <c r="B129" s="241" t="s">
        <v>1069</v>
      </c>
      <c r="C129" s="137">
        <v>0</v>
      </c>
      <c r="D129" s="139">
        <v>1</v>
      </c>
      <c r="E129" s="139">
        <f t="shared" si="26"/>
        <v>1</v>
      </c>
      <c r="F129" s="137">
        <v>0</v>
      </c>
      <c r="G129" s="138">
        <v>0</v>
      </c>
      <c r="H129" s="138">
        <f t="shared" si="27"/>
        <v>0</v>
      </c>
      <c r="I129" s="137">
        <v>0</v>
      </c>
      <c r="J129" s="138">
        <v>37</v>
      </c>
      <c r="K129" s="142">
        <f t="shared" si="28"/>
        <v>37</v>
      </c>
      <c r="L129" s="137" t="s">
        <v>56</v>
      </c>
      <c r="M129" s="138">
        <v>57</v>
      </c>
      <c r="N129" s="142">
        <f t="shared" si="29"/>
        <v>57</v>
      </c>
      <c r="O129" s="246" t="s">
        <v>2046</v>
      </c>
      <c r="P129" s="928">
        <v>73</v>
      </c>
    </row>
    <row r="130" spans="1:40" ht="29" customHeight="1">
      <c r="A130" s="797">
        <v>74</v>
      </c>
      <c r="B130" s="271" t="s">
        <v>1070</v>
      </c>
      <c r="C130" s="713">
        <v>0</v>
      </c>
      <c r="D130" s="134">
        <v>1</v>
      </c>
      <c r="E130" s="134">
        <f t="shared" si="26"/>
        <v>1</v>
      </c>
      <c r="F130" s="713">
        <v>0</v>
      </c>
      <c r="G130" s="714" t="s">
        <v>56</v>
      </c>
      <c r="H130" s="714" t="s">
        <v>56</v>
      </c>
      <c r="I130" s="713">
        <v>0</v>
      </c>
      <c r="J130" s="714">
        <v>25</v>
      </c>
      <c r="K130" s="141">
        <f t="shared" si="28"/>
        <v>25</v>
      </c>
      <c r="L130" s="713" t="s">
        <v>56</v>
      </c>
      <c r="M130" s="714">
        <v>47</v>
      </c>
      <c r="N130" s="141">
        <f t="shared" si="29"/>
        <v>47</v>
      </c>
      <c r="O130" s="635" t="s">
        <v>2047</v>
      </c>
      <c r="P130" s="927">
        <v>74</v>
      </c>
      <c r="Q130" s="44"/>
      <c r="T130"/>
      <c r="AI130"/>
      <c r="AJ130"/>
      <c r="AK130"/>
      <c r="AL130"/>
      <c r="AM130"/>
      <c r="AN130"/>
    </row>
    <row r="131" spans="1:40" ht="25" customHeight="1">
      <c r="A131" s="192"/>
      <c r="B131" s="622" t="s">
        <v>69</v>
      </c>
      <c r="C131" s="137"/>
      <c r="D131" s="139"/>
      <c r="E131" s="139"/>
      <c r="F131" s="137"/>
      <c r="G131" s="138"/>
      <c r="H131" s="138"/>
      <c r="I131" s="137"/>
      <c r="J131" s="1038"/>
      <c r="K131" s="142"/>
      <c r="L131" s="138"/>
      <c r="M131" s="138"/>
      <c r="N131" s="142"/>
      <c r="O131" s="443" t="s">
        <v>35</v>
      </c>
      <c r="P131" s="928"/>
      <c r="Q131" s="44"/>
      <c r="T131"/>
      <c r="U131"/>
      <c r="V131" s="139"/>
      <c r="W131" s="140"/>
      <c r="X131" s="137"/>
      <c r="Y131" s="138"/>
      <c r="Z131" s="138"/>
      <c r="AA131" s="137"/>
      <c r="AB131" s="138"/>
      <c r="AC131" s="142"/>
      <c r="AD131" s="137"/>
      <c r="AE131" s="138"/>
      <c r="AF131" s="142"/>
      <c r="AG131" s="1000"/>
      <c r="AH131" s="928"/>
      <c r="AI131"/>
      <c r="AJ131"/>
      <c r="AK131"/>
      <c r="AL131"/>
      <c r="AM131"/>
      <c r="AN131"/>
    </row>
    <row r="132" spans="1:40" ht="25" customHeight="1">
      <c r="A132" s="797">
        <v>75</v>
      </c>
      <c r="B132" s="271" t="s">
        <v>1071</v>
      </c>
      <c r="C132" s="713">
        <v>0</v>
      </c>
      <c r="D132" s="134">
        <v>3</v>
      </c>
      <c r="E132" s="134">
        <f>D132+C132</f>
        <v>3</v>
      </c>
      <c r="F132" s="713">
        <v>0</v>
      </c>
      <c r="G132" s="714">
        <v>10</v>
      </c>
      <c r="H132" s="714">
        <f>G132+F132</f>
        <v>10</v>
      </c>
      <c r="I132" s="713">
        <v>0</v>
      </c>
      <c r="J132" s="714">
        <v>53</v>
      </c>
      <c r="K132" s="141">
        <f>J132+I132</f>
        <v>53</v>
      </c>
      <c r="L132" s="714" t="s">
        <v>56</v>
      </c>
      <c r="M132" s="714">
        <v>84</v>
      </c>
      <c r="N132" s="141">
        <f t="shared" ref="N132:N135" si="30">M132</f>
        <v>84</v>
      </c>
      <c r="O132" s="635" t="s">
        <v>2048</v>
      </c>
      <c r="P132" s="927">
        <v>75</v>
      </c>
      <c r="Q132" s="44"/>
      <c r="T132"/>
      <c r="U132"/>
      <c r="V132" s="139"/>
      <c r="W132" s="140"/>
      <c r="X132" s="137"/>
      <c r="Y132" s="138"/>
      <c r="Z132" s="138"/>
      <c r="AA132" s="137"/>
      <c r="AB132" s="138"/>
      <c r="AC132" s="142"/>
      <c r="AD132" s="137"/>
      <c r="AE132" s="138"/>
      <c r="AF132" s="142"/>
      <c r="AG132" s="1000"/>
      <c r="AH132" s="928"/>
      <c r="AI132"/>
      <c r="AJ132"/>
      <c r="AK132"/>
      <c r="AL132"/>
      <c r="AM132"/>
      <c r="AN132"/>
    </row>
    <row r="133" spans="1:40" ht="29" customHeight="1">
      <c r="A133" s="192">
        <v>76</v>
      </c>
      <c r="B133" s="241" t="s">
        <v>1040</v>
      </c>
      <c r="C133" s="137">
        <v>0</v>
      </c>
      <c r="D133" s="139">
        <v>3</v>
      </c>
      <c r="E133" s="139">
        <f>D133+C133</f>
        <v>3</v>
      </c>
      <c r="F133" s="137">
        <v>0</v>
      </c>
      <c r="G133" s="138">
        <v>14</v>
      </c>
      <c r="H133" s="138">
        <f>G133+F133</f>
        <v>14</v>
      </c>
      <c r="I133" s="137">
        <v>0</v>
      </c>
      <c r="J133" s="138">
        <v>65</v>
      </c>
      <c r="K133" s="142">
        <f>J133+I133</f>
        <v>65</v>
      </c>
      <c r="L133" s="138" t="s">
        <v>56</v>
      </c>
      <c r="M133" s="138">
        <v>97</v>
      </c>
      <c r="N133" s="142">
        <f t="shared" si="30"/>
        <v>97</v>
      </c>
      <c r="O133" s="246" t="s">
        <v>2143</v>
      </c>
      <c r="P133" s="928">
        <v>76</v>
      </c>
      <c r="Q133" s="44"/>
      <c r="T133"/>
      <c r="U133"/>
      <c r="AI133"/>
      <c r="AJ133"/>
      <c r="AK133"/>
      <c r="AL133"/>
      <c r="AM133"/>
      <c r="AN133"/>
    </row>
    <row r="134" spans="1:40" s="676" customFormat="1" ht="29" customHeight="1">
      <c r="A134" s="797">
        <v>77</v>
      </c>
      <c r="B134" s="271" t="s">
        <v>1072</v>
      </c>
      <c r="C134" s="713">
        <v>0</v>
      </c>
      <c r="D134" s="134">
        <v>3</v>
      </c>
      <c r="E134" s="134">
        <f>D134+C134</f>
        <v>3</v>
      </c>
      <c r="F134" s="713">
        <v>0</v>
      </c>
      <c r="G134" s="714">
        <v>32</v>
      </c>
      <c r="H134" s="714">
        <f>G134+F134</f>
        <v>32</v>
      </c>
      <c r="I134" s="713">
        <v>0</v>
      </c>
      <c r="J134" s="714">
        <v>15</v>
      </c>
      <c r="K134" s="141">
        <f>J134+I134</f>
        <v>15</v>
      </c>
      <c r="L134" s="714" t="s">
        <v>56</v>
      </c>
      <c r="M134" s="714">
        <v>61</v>
      </c>
      <c r="N134" s="141">
        <f t="shared" si="30"/>
        <v>61</v>
      </c>
      <c r="O134" s="635" t="s">
        <v>2049</v>
      </c>
      <c r="P134" s="927">
        <v>77</v>
      </c>
      <c r="Q134" s="44"/>
      <c r="R134"/>
      <c r="S134"/>
      <c r="Y134" s="639"/>
      <c r="Z134" s="639"/>
      <c r="AA134" s="639"/>
      <c r="AB134" s="639"/>
      <c r="AC134" s="639"/>
      <c r="AD134" s="639"/>
      <c r="AE134" s="639"/>
      <c r="AF134" s="639"/>
      <c r="AG134" s="639"/>
      <c r="AH134" s="639"/>
      <c r="AI134" s="639"/>
      <c r="AJ134" s="639"/>
      <c r="AK134" s="639"/>
      <c r="AL134" s="639"/>
      <c r="AM134" s="639"/>
      <c r="AN134" s="639"/>
    </row>
    <row r="135" spans="1:40" ht="29" customHeight="1">
      <c r="A135" s="192">
        <v>78</v>
      </c>
      <c r="B135" s="241" t="s">
        <v>1073</v>
      </c>
      <c r="C135" s="137">
        <v>0</v>
      </c>
      <c r="D135" s="139">
        <v>4</v>
      </c>
      <c r="E135" s="139">
        <f>D135+C135</f>
        <v>4</v>
      </c>
      <c r="F135" s="137">
        <v>0</v>
      </c>
      <c r="G135" s="138" t="s">
        <v>56</v>
      </c>
      <c r="H135" s="142" t="s">
        <v>56</v>
      </c>
      <c r="I135" s="137">
        <v>0</v>
      </c>
      <c r="J135" s="138">
        <v>27</v>
      </c>
      <c r="K135" s="142">
        <f>J135+I135</f>
        <v>27</v>
      </c>
      <c r="L135" s="138" t="s">
        <v>56</v>
      </c>
      <c r="M135" s="138">
        <v>41</v>
      </c>
      <c r="N135" s="142">
        <f t="shared" si="30"/>
        <v>41</v>
      </c>
      <c r="O135" s="246" t="s">
        <v>2050</v>
      </c>
      <c r="P135" s="928">
        <v>78</v>
      </c>
      <c r="Q135" s="44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</row>
    <row r="136" spans="1:40" s="676" customFormat="1" ht="25" customHeight="1">
      <c r="A136" s="797"/>
      <c r="B136" s="724" t="s">
        <v>147</v>
      </c>
      <c r="C136" s="713"/>
      <c r="D136" s="134"/>
      <c r="E136" s="135"/>
      <c r="F136" s="713"/>
      <c r="G136" s="714"/>
      <c r="H136" s="714"/>
      <c r="I136" s="713"/>
      <c r="J136" s="1037"/>
      <c r="K136" s="141"/>
      <c r="L136" s="713"/>
      <c r="M136" s="714"/>
      <c r="N136" s="141"/>
      <c r="O136" s="743" t="s">
        <v>36</v>
      </c>
      <c r="P136" s="927"/>
      <c r="R136"/>
      <c r="S136"/>
      <c r="Y136" s="639"/>
      <c r="Z136" s="639"/>
      <c r="AA136" s="639"/>
      <c r="AB136" s="639"/>
      <c r="AC136" s="639"/>
      <c r="AD136" s="639"/>
      <c r="AE136" s="639"/>
      <c r="AF136" s="639"/>
      <c r="AG136" s="639"/>
      <c r="AH136" s="639"/>
      <c r="AI136" s="639"/>
      <c r="AJ136" s="639"/>
      <c r="AK136" s="639"/>
      <c r="AL136" s="639"/>
      <c r="AM136" s="639"/>
      <c r="AN136" s="639"/>
    </row>
    <row r="137" spans="1:40" ht="25" customHeight="1">
      <c r="A137" s="192">
        <v>79</v>
      </c>
      <c r="B137" s="241" t="s">
        <v>1074</v>
      </c>
      <c r="C137" s="137">
        <v>0</v>
      </c>
      <c r="D137" s="139">
        <v>3</v>
      </c>
      <c r="E137" s="139">
        <f>D137+C137</f>
        <v>3</v>
      </c>
      <c r="F137" s="137">
        <v>0</v>
      </c>
      <c r="G137" s="138">
        <v>18</v>
      </c>
      <c r="H137" s="138">
        <f>G137+F137</f>
        <v>18</v>
      </c>
      <c r="I137" s="137">
        <v>0</v>
      </c>
      <c r="J137" s="138">
        <v>30</v>
      </c>
      <c r="K137" s="142">
        <f>J137+I137</f>
        <v>30</v>
      </c>
      <c r="L137" s="138" t="s">
        <v>56</v>
      </c>
      <c r="M137" s="138">
        <v>65</v>
      </c>
      <c r="N137" s="142">
        <f t="shared" ref="N137:N139" si="31">M137</f>
        <v>65</v>
      </c>
      <c r="O137" s="246" t="s">
        <v>2051</v>
      </c>
      <c r="P137" s="928">
        <v>79</v>
      </c>
      <c r="Q137" s="866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</row>
    <row r="138" spans="1:40" s="676" customFormat="1" ht="29" customHeight="1">
      <c r="A138" s="797">
        <v>80</v>
      </c>
      <c r="B138" s="271" t="s">
        <v>1075</v>
      </c>
      <c r="C138" s="713">
        <v>0</v>
      </c>
      <c r="D138" s="134">
        <v>3</v>
      </c>
      <c r="E138" s="134">
        <f>D138+C138</f>
        <v>3</v>
      </c>
      <c r="F138" s="713">
        <v>0</v>
      </c>
      <c r="G138" s="714">
        <v>17</v>
      </c>
      <c r="H138" s="714">
        <f>G138+F138</f>
        <v>17</v>
      </c>
      <c r="I138" s="713">
        <v>0</v>
      </c>
      <c r="J138" s="714">
        <v>13</v>
      </c>
      <c r="K138" s="141">
        <f>J138+I138</f>
        <v>13</v>
      </c>
      <c r="L138" s="714" t="s">
        <v>56</v>
      </c>
      <c r="M138" s="714">
        <v>47</v>
      </c>
      <c r="N138" s="141">
        <f t="shared" si="31"/>
        <v>47</v>
      </c>
      <c r="O138" s="635" t="s">
        <v>2144</v>
      </c>
      <c r="P138" s="927">
        <v>80</v>
      </c>
      <c r="Q138" s="1046"/>
      <c r="R138"/>
      <c r="S138"/>
    </row>
    <row r="139" spans="1:40" ht="29" customHeight="1">
      <c r="A139" s="192">
        <v>81</v>
      </c>
      <c r="B139" s="241" t="s">
        <v>1076</v>
      </c>
      <c r="C139" s="137">
        <v>0</v>
      </c>
      <c r="D139" s="139">
        <v>1</v>
      </c>
      <c r="E139" s="139">
        <f>D139+C139</f>
        <v>1</v>
      </c>
      <c r="F139" s="137">
        <v>0</v>
      </c>
      <c r="G139" s="138">
        <v>27</v>
      </c>
      <c r="H139" s="138">
        <f>G139+F139</f>
        <v>27</v>
      </c>
      <c r="I139" s="137">
        <v>0</v>
      </c>
      <c r="J139" s="138">
        <v>33</v>
      </c>
      <c r="K139" s="142">
        <f>J139+I139</f>
        <v>33</v>
      </c>
      <c r="L139" s="138" t="s">
        <v>56</v>
      </c>
      <c r="M139" s="138">
        <v>76</v>
      </c>
      <c r="N139" s="142">
        <f t="shared" si="31"/>
        <v>76</v>
      </c>
      <c r="O139" s="246" t="s">
        <v>2052</v>
      </c>
      <c r="P139" s="928">
        <v>81</v>
      </c>
      <c r="Q139" s="866"/>
    </row>
    <row r="140" spans="1:40" s="676" customFormat="1" ht="29" customHeight="1">
      <c r="A140" s="800">
        <v>82</v>
      </c>
      <c r="B140" s="801" t="s">
        <v>1041</v>
      </c>
      <c r="C140" s="811">
        <v>2</v>
      </c>
      <c r="D140" s="194">
        <v>1</v>
      </c>
      <c r="E140" s="194">
        <f>D140+C140</f>
        <v>3</v>
      </c>
      <c r="F140" s="811">
        <v>0</v>
      </c>
      <c r="G140" s="812" t="s">
        <v>56</v>
      </c>
      <c r="H140" s="812" t="s">
        <v>56</v>
      </c>
      <c r="I140" s="811">
        <v>16</v>
      </c>
      <c r="J140" s="812">
        <v>41</v>
      </c>
      <c r="K140" s="193">
        <f>J140+I140</f>
        <v>57</v>
      </c>
      <c r="L140" s="812">
        <v>24</v>
      </c>
      <c r="M140" s="812">
        <v>66</v>
      </c>
      <c r="N140" s="193">
        <f>M140+L140</f>
        <v>90</v>
      </c>
      <c r="O140" s="650" t="s">
        <v>2015</v>
      </c>
      <c r="P140" s="930">
        <v>82</v>
      </c>
      <c r="Q140" s="1046"/>
      <c r="R140"/>
      <c r="S140"/>
    </row>
    <row r="141" spans="1:40" s="676" customFormat="1" ht="18" customHeight="1">
      <c r="A141" s="1508" t="s">
        <v>1187</v>
      </c>
      <c r="B141" s="1508"/>
      <c r="C141" s="191"/>
      <c r="D141" s="191"/>
      <c r="E141" s="191"/>
      <c r="F141" s="138"/>
      <c r="G141" s="138"/>
      <c r="H141" s="138"/>
      <c r="I141" s="138"/>
      <c r="J141" s="138"/>
      <c r="K141" s="138"/>
      <c r="L141" s="138"/>
      <c r="M141" s="138"/>
      <c r="N141" s="138"/>
      <c r="O141" s="1509" t="s">
        <v>1300</v>
      </c>
      <c r="P141" s="1509"/>
      <c r="Q141" s="705"/>
      <c r="R141"/>
      <c r="S141"/>
    </row>
    <row r="142" spans="1:40" s="676" customFormat="1" ht="18" customHeight="1">
      <c r="A142" s="1520"/>
      <c r="B142" s="1520"/>
      <c r="C142" s="523"/>
      <c r="D142" s="523"/>
      <c r="E142" s="523"/>
      <c r="F142" s="523"/>
      <c r="G142" s="523"/>
      <c r="H142" s="523"/>
      <c r="I142" s="523"/>
      <c r="J142" s="168"/>
      <c r="K142" s="168"/>
      <c r="L142" s="1509" t="s">
        <v>1299</v>
      </c>
      <c r="M142" s="1509"/>
      <c r="N142" s="1509"/>
      <c r="O142" s="1509"/>
      <c r="P142" s="1509"/>
      <c r="R142"/>
      <c r="S142"/>
    </row>
    <row r="143" spans="1:40" s="676" customFormat="1" ht="18" hidden="1" customHeight="1">
      <c r="A143" s="1438" t="s">
        <v>621</v>
      </c>
      <c r="B143" s="1468" t="s">
        <v>1221</v>
      </c>
      <c r="C143" s="1320" t="s">
        <v>1307</v>
      </c>
      <c r="D143" s="1470"/>
      <c r="E143" s="1449"/>
      <c r="F143" s="1320" t="s">
        <v>1219</v>
      </c>
      <c r="G143" s="1470"/>
      <c r="H143" s="1449"/>
      <c r="I143" s="1320" t="s">
        <v>1218</v>
      </c>
      <c r="J143" s="1470"/>
      <c r="K143" s="1449"/>
      <c r="L143" s="1320" t="s">
        <v>79</v>
      </c>
      <c r="M143" s="1470"/>
      <c r="N143" s="1449"/>
      <c r="O143" s="1438" t="s">
        <v>1975</v>
      </c>
      <c r="P143" s="1471" t="s">
        <v>727</v>
      </c>
      <c r="R143"/>
      <c r="S143"/>
    </row>
    <row r="144" spans="1:40" s="676" customFormat="1" ht="18" hidden="1" customHeight="1">
      <c r="A144" s="1439"/>
      <c r="B144" s="1468"/>
      <c r="C144" s="1280"/>
      <c r="D144" s="1474"/>
      <c r="E144" s="1475"/>
      <c r="F144" s="1280"/>
      <c r="G144" s="1474"/>
      <c r="H144" s="1475"/>
      <c r="I144" s="1280"/>
      <c r="J144" s="1474"/>
      <c r="K144" s="1475"/>
      <c r="L144" s="1280"/>
      <c r="M144" s="1474"/>
      <c r="N144" s="1475"/>
      <c r="O144" s="1439"/>
      <c r="P144" s="1472"/>
      <c r="R144"/>
      <c r="S144"/>
    </row>
    <row r="145" spans="1:19" s="676" customFormat="1" ht="18" hidden="1" customHeight="1">
      <c r="A145" s="1439"/>
      <c r="B145" s="1468"/>
      <c r="C145" s="1281" t="s">
        <v>138</v>
      </c>
      <c r="D145" s="1476"/>
      <c r="E145" s="1450"/>
      <c r="F145" s="1281" t="s">
        <v>1186</v>
      </c>
      <c r="G145" s="1476"/>
      <c r="H145" s="1450"/>
      <c r="I145" s="1281" t="s">
        <v>587</v>
      </c>
      <c r="J145" s="1476"/>
      <c r="K145" s="1450"/>
      <c r="L145" s="1281" t="s">
        <v>137</v>
      </c>
      <c r="M145" s="1476"/>
      <c r="N145" s="1450"/>
      <c r="O145" s="1439"/>
      <c r="P145" s="1472"/>
      <c r="R145"/>
      <c r="S145"/>
    </row>
    <row r="146" spans="1:19" s="676" customFormat="1" ht="18" hidden="1" customHeight="1">
      <c r="A146" s="1439"/>
      <c r="B146" s="1469"/>
      <c r="C146" s="1382" t="s">
        <v>583</v>
      </c>
      <c r="D146" s="1382" t="s">
        <v>581</v>
      </c>
      <c r="E146" s="1449" t="s">
        <v>489</v>
      </c>
      <c r="F146" s="1382" t="s">
        <v>583</v>
      </c>
      <c r="G146" s="1382" t="s">
        <v>581</v>
      </c>
      <c r="H146" s="1449" t="s">
        <v>489</v>
      </c>
      <c r="I146" s="1382" t="s">
        <v>583</v>
      </c>
      <c r="J146" s="1382" t="s">
        <v>581</v>
      </c>
      <c r="K146" s="1449" t="s">
        <v>489</v>
      </c>
      <c r="L146" s="1382" t="s">
        <v>583</v>
      </c>
      <c r="M146" s="1382" t="s">
        <v>581</v>
      </c>
      <c r="N146" s="1449" t="s">
        <v>489</v>
      </c>
      <c r="O146" s="1439"/>
      <c r="P146" s="1472"/>
      <c r="R146"/>
      <c r="S146"/>
    </row>
    <row r="147" spans="1:19" s="676" customFormat="1" ht="18" hidden="1" customHeight="1">
      <c r="A147" s="1439"/>
      <c r="B147" s="1469"/>
      <c r="C147" s="1384"/>
      <c r="D147" s="1384"/>
      <c r="E147" s="1450"/>
      <c r="F147" s="1384"/>
      <c r="G147" s="1384"/>
      <c r="H147" s="1450"/>
      <c r="I147" s="1384"/>
      <c r="J147" s="1384"/>
      <c r="K147" s="1450"/>
      <c r="L147" s="1384"/>
      <c r="M147" s="1384"/>
      <c r="N147" s="1450"/>
      <c r="O147" s="1439"/>
      <c r="P147" s="1472"/>
      <c r="R147"/>
      <c r="S147"/>
    </row>
    <row r="148" spans="1:19" s="676" customFormat="1" ht="18" hidden="1" customHeight="1">
      <c r="A148" s="1462"/>
      <c r="B148" s="1469"/>
      <c r="C148" s="1206" t="s">
        <v>133</v>
      </c>
      <c r="D148" s="1206" t="s">
        <v>134</v>
      </c>
      <c r="E148" s="893" t="s">
        <v>100</v>
      </c>
      <c r="F148" s="1206" t="s">
        <v>133</v>
      </c>
      <c r="G148" s="1206" t="s">
        <v>134</v>
      </c>
      <c r="H148" s="893" t="s">
        <v>100</v>
      </c>
      <c r="I148" s="1206" t="s">
        <v>133</v>
      </c>
      <c r="J148" s="1206" t="s">
        <v>134</v>
      </c>
      <c r="K148" s="893" t="s">
        <v>100</v>
      </c>
      <c r="L148" s="1206" t="s">
        <v>133</v>
      </c>
      <c r="M148" s="1206" t="s">
        <v>134</v>
      </c>
      <c r="N148" s="893" t="s">
        <v>100</v>
      </c>
      <c r="O148" s="1462"/>
      <c r="P148" s="1473"/>
      <c r="R148"/>
      <c r="S148"/>
    </row>
    <row r="149" spans="1:19" s="676" customFormat="1" ht="24" customHeight="1">
      <c r="A149" s="192"/>
      <c r="B149" s="622" t="s">
        <v>1077</v>
      </c>
      <c r="C149" s="137"/>
      <c r="D149" s="139"/>
      <c r="E149" s="139"/>
      <c r="F149" s="137"/>
      <c r="G149" s="138"/>
      <c r="H149" s="138"/>
      <c r="I149" s="137"/>
      <c r="J149" s="1038"/>
      <c r="K149" s="142"/>
      <c r="L149" s="138"/>
      <c r="M149" s="138"/>
      <c r="N149" s="142"/>
      <c r="O149" s="443" t="s">
        <v>37</v>
      </c>
      <c r="P149" s="928"/>
      <c r="R149"/>
      <c r="S149"/>
    </row>
    <row r="150" spans="1:19" ht="29" customHeight="1">
      <c r="A150" s="797">
        <v>83</v>
      </c>
      <c r="B150" s="271" t="s">
        <v>1078</v>
      </c>
      <c r="C150" s="713">
        <v>0</v>
      </c>
      <c r="D150" s="134">
        <v>3</v>
      </c>
      <c r="E150" s="134">
        <f>D150+C150</f>
        <v>3</v>
      </c>
      <c r="F150" s="713">
        <v>0</v>
      </c>
      <c r="G150" s="714">
        <v>18</v>
      </c>
      <c r="H150" s="714">
        <f>G150+F150</f>
        <v>18</v>
      </c>
      <c r="I150" s="713">
        <v>0</v>
      </c>
      <c r="J150" s="714">
        <v>38</v>
      </c>
      <c r="K150" s="141">
        <f>J150+I150</f>
        <v>38</v>
      </c>
      <c r="L150" s="714" t="s">
        <v>56</v>
      </c>
      <c r="M150" s="714">
        <f>122+34</f>
        <v>156</v>
      </c>
      <c r="N150" s="141">
        <f>M150</f>
        <v>156</v>
      </c>
      <c r="O150" s="635" t="s">
        <v>2053</v>
      </c>
      <c r="P150" s="927">
        <v>83</v>
      </c>
      <c r="Q150" s="44"/>
    </row>
    <row r="151" spans="1:19" s="676" customFormat="1" ht="29" customHeight="1">
      <c r="A151" s="192">
        <v>84</v>
      </c>
      <c r="B151" s="241" t="s">
        <v>1079</v>
      </c>
      <c r="C151" s="137">
        <v>0</v>
      </c>
      <c r="D151" s="139">
        <v>3</v>
      </c>
      <c r="E151" s="139">
        <f>D151+C151</f>
        <v>3</v>
      </c>
      <c r="F151" s="137">
        <v>0</v>
      </c>
      <c r="G151" s="138">
        <v>10</v>
      </c>
      <c r="H151" s="138">
        <f>G151+F151</f>
        <v>10</v>
      </c>
      <c r="I151" s="137">
        <v>0</v>
      </c>
      <c r="J151" s="138">
        <v>29</v>
      </c>
      <c r="K151" s="142">
        <f>J151+I151</f>
        <v>29</v>
      </c>
      <c r="L151" s="138" t="s">
        <v>56</v>
      </c>
      <c r="M151" s="138">
        <v>63</v>
      </c>
      <c r="N151" s="142">
        <f t="shared" ref="N151:N153" si="32">M151</f>
        <v>63</v>
      </c>
      <c r="O151" s="246" t="s">
        <v>2054</v>
      </c>
      <c r="P151" s="928">
        <v>84</v>
      </c>
      <c r="Q151" s="705"/>
      <c r="R151"/>
      <c r="S151"/>
    </row>
    <row r="152" spans="1:19" ht="29" customHeight="1">
      <c r="A152" s="797">
        <v>85</v>
      </c>
      <c r="B152" s="271" t="s">
        <v>1080</v>
      </c>
      <c r="C152" s="713">
        <v>0</v>
      </c>
      <c r="D152" s="134">
        <v>3</v>
      </c>
      <c r="E152" s="134">
        <f>D152+C152</f>
        <v>3</v>
      </c>
      <c r="F152" s="713">
        <v>0</v>
      </c>
      <c r="G152" s="714">
        <v>13</v>
      </c>
      <c r="H152" s="714">
        <f>G152+F152</f>
        <v>13</v>
      </c>
      <c r="I152" s="713">
        <v>0</v>
      </c>
      <c r="J152" s="714">
        <v>121</v>
      </c>
      <c r="K152" s="141">
        <f>J152+I152</f>
        <v>121</v>
      </c>
      <c r="L152" s="714" t="s">
        <v>56</v>
      </c>
      <c r="M152" s="714">
        <v>68</v>
      </c>
      <c r="N152" s="141">
        <f t="shared" si="32"/>
        <v>68</v>
      </c>
      <c r="O152" s="635" t="s">
        <v>2055</v>
      </c>
      <c r="P152" s="927">
        <v>85</v>
      </c>
      <c r="Q152" s="44"/>
    </row>
    <row r="153" spans="1:19" s="676" customFormat="1" ht="24" customHeight="1">
      <c r="A153" s="192">
        <v>86</v>
      </c>
      <c r="B153" s="241" t="s">
        <v>1081</v>
      </c>
      <c r="C153" s="137">
        <v>0</v>
      </c>
      <c r="D153" s="139" t="s">
        <v>56</v>
      </c>
      <c r="E153" s="139" t="s">
        <v>56</v>
      </c>
      <c r="F153" s="137">
        <v>0</v>
      </c>
      <c r="G153" s="138">
        <v>4</v>
      </c>
      <c r="H153" s="138">
        <f>G153+F153</f>
        <v>4</v>
      </c>
      <c r="I153" s="137">
        <v>0</v>
      </c>
      <c r="J153" s="138">
        <v>30</v>
      </c>
      <c r="K153" s="142">
        <f>J153+I153</f>
        <v>30</v>
      </c>
      <c r="L153" s="138" t="s">
        <v>56</v>
      </c>
      <c r="M153" s="138">
        <v>51</v>
      </c>
      <c r="N153" s="142">
        <f t="shared" si="32"/>
        <v>51</v>
      </c>
      <c r="O153" s="246" t="s">
        <v>2056</v>
      </c>
      <c r="P153" s="928">
        <v>86</v>
      </c>
      <c r="Q153" s="705"/>
      <c r="R153"/>
      <c r="S153"/>
    </row>
    <row r="154" spans="1:19" ht="24" customHeight="1">
      <c r="A154" s="797"/>
      <c r="B154" s="843" t="s">
        <v>149</v>
      </c>
      <c r="C154" s="713"/>
      <c r="D154" s="134"/>
      <c r="E154" s="134"/>
      <c r="F154" s="713"/>
      <c r="G154" s="714"/>
      <c r="H154" s="714"/>
      <c r="I154" s="713"/>
      <c r="J154" s="1037"/>
      <c r="K154" s="141"/>
      <c r="L154" s="714"/>
      <c r="M154" s="714"/>
      <c r="N154" s="141"/>
      <c r="O154" s="727" t="s">
        <v>835</v>
      </c>
      <c r="P154" s="927"/>
    </row>
    <row r="155" spans="1:19" ht="29" customHeight="1">
      <c r="A155" s="192">
        <v>87</v>
      </c>
      <c r="B155" s="241" t="s">
        <v>1256</v>
      </c>
      <c r="C155" s="137">
        <v>6</v>
      </c>
      <c r="D155" s="139">
        <v>4</v>
      </c>
      <c r="E155" s="139">
        <f>D155+C155</f>
        <v>10</v>
      </c>
      <c r="F155" s="137">
        <v>0</v>
      </c>
      <c r="G155" s="138" t="s">
        <v>56</v>
      </c>
      <c r="H155" s="138" t="s">
        <v>56</v>
      </c>
      <c r="I155" s="137">
        <v>0</v>
      </c>
      <c r="J155" s="1038">
        <v>0</v>
      </c>
      <c r="K155" s="142">
        <v>0</v>
      </c>
      <c r="L155" s="138" t="s">
        <v>56</v>
      </c>
      <c r="M155" s="138" t="s">
        <v>56</v>
      </c>
      <c r="N155" s="142" t="s">
        <v>56</v>
      </c>
      <c r="O155" s="246" t="s">
        <v>2057</v>
      </c>
      <c r="P155" s="928">
        <v>87</v>
      </c>
      <c r="Q155" s="44"/>
    </row>
    <row r="156" spans="1:19" ht="29" customHeight="1">
      <c r="A156" s="797">
        <v>88</v>
      </c>
      <c r="B156" s="271" t="s">
        <v>1082</v>
      </c>
      <c r="C156" s="713">
        <v>0</v>
      </c>
      <c r="D156" s="134" t="s">
        <v>56</v>
      </c>
      <c r="E156" s="134" t="s">
        <v>56</v>
      </c>
      <c r="F156" s="713">
        <v>0</v>
      </c>
      <c r="G156" s="714" t="s">
        <v>56</v>
      </c>
      <c r="H156" s="714" t="s">
        <v>56</v>
      </c>
      <c r="I156" s="713">
        <v>0</v>
      </c>
      <c r="J156" s="714">
        <v>17</v>
      </c>
      <c r="K156" s="141">
        <f>J156+I156</f>
        <v>17</v>
      </c>
      <c r="L156" s="714" t="s">
        <v>56</v>
      </c>
      <c r="M156" s="714">
        <v>30</v>
      </c>
      <c r="N156" s="141">
        <f t="shared" ref="N156:N159" si="33">M156</f>
        <v>30</v>
      </c>
      <c r="O156" s="635" t="s">
        <v>2058</v>
      </c>
      <c r="P156" s="927">
        <v>88</v>
      </c>
      <c r="Q156" s="44"/>
    </row>
    <row r="157" spans="1:19" s="676" customFormat="1" ht="29" customHeight="1">
      <c r="A157" s="192">
        <v>89</v>
      </c>
      <c r="B157" s="241" t="s">
        <v>1083</v>
      </c>
      <c r="C157" s="137">
        <v>0</v>
      </c>
      <c r="D157" s="139">
        <v>3</v>
      </c>
      <c r="E157" s="139">
        <f>D157+C157</f>
        <v>3</v>
      </c>
      <c r="F157" s="137">
        <v>0</v>
      </c>
      <c r="G157" s="138">
        <v>10</v>
      </c>
      <c r="H157" s="138">
        <f>G157+F157</f>
        <v>10</v>
      </c>
      <c r="I157" s="137">
        <v>0</v>
      </c>
      <c r="J157" s="138">
        <v>79</v>
      </c>
      <c r="K157" s="142">
        <f>J157+I157</f>
        <v>79</v>
      </c>
      <c r="L157" s="138" t="s">
        <v>56</v>
      </c>
      <c r="M157" s="138">
        <v>97</v>
      </c>
      <c r="N157" s="142">
        <f t="shared" si="33"/>
        <v>97</v>
      </c>
      <c r="O157" s="247" t="s">
        <v>2059</v>
      </c>
      <c r="P157" s="928">
        <v>89</v>
      </c>
      <c r="Q157" s="44"/>
      <c r="R157"/>
      <c r="S157"/>
    </row>
    <row r="158" spans="1:19" ht="29" customHeight="1">
      <c r="A158" s="797">
        <v>90</v>
      </c>
      <c r="B158" s="271" t="s">
        <v>1084</v>
      </c>
      <c r="C158" s="713">
        <v>0</v>
      </c>
      <c r="D158" s="134">
        <v>4</v>
      </c>
      <c r="E158" s="134">
        <f>D158+C158</f>
        <v>4</v>
      </c>
      <c r="F158" s="713">
        <v>0</v>
      </c>
      <c r="G158" s="714">
        <v>14</v>
      </c>
      <c r="H158" s="141">
        <f>G158+F158</f>
        <v>14</v>
      </c>
      <c r="I158" s="713">
        <v>0</v>
      </c>
      <c r="J158" s="714">
        <v>49</v>
      </c>
      <c r="K158" s="141">
        <f>J158+I158</f>
        <v>49</v>
      </c>
      <c r="L158" s="714" t="s">
        <v>56</v>
      </c>
      <c r="M158" s="714">
        <v>72</v>
      </c>
      <c r="N158" s="141">
        <f t="shared" si="33"/>
        <v>72</v>
      </c>
      <c r="O158" s="1103" t="s">
        <v>2060</v>
      </c>
      <c r="P158" s="927">
        <v>90</v>
      </c>
      <c r="Q158" s="44"/>
    </row>
    <row r="159" spans="1:19" s="676" customFormat="1" ht="29" customHeight="1">
      <c r="A159" s="192">
        <v>91</v>
      </c>
      <c r="B159" s="241" t="s">
        <v>1085</v>
      </c>
      <c r="C159" s="466">
        <v>0</v>
      </c>
      <c r="D159" s="139">
        <v>3</v>
      </c>
      <c r="E159" s="140">
        <f>D159+C159</f>
        <v>3</v>
      </c>
      <c r="F159" s="137">
        <v>0</v>
      </c>
      <c r="G159" s="138">
        <v>19</v>
      </c>
      <c r="H159" s="142">
        <f>G159+F159</f>
        <v>19</v>
      </c>
      <c r="I159" s="137">
        <v>0</v>
      </c>
      <c r="J159" s="138">
        <v>17</v>
      </c>
      <c r="K159" s="142">
        <f>J159+I159</f>
        <v>17</v>
      </c>
      <c r="L159" s="137" t="s">
        <v>56</v>
      </c>
      <c r="M159" s="138">
        <v>52</v>
      </c>
      <c r="N159" s="142">
        <f t="shared" si="33"/>
        <v>52</v>
      </c>
      <c r="O159" s="1107" t="s">
        <v>2061</v>
      </c>
      <c r="P159" s="928">
        <v>91</v>
      </c>
      <c r="R159"/>
      <c r="S159"/>
    </row>
    <row r="160" spans="1:19" s="676" customFormat="1" ht="24" customHeight="1">
      <c r="A160" s="797"/>
      <c r="B160" s="724" t="s">
        <v>1257</v>
      </c>
      <c r="C160" s="713"/>
      <c r="D160" s="134"/>
      <c r="E160" s="135"/>
      <c r="F160" s="713"/>
      <c r="G160" s="714"/>
      <c r="H160" s="141"/>
      <c r="I160" s="713"/>
      <c r="J160" s="1037"/>
      <c r="K160" s="141"/>
      <c r="L160" s="713"/>
      <c r="M160" s="714"/>
      <c r="N160" s="141"/>
      <c r="O160" s="743" t="s">
        <v>39</v>
      </c>
      <c r="P160" s="927"/>
      <c r="Q160" s="705"/>
      <c r="R160"/>
      <c r="S160"/>
    </row>
    <row r="161" spans="1:19" ht="29" customHeight="1">
      <c r="A161" s="192">
        <v>92</v>
      </c>
      <c r="B161" s="240" t="s">
        <v>1086</v>
      </c>
      <c r="C161" s="137">
        <v>0</v>
      </c>
      <c r="D161" s="139">
        <v>2</v>
      </c>
      <c r="E161" s="140">
        <f>D161+C161</f>
        <v>2</v>
      </c>
      <c r="F161" s="137">
        <v>0</v>
      </c>
      <c r="G161" s="138" t="s">
        <v>56</v>
      </c>
      <c r="H161" s="142" t="s">
        <v>56</v>
      </c>
      <c r="I161" s="137">
        <v>0</v>
      </c>
      <c r="J161" s="138">
        <v>12</v>
      </c>
      <c r="K161" s="142">
        <f>J161+I161</f>
        <v>12</v>
      </c>
      <c r="L161" s="137" t="s">
        <v>56</v>
      </c>
      <c r="M161" s="138">
        <v>22</v>
      </c>
      <c r="N161" s="142">
        <f t="shared" ref="N161:N163" si="34">M161</f>
        <v>22</v>
      </c>
      <c r="O161" s="238" t="s">
        <v>2062</v>
      </c>
      <c r="P161" s="928">
        <v>92</v>
      </c>
      <c r="Q161" s="44"/>
    </row>
    <row r="162" spans="1:19" ht="29" customHeight="1">
      <c r="A162" s="797">
        <v>93</v>
      </c>
      <c r="B162" s="271" t="s">
        <v>1224</v>
      </c>
      <c r="C162" s="713">
        <v>0</v>
      </c>
      <c r="D162" s="134">
        <v>2</v>
      </c>
      <c r="E162" s="135">
        <f>D162+C162</f>
        <v>2</v>
      </c>
      <c r="F162" s="713">
        <v>0</v>
      </c>
      <c r="G162" s="714" t="s">
        <v>56</v>
      </c>
      <c r="H162" s="141" t="s">
        <v>56</v>
      </c>
      <c r="I162" s="713">
        <v>0</v>
      </c>
      <c r="J162" s="714">
        <v>14</v>
      </c>
      <c r="K162" s="141">
        <f>J162+I162</f>
        <v>14</v>
      </c>
      <c r="L162" s="713" t="s">
        <v>56</v>
      </c>
      <c r="M162" s="714">
        <v>31</v>
      </c>
      <c r="N162" s="141">
        <f t="shared" si="34"/>
        <v>31</v>
      </c>
      <c r="O162" s="643" t="s">
        <v>2063</v>
      </c>
      <c r="P162" s="931">
        <v>93</v>
      </c>
      <c r="Q162" s="705"/>
    </row>
    <row r="163" spans="1:19" s="676" customFormat="1" ht="29" customHeight="1">
      <c r="A163" s="192">
        <v>94</v>
      </c>
      <c r="B163" s="241" t="s">
        <v>1087</v>
      </c>
      <c r="C163" s="137">
        <v>0</v>
      </c>
      <c r="D163" s="139">
        <v>3</v>
      </c>
      <c r="E163" s="140">
        <f>D163+C163</f>
        <v>3</v>
      </c>
      <c r="F163" s="137">
        <v>0</v>
      </c>
      <c r="G163" s="138" t="s">
        <v>56</v>
      </c>
      <c r="H163" s="142" t="s">
        <v>56</v>
      </c>
      <c r="I163" s="137">
        <v>0</v>
      </c>
      <c r="J163" s="138">
        <v>22</v>
      </c>
      <c r="K163" s="142">
        <f>J163+I163</f>
        <v>22</v>
      </c>
      <c r="L163" s="137" t="s">
        <v>56</v>
      </c>
      <c r="M163" s="138">
        <v>36</v>
      </c>
      <c r="N163" s="142">
        <f t="shared" si="34"/>
        <v>36</v>
      </c>
      <c r="O163" s="238" t="s">
        <v>2064</v>
      </c>
      <c r="P163" s="932">
        <v>94</v>
      </c>
      <c r="Q163" s="44"/>
      <c r="R163"/>
      <c r="S163"/>
    </row>
    <row r="164" spans="1:19" s="676" customFormat="1" ht="24" customHeight="1">
      <c r="A164" s="797"/>
      <c r="B164" s="843" t="s">
        <v>1258</v>
      </c>
      <c r="C164" s="713"/>
      <c r="D164" s="134"/>
      <c r="E164" s="135"/>
      <c r="F164" s="713"/>
      <c r="G164" s="714"/>
      <c r="H164" s="141"/>
      <c r="I164" s="713"/>
      <c r="J164" s="1037"/>
      <c r="K164" s="141"/>
      <c r="L164" s="713"/>
      <c r="M164" s="714"/>
      <c r="N164" s="141"/>
      <c r="O164" s="743" t="s">
        <v>40</v>
      </c>
      <c r="P164" s="931"/>
      <c r="Q164" s="44"/>
      <c r="R164"/>
      <c r="S164"/>
    </row>
    <row r="165" spans="1:19" ht="29" customHeight="1">
      <c r="A165" s="192">
        <v>95</v>
      </c>
      <c r="B165" s="241" t="s">
        <v>1088</v>
      </c>
      <c r="C165" s="137">
        <v>0</v>
      </c>
      <c r="D165" s="139">
        <v>2</v>
      </c>
      <c r="E165" s="140">
        <f>D165+C165</f>
        <v>2</v>
      </c>
      <c r="F165" s="137">
        <v>0</v>
      </c>
      <c r="G165" s="138" t="s">
        <v>56</v>
      </c>
      <c r="H165" s="142" t="s">
        <v>56</v>
      </c>
      <c r="I165" s="137">
        <v>0</v>
      </c>
      <c r="J165" s="138">
        <v>64</v>
      </c>
      <c r="K165" s="142">
        <f>J165+I165</f>
        <v>64</v>
      </c>
      <c r="L165" s="137" t="s">
        <v>56</v>
      </c>
      <c r="M165" s="138">
        <v>90</v>
      </c>
      <c r="N165" s="142">
        <f t="shared" ref="N165:N168" si="35">M165</f>
        <v>90</v>
      </c>
      <c r="O165" s="238" t="s">
        <v>2065</v>
      </c>
      <c r="P165" s="932">
        <v>95</v>
      </c>
      <c r="Q165" s="705"/>
    </row>
    <row r="166" spans="1:19" ht="29" customHeight="1">
      <c r="A166" s="797">
        <v>96</v>
      </c>
      <c r="B166" s="271" t="s">
        <v>1089</v>
      </c>
      <c r="C166" s="713">
        <v>0</v>
      </c>
      <c r="D166" s="134">
        <v>3</v>
      </c>
      <c r="E166" s="135">
        <f>D166+C166</f>
        <v>3</v>
      </c>
      <c r="F166" s="713">
        <v>0</v>
      </c>
      <c r="G166" s="714" t="s">
        <v>56</v>
      </c>
      <c r="H166" s="141" t="s">
        <v>56</v>
      </c>
      <c r="I166" s="713">
        <v>0</v>
      </c>
      <c r="J166" s="714">
        <v>30</v>
      </c>
      <c r="K166" s="141">
        <f>J166+I166</f>
        <v>30</v>
      </c>
      <c r="L166" s="713" t="s">
        <v>56</v>
      </c>
      <c r="M166" s="714">
        <v>52</v>
      </c>
      <c r="N166" s="141">
        <f t="shared" si="35"/>
        <v>52</v>
      </c>
      <c r="O166" s="643" t="s">
        <v>2066</v>
      </c>
      <c r="P166" s="927">
        <v>96</v>
      </c>
      <c r="Q166" s="705"/>
    </row>
    <row r="167" spans="1:19" ht="29" customHeight="1">
      <c r="A167" s="192">
        <v>97</v>
      </c>
      <c r="B167" s="241" t="s">
        <v>1090</v>
      </c>
      <c r="C167" s="137">
        <v>0</v>
      </c>
      <c r="D167" s="139">
        <v>3</v>
      </c>
      <c r="E167" s="140">
        <f>D167+C167</f>
        <v>3</v>
      </c>
      <c r="F167" s="137">
        <v>0</v>
      </c>
      <c r="G167" s="138" t="s">
        <v>56</v>
      </c>
      <c r="H167" s="142" t="s">
        <v>56</v>
      </c>
      <c r="I167" s="137">
        <v>0</v>
      </c>
      <c r="J167" s="138">
        <v>30</v>
      </c>
      <c r="K167" s="142">
        <f>J167+I167</f>
        <v>30</v>
      </c>
      <c r="L167" s="137" t="s">
        <v>56</v>
      </c>
      <c r="M167" s="138">
        <v>45</v>
      </c>
      <c r="N167" s="142">
        <f t="shared" si="35"/>
        <v>45</v>
      </c>
      <c r="O167" s="238" t="s">
        <v>2067</v>
      </c>
      <c r="P167" s="932">
        <v>97</v>
      </c>
      <c r="Q167" s="705"/>
    </row>
    <row r="168" spans="1:19" ht="29" customHeight="1">
      <c r="A168" s="800">
        <v>98</v>
      </c>
      <c r="B168" s="801" t="s">
        <v>1091</v>
      </c>
      <c r="C168" s="811">
        <v>0</v>
      </c>
      <c r="D168" s="194">
        <v>2</v>
      </c>
      <c r="E168" s="195">
        <f>D168+C168</f>
        <v>2</v>
      </c>
      <c r="F168" s="811">
        <v>0</v>
      </c>
      <c r="G168" s="812">
        <v>8</v>
      </c>
      <c r="H168" s="193">
        <f>G168+F168</f>
        <v>8</v>
      </c>
      <c r="I168" s="811">
        <v>0</v>
      </c>
      <c r="J168" s="812">
        <v>61</v>
      </c>
      <c r="K168" s="193">
        <f>J168+I168</f>
        <v>61</v>
      </c>
      <c r="L168" s="811" t="s">
        <v>56</v>
      </c>
      <c r="M168" s="812">
        <v>83</v>
      </c>
      <c r="N168" s="193">
        <f t="shared" si="35"/>
        <v>83</v>
      </c>
      <c r="O168" s="696" t="s">
        <v>2068</v>
      </c>
      <c r="P168" s="930">
        <v>98</v>
      </c>
      <c r="Q168" s="705"/>
    </row>
    <row r="169" spans="1:19" ht="18" hidden="1" customHeight="1">
      <c r="A169" s="1508" t="s">
        <v>1187</v>
      </c>
      <c r="B169" s="1508"/>
      <c r="C169" s="191"/>
      <c r="D169" s="191"/>
      <c r="E169" s="191"/>
      <c r="F169" s="138"/>
      <c r="G169" s="138"/>
      <c r="H169" s="138"/>
      <c r="I169" s="138"/>
      <c r="J169" s="138"/>
      <c r="K169" s="138"/>
      <c r="L169" s="138"/>
      <c r="M169" s="138"/>
      <c r="N169" s="138"/>
      <c r="O169" s="1509" t="s">
        <v>1300</v>
      </c>
      <c r="P169" s="1509"/>
      <c r="Q169" s="705"/>
    </row>
    <row r="170" spans="1:19" ht="18" hidden="1" customHeight="1">
      <c r="A170" s="1520"/>
      <c r="B170" s="1520"/>
      <c r="J170" s="168"/>
      <c r="K170" s="168"/>
      <c r="L170" s="1509" t="s">
        <v>1299</v>
      </c>
      <c r="M170" s="1509"/>
      <c r="N170" s="1509"/>
      <c r="O170" s="1509"/>
      <c r="P170" s="1509"/>
    </row>
    <row r="171" spans="1:19" ht="18" hidden="1" customHeight="1">
      <c r="A171" s="1438" t="s">
        <v>621</v>
      </c>
      <c r="B171" s="1438" t="s">
        <v>1221</v>
      </c>
      <c r="C171" s="1320" t="s">
        <v>1307</v>
      </c>
      <c r="D171" s="1470"/>
      <c r="E171" s="1449"/>
      <c r="F171" s="1320" t="s">
        <v>1219</v>
      </c>
      <c r="G171" s="1470"/>
      <c r="H171" s="1449"/>
      <c r="I171" s="1320" t="s">
        <v>1218</v>
      </c>
      <c r="J171" s="1470"/>
      <c r="K171" s="1449"/>
      <c r="L171" s="1320" t="s">
        <v>79</v>
      </c>
      <c r="M171" s="1470"/>
      <c r="N171" s="1449"/>
      <c r="O171" s="1438" t="s">
        <v>1975</v>
      </c>
      <c r="P171" s="1471" t="s">
        <v>727</v>
      </c>
    </row>
    <row r="172" spans="1:19" ht="18" hidden="1" customHeight="1">
      <c r="A172" s="1439"/>
      <c r="B172" s="1439"/>
      <c r="C172" s="1280"/>
      <c r="D172" s="1474"/>
      <c r="E172" s="1475"/>
      <c r="F172" s="1280"/>
      <c r="G172" s="1474"/>
      <c r="H172" s="1475"/>
      <c r="I172" s="1280"/>
      <c r="J172" s="1474"/>
      <c r="K172" s="1475"/>
      <c r="L172" s="1280"/>
      <c r="M172" s="1474"/>
      <c r="N172" s="1475"/>
      <c r="O172" s="1439"/>
      <c r="P172" s="1472"/>
    </row>
    <row r="173" spans="1:19" ht="18" hidden="1" customHeight="1">
      <c r="A173" s="1439"/>
      <c r="B173" s="1439"/>
      <c r="C173" s="1281" t="s">
        <v>138</v>
      </c>
      <c r="D173" s="1476"/>
      <c r="E173" s="1450"/>
      <c r="F173" s="1281" t="s">
        <v>1186</v>
      </c>
      <c r="G173" s="1476"/>
      <c r="H173" s="1450"/>
      <c r="I173" s="1281" t="s">
        <v>587</v>
      </c>
      <c r="J173" s="1476"/>
      <c r="K173" s="1450"/>
      <c r="L173" s="1281" t="s">
        <v>137</v>
      </c>
      <c r="M173" s="1476"/>
      <c r="N173" s="1450"/>
      <c r="O173" s="1439"/>
      <c r="P173" s="1472"/>
      <c r="Q173" s="2"/>
    </row>
    <row r="174" spans="1:19" ht="26.25" hidden="1" customHeight="1">
      <c r="A174" s="1439"/>
      <c r="B174" s="1439"/>
      <c r="C174" s="1229" t="s">
        <v>583</v>
      </c>
      <c r="D174" s="1229" t="s">
        <v>581</v>
      </c>
      <c r="E174" s="1229" t="s">
        <v>489</v>
      </c>
      <c r="F174" s="1229" t="s">
        <v>583</v>
      </c>
      <c r="G174" s="1229" t="s">
        <v>581</v>
      </c>
      <c r="H174" s="1229" t="s">
        <v>489</v>
      </c>
      <c r="I174" s="1229" t="s">
        <v>583</v>
      </c>
      <c r="J174" s="1229" t="s">
        <v>581</v>
      </c>
      <c r="K174" s="1229" t="s">
        <v>489</v>
      </c>
      <c r="L174" s="1229" t="s">
        <v>583</v>
      </c>
      <c r="M174" s="1229" t="s">
        <v>581</v>
      </c>
      <c r="N174" s="1229" t="s">
        <v>489</v>
      </c>
      <c r="O174" s="1439"/>
      <c r="P174" s="1472"/>
    </row>
    <row r="175" spans="1:19" ht="29.25" hidden="1" customHeight="1">
      <c r="A175" s="1462"/>
      <c r="B175" s="1462"/>
      <c r="C175" s="1214" t="s">
        <v>133</v>
      </c>
      <c r="D175" s="1214" t="s">
        <v>134</v>
      </c>
      <c r="E175" s="1230" t="s">
        <v>100</v>
      </c>
      <c r="F175" s="1214" t="s">
        <v>133</v>
      </c>
      <c r="G175" s="1214" t="s">
        <v>134</v>
      </c>
      <c r="H175" s="1230" t="s">
        <v>100</v>
      </c>
      <c r="I175" s="1214" t="s">
        <v>133</v>
      </c>
      <c r="J175" s="1214" t="s">
        <v>134</v>
      </c>
      <c r="K175" s="1230" t="s">
        <v>100</v>
      </c>
      <c r="L175" s="1214" t="s">
        <v>133</v>
      </c>
      <c r="M175" s="1214" t="s">
        <v>134</v>
      </c>
      <c r="N175" s="1230" t="s">
        <v>100</v>
      </c>
      <c r="O175" s="1462"/>
      <c r="P175" s="1473"/>
    </row>
    <row r="176" spans="1:19" ht="30" customHeight="1">
      <c r="A176" s="192">
        <v>99</v>
      </c>
      <c r="B176" s="241" t="s">
        <v>1259</v>
      </c>
      <c r="C176" s="137">
        <v>0</v>
      </c>
      <c r="D176" s="139">
        <v>2</v>
      </c>
      <c r="E176" s="140">
        <f>D176+C176</f>
        <v>2</v>
      </c>
      <c r="F176" s="137">
        <v>0</v>
      </c>
      <c r="G176" s="138" t="s">
        <v>56</v>
      </c>
      <c r="H176" s="142" t="s">
        <v>56</v>
      </c>
      <c r="I176" s="137">
        <v>0</v>
      </c>
      <c r="J176" s="138">
        <v>26</v>
      </c>
      <c r="K176" s="142">
        <f>J176+I176</f>
        <v>26</v>
      </c>
      <c r="L176" s="137" t="s">
        <v>56</v>
      </c>
      <c r="M176" s="138">
        <v>45</v>
      </c>
      <c r="N176" s="142">
        <f>M176</f>
        <v>45</v>
      </c>
      <c r="O176" s="238" t="s">
        <v>2069</v>
      </c>
      <c r="P176" s="932">
        <v>99</v>
      </c>
    </row>
    <row r="177" spans="1:19" ht="30" customHeight="1">
      <c r="A177" s="797">
        <v>100</v>
      </c>
      <c r="B177" s="271" t="s">
        <v>1092</v>
      </c>
      <c r="C177" s="713">
        <v>0</v>
      </c>
      <c r="D177" s="134">
        <v>4</v>
      </c>
      <c r="E177" s="135">
        <f>D177+C177</f>
        <v>4</v>
      </c>
      <c r="F177" s="713">
        <v>0</v>
      </c>
      <c r="G177" s="714" t="s">
        <v>56</v>
      </c>
      <c r="H177" s="141" t="s">
        <v>56</v>
      </c>
      <c r="I177" s="713">
        <v>0</v>
      </c>
      <c r="J177" s="714">
        <v>51</v>
      </c>
      <c r="K177" s="141">
        <f>J177+I177</f>
        <v>51</v>
      </c>
      <c r="L177" s="713" t="s">
        <v>56</v>
      </c>
      <c r="M177" s="714">
        <v>74</v>
      </c>
      <c r="N177" s="141">
        <f t="shared" ref="N177:N178" si="36">M177</f>
        <v>74</v>
      </c>
      <c r="O177" s="643" t="s">
        <v>2070</v>
      </c>
      <c r="P177" s="927">
        <v>100</v>
      </c>
    </row>
    <row r="178" spans="1:19" ht="30" customHeight="1">
      <c r="A178" s="192">
        <v>101</v>
      </c>
      <c r="B178" s="241" t="s">
        <v>1093</v>
      </c>
      <c r="C178" s="137">
        <v>0</v>
      </c>
      <c r="D178" s="139">
        <v>3</v>
      </c>
      <c r="E178" s="140">
        <f>D178+C178</f>
        <v>3</v>
      </c>
      <c r="F178" s="137">
        <v>0</v>
      </c>
      <c r="G178" s="138">
        <v>14</v>
      </c>
      <c r="H178" s="142">
        <f>G178+F178</f>
        <v>14</v>
      </c>
      <c r="I178" s="137">
        <v>0</v>
      </c>
      <c r="J178" s="138">
        <v>27</v>
      </c>
      <c r="K178" s="142">
        <f>J178+I178</f>
        <v>27</v>
      </c>
      <c r="L178" s="137" t="s">
        <v>56</v>
      </c>
      <c r="M178" s="138">
        <v>66</v>
      </c>
      <c r="N178" s="142">
        <f t="shared" si="36"/>
        <v>66</v>
      </c>
      <c r="O178" s="238" t="s">
        <v>2071</v>
      </c>
      <c r="P178" s="932">
        <v>101</v>
      </c>
      <c r="Q178" s="44"/>
    </row>
    <row r="179" spans="1:19" s="676" customFormat="1" ht="30" customHeight="1">
      <c r="A179" s="797">
        <v>102</v>
      </c>
      <c r="B179" s="271" t="s">
        <v>1041</v>
      </c>
      <c r="C179" s="713">
        <v>1</v>
      </c>
      <c r="D179" s="134">
        <v>8</v>
      </c>
      <c r="E179" s="135">
        <f>D179+C179</f>
        <v>9</v>
      </c>
      <c r="F179" s="713">
        <v>0</v>
      </c>
      <c r="G179" s="714" t="s">
        <v>56</v>
      </c>
      <c r="H179" s="141" t="s">
        <v>56</v>
      </c>
      <c r="I179" s="713">
        <v>2</v>
      </c>
      <c r="J179" s="714">
        <v>11</v>
      </c>
      <c r="K179" s="141">
        <f>J179+I179</f>
        <v>13</v>
      </c>
      <c r="L179" s="713">
        <v>20</v>
      </c>
      <c r="M179" s="714">
        <v>96</v>
      </c>
      <c r="N179" s="141">
        <f>M179+L179</f>
        <v>116</v>
      </c>
      <c r="O179" s="643" t="s">
        <v>2015</v>
      </c>
      <c r="P179" s="927">
        <v>102</v>
      </c>
      <c r="Q179" s="705"/>
      <c r="R179"/>
      <c r="S179"/>
    </row>
    <row r="180" spans="1:19" ht="30" customHeight="1">
      <c r="A180" s="192"/>
      <c r="B180" s="490" t="s">
        <v>1094</v>
      </c>
      <c r="C180" s="137"/>
      <c r="D180" s="139"/>
      <c r="E180" s="140"/>
      <c r="F180" s="137"/>
      <c r="G180" s="138"/>
      <c r="H180" s="142"/>
      <c r="I180" s="137"/>
      <c r="J180" s="1038"/>
      <c r="K180" s="142"/>
      <c r="L180" s="137"/>
      <c r="M180" s="138"/>
      <c r="N180" s="142"/>
      <c r="O180" s="1000" t="s">
        <v>41</v>
      </c>
      <c r="P180" s="928"/>
    </row>
    <row r="181" spans="1:19" s="676" customFormat="1" ht="30" customHeight="1">
      <c r="A181" s="797">
        <v>103</v>
      </c>
      <c r="B181" s="814" t="s">
        <v>1095</v>
      </c>
      <c r="C181" s="713">
        <v>0</v>
      </c>
      <c r="D181" s="134">
        <v>2</v>
      </c>
      <c r="E181" s="135">
        <v>2</v>
      </c>
      <c r="F181" s="713">
        <v>0</v>
      </c>
      <c r="G181" s="714" t="s">
        <v>56</v>
      </c>
      <c r="H181" s="141" t="s">
        <v>56</v>
      </c>
      <c r="I181" s="713">
        <v>0</v>
      </c>
      <c r="J181" s="714">
        <v>22</v>
      </c>
      <c r="K181" s="141">
        <f>J181+I181</f>
        <v>22</v>
      </c>
      <c r="L181" s="714" t="s">
        <v>56</v>
      </c>
      <c r="M181" s="714">
        <v>22</v>
      </c>
      <c r="N181" s="714">
        <f t="shared" ref="N181:N185" si="37">M181</f>
        <v>22</v>
      </c>
      <c r="O181" s="643" t="s">
        <v>2072</v>
      </c>
      <c r="P181" s="927">
        <v>103</v>
      </c>
      <c r="Q181" s="705"/>
      <c r="R181"/>
      <c r="S181"/>
    </row>
    <row r="182" spans="1:19" ht="30" customHeight="1">
      <c r="A182" s="192">
        <v>104</v>
      </c>
      <c r="B182" s="315" t="s">
        <v>1096</v>
      </c>
      <c r="C182" s="137">
        <v>0</v>
      </c>
      <c r="D182" s="139" t="s">
        <v>56</v>
      </c>
      <c r="E182" s="140" t="s">
        <v>56</v>
      </c>
      <c r="F182" s="137">
        <v>0</v>
      </c>
      <c r="G182" s="138" t="s">
        <v>56</v>
      </c>
      <c r="H182" s="142" t="s">
        <v>56</v>
      </c>
      <c r="I182" s="137">
        <v>0</v>
      </c>
      <c r="J182" s="138">
        <v>15</v>
      </c>
      <c r="K182" s="142">
        <f>J182+I182</f>
        <v>15</v>
      </c>
      <c r="L182" s="138" t="s">
        <v>56</v>
      </c>
      <c r="M182" s="138">
        <v>32</v>
      </c>
      <c r="N182" s="138">
        <f t="shared" si="37"/>
        <v>32</v>
      </c>
      <c r="O182" s="238" t="s">
        <v>2073</v>
      </c>
      <c r="P182" s="928">
        <v>104</v>
      </c>
      <c r="Q182" s="44"/>
    </row>
    <row r="183" spans="1:19" s="676" customFormat="1" ht="30" customHeight="1">
      <c r="A183" s="797">
        <v>105</v>
      </c>
      <c r="B183" s="814" t="s">
        <v>1097</v>
      </c>
      <c r="C183" s="713">
        <v>0</v>
      </c>
      <c r="D183" s="134">
        <v>1</v>
      </c>
      <c r="E183" s="135">
        <f>D183+C183</f>
        <v>1</v>
      </c>
      <c r="F183" s="713">
        <v>0</v>
      </c>
      <c r="G183" s="714" t="s">
        <v>56</v>
      </c>
      <c r="H183" s="141" t="s">
        <v>56</v>
      </c>
      <c r="I183" s="713">
        <v>0</v>
      </c>
      <c r="J183" s="714">
        <v>33</v>
      </c>
      <c r="K183" s="141">
        <f>J183+I183</f>
        <v>33</v>
      </c>
      <c r="L183" s="714" t="s">
        <v>56</v>
      </c>
      <c r="M183" s="714">
        <v>53</v>
      </c>
      <c r="N183" s="714">
        <f t="shared" si="37"/>
        <v>53</v>
      </c>
      <c r="O183" s="643" t="s">
        <v>2074</v>
      </c>
      <c r="P183" s="927">
        <v>105</v>
      </c>
      <c r="Q183" s="705"/>
      <c r="R183"/>
      <c r="S183"/>
    </row>
    <row r="184" spans="1:19" ht="30" customHeight="1">
      <c r="A184" s="192">
        <v>106</v>
      </c>
      <c r="B184" s="315" t="s">
        <v>1098</v>
      </c>
      <c r="C184" s="137">
        <v>0</v>
      </c>
      <c r="D184" s="139">
        <v>1</v>
      </c>
      <c r="E184" s="140">
        <f>D184+C184</f>
        <v>1</v>
      </c>
      <c r="F184" s="137">
        <v>0</v>
      </c>
      <c r="G184" s="138" t="s">
        <v>56</v>
      </c>
      <c r="H184" s="142" t="s">
        <v>56</v>
      </c>
      <c r="I184" s="137">
        <v>0</v>
      </c>
      <c r="J184" s="138">
        <v>17</v>
      </c>
      <c r="K184" s="142">
        <f>J184+I184</f>
        <v>17</v>
      </c>
      <c r="L184" s="138" t="s">
        <v>56</v>
      </c>
      <c r="M184" s="138">
        <v>36</v>
      </c>
      <c r="N184" s="138">
        <f t="shared" si="37"/>
        <v>36</v>
      </c>
      <c r="O184" s="238" t="s">
        <v>2075</v>
      </c>
      <c r="P184" s="928">
        <v>106</v>
      </c>
      <c r="Q184" s="44"/>
    </row>
    <row r="185" spans="1:19" s="676" customFormat="1" ht="30" customHeight="1">
      <c r="A185" s="797">
        <v>107</v>
      </c>
      <c r="B185" s="814" t="s">
        <v>1099</v>
      </c>
      <c r="C185" s="713">
        <v>0</v>
      </c>
      <c r="D185" s="134" t="s">
        <v>56</v>
      </c>
      <c r="E185" s="135" t="s">
        <v>56</v>
      </c>
      <c r="F185" s="713">
        <v>0</v>
      </c>
      <c r="G185" s="714">
        <v>4</v>
      </c>
      <c r="H185" s="141">
        <f>G185+F185</f>
        <v>4</v>
      </c>
      <c r="I185" s="713">
        <v>0</v>
      </c>
      <c r="J185" s="714">
        <v>12</v>
      </c>
      <c r="K185" s="141">
        <f>J185+I185</f>
        <v>12</v>
      </c>
      <c r="L185" s="714" t="s">
        <v>56</v>
      </c>
      <c r="M185" s="714">
        <v>36</v>
      </c>
      <c r="N185" s="141">
        <f t="shared" si="37"/>
        <v>36</v>
      </c>
      <c r="O185" s="643" t="s">
        <v>2076</v>
      </c>
      <c r="P185" s="927">
        <v>107</v>
      </c>
      <c r="Q185" s="705"/>
      <c r="R185"/>
      <c r="S185"/>
    </row>
    <row r="186" spans="1:19" s="676" customFormat="1" ht="30" customHeight="1">
      <c r="A186" s="604"/>
      <c r="B186" s="627" t="s">
        <v>1100</v>
      </c>
      <c r="C186" s="849"/>
      <c r="D186" s="491"/>
      <c r="E186" s="842"/>
      <c r="F186" s="849"/>
      <c r="G186" s="491"/>
      <c r="H186" s="842"/>
      <c r="I186" s="849"/>
      <c r="J186" s="1106"/>
      <c r="K186" s="842"/>
      <c r="L186" s="849"/>
      <c r="M186" s="491"/>
      <c r="N186" s="842"/>
      <c r="O186" s="426" t="s">
        <v>22</v>
      </c>
      <c r="P186" s="1008"/>
      <c r="Q186" s="44"/>
      <c r="R186"/>
      <c r="S186"/>
    </row>
    <row r="187" spans="1:19" ht="30" customHeight="1">
      <c r="A187" s="797">
        <v>108</v>
      </c>
      <c r="B187" s="814" t="s">
        <v>1101</v>
      </c>
      <c r="C187" s="713">
        <v>0</v>
      </c>
      <c r="D187" s="134">
        <v>3</v>
      </c>
      <c r="E187" s="135">
        <f>D187+C187</f>
        <v>3</v>
      </c>
      <c r="F187" s="713">
        <v>0</v>
      </c>
      <c r="G187" s="714">
        <v>15</v>
      </c>
      <c r="H187" s="141">
        <f>G187+F187</f>
        <v>15</v>
      </c>
      <c r="I187" s="713">
        <v>0</v>
      </c>
      <c r="J187" s="714">
        <v>16</v>
      </c>
      <c r="K187" s="141">
        <f>J187+I187</f>
        <v>16</v>
      </c>
      <c r="L187" s="714" t="s">
        <v>56</v>
      </c>
      <c r="M187" s="714">
        <v>52</v>
      </c>
      <c r="N187" s="714">
        <f t="shared" ref="N187:N188" si="38">M187</f>
        <v>52</v>
      </c>
      <c r="O187" s="643" t="s">
        <v>2077</v>
      </c>
      <c r="P187" s="927">
        <v>108</v>
      </c>
      <c r="Q187" s="705"/>
    </row>
    <row r="188" spans="1:19" s="676" customFormat="1" ht="30" customHeight="1">
      <c r="A188" s="192">
        <v>109</v>
      </c>
      <c r="B188" s="315" t="s">
        <v>1102</v>
      </c>
      <c r="C188" s="137">
        <v>0</v>
      </c>
      <c r="D188" s="139">
        <v>3</v>
      </c>
      <c r="E188" s="140">
        <f>D188+C188</f>
        <v>3</v>
      </c>
      <c r="F188" s="137">
        <v>0</v>
      </c>
      <c r="G188" s="138" t="s">
        <v>56</v>
      </c>
      <c r="H188" s="142" t="s">
        <v>56</v>
      </c>
      <c r="I188" s="137">
        <v>0</v>
      </c>
      <c r="J188" s="138">
        <v>15</v>
      </c>
      <c r="K188" s="142">
        <f>J188+I188</f>
        <v>15</v>
      </c>
      <c r="L188" s="138" t="s">
        <v>56</v>
      </c>
      <c r="M188" s="138">
        <v>39</v>
      </c>
      <c r="N188" s="138">
        <f t="shared" si="38"/>
        <v>39</v>
      </c>
      <c r="O188" s="238" t="s">
        <v>2078</v>
      </c>
      <c r="P188" s="932">
        <v>109</v>
      </c>
      <c r="Q188" s="705"/>
      <c r="R188"/>
      <c r="S188"/>
    </row>
    <row r="189" spans="1:19" ht="30" customHeight="1">
      <c r="A189" s="797"/>
      <c r="B189" s="1005" t="s">
        <v>122</v>
      </c>
      <c r="C189" s="713"/>
      <c r="D189" s="134"/>
      <c r="E189" s="135"/>
      <c r="F189" s="713"/>
      <c r="G189" s="714"/>
      <c r="H189" s="141"/>
      <c r="I189" s="713"/>
      <c r="J189" s="1037"/>
      <c r="K189" s="141"/>
      <c r="L189" s="714" t="s">
        <v>56</v>
      </c>
      <c r="M189" s="714"/>
      <c r="N189" s="714"/>
      <c r="O189" s="743" t="s">
        <v>23</v>
      </c>
      <c r="P189" s="931"/>
    </row>
    <row r="190" spans="1:19" ht="30" customHeight="1">
      <c r="A190" s="192">
        <v>110</v>
      </c>
      <c r="B190" s="315" t="s">
        <v>1103</v>
      </c>
      <c r="C190" s="137">
        <v>0</v>
      </c>
      <c r="D190" s="139">
        <v>3</v>
      </c>
      <c r="E190" s="140">
        <f>D190+C190</f>
        <v>3</v>
      </c>
      <c r="F190" s="137">
        <v>0</v>
      </c>
      <c r="G190" s="138" t="s">
        <v>56</v>
      </c>
      <c r="H190" s="142" t="s">
        <v>56</v>
      </c>
      <c r="I190" s="137">
        <v>0</v>
      </c>
      <c r="J190" s="138">
        <v>14</v>
      </c>
      <c r="K190" s="142">
        <f>J190+I190</f>
        <v>14</v>
      </c>
      <c r="L190" s="138" t="s">
        <v>56</v>
      </c>
      <c r="M190" s="138">
        <v>24</v>
      </c>
      <c r="N190" s="138">
        <f t="shared" ref="N190:N194" si="39">M190</f>
        <v>24</v>
      </c>
      <c r="O190" s="238" t="s">
        <v>2079</v>
      </c>
      <c r="P190" s="932">
        <v>110</v>
      </c>
      <c r="Q190" s="44"/>
    </row>
    <row r="191" spans="1:19" s="676" customFormat="1" ht="30" customHeight="1">
      <c r="A191" s="797">
        <v>111</v>
      </c>
      <c r="B191" s="814" t="s">
        <v>1104</v>
      </c>
      <c r="C191" s="713">
        <v>0</v>
      </c>
      <c r="D191" s="134">
        <v>4</v>
      </c>
      <c r="E191" s="135">
        <f>D191+C191</f>
        <v>4</v>
      </c>
      <c r="F191" s="713">
        <v>0</v>
      </c>
      <c r="G191" s="714" t="s">
        <v>56</v>
      </c>
      <c r="H191" s="141" t="s">
        <v>56</v>
      </c>
      <c r="I191" s="713">
        <v>0</v>
      </c>
      <c r="J191" s="714">
        <v>15</v>
      </c>
      <c r="K191" s="141">
        <f>J191+I191</f>
        <v>15</v>
      </c>
      <c r="L191" s="714" t="s">
        <v>56</v>
      </c>
      <c r="M191" s="714">
        <v>22</v>
      </c>
      <c r="N191" s="714">
        <f t="shared" si="39"/>
        <v>22</v>
      </c>
      <c r="O191" s="643" t="s">
        <v>2080</v>
      </c>
      <c r="P191" s="931">
        <v>111</v>
      </c>
      <c r="Q191" s="705"/>
      <c r="R191"/>
      <c r="S191"/>
    </row>
    <row r="192" spans="1:19" ht="30" customHeight="1">
      <c r="A192" s="192">
        <v>112</v>
      </c>
      <c r="B192" s="315" t="s">
        <v>1105</v>
      </c>
      <c r="C192" s="137">
        <v>0</v>
      </c>
      <c r="D192" s="139">
        <v>5</v>
      </c>
      <c r="E192" s="140">
        <f>D192+C192</f>
        <v>5</v>
      </c>
      <c r="F192" s="137">
        <v>0</v>
      </c>
      <c r="G192" s="138" t="s">
        <v>56</v>
      </c>
      <c r="H192" s="142" t="s">
        <v>56</v>
      </c>
      <c r="I192" s="137">
        <v>0</v>
      </c>
      <c r="J192" s="138">
        <v>13</v>
      </c>
      <c r="K192" s="142">
        <f>J192+I192</f>
        <v>13</v>
      </c>
      <c r="L192" s="138" t="s">
        <v>56</v>
      </c>
      <c r="M192" s="138">
        <v>25</v>
      </c>
      <c r="N192" s="138">
        <f t="shared" si="39"/>
        <v>25</v>
      </c>
      <c r="O192" s="238" t="s">
        <v>2081</v>
      </c>
      <c r="P192" s="932">
        <v>112</v>
      </c>
      <c r="Q192" s="44"/>
    </row>
    <row r="193" spans="1:19" s="676" customFormat="1" ht="30" customHeight="1">
      <c r="A193" s="797">
        <v>113</v>
      </c>
      <c r="B193" s="814" t="s">
        <v>1106</v>
      </c>
      <c r="C193" s="713">
        <v>0</v>
      </c>
      <c r="D193" s="134">
        <v>2</v>
      </c>
      <c r="E193" s="135">
        <f>D193+C193</f>
        <v>2</v>
      </c>
      <c r="F193" s="713">
        <v>0</v>
      </c>
      <c r="G193" s="714" t="s">
        <v>56</v>
      </c>
      <c r="H193" s="141" t="s">
        <v>56</v>
      </c>
      <c r="I193" s="713">
        <v>0</v>
      </c>
      <c r="J193" s="714">
        <v>31</v>
      </c>
      <c r="K193" s="141">
        <f>J193+I193</f>
        <v>31</v>
      </c>
      <c r="L193" s="714" t="s">
        <v>56</v>
      </c>
      <c r="M193" s="714">
        <v>61</v>
      </c>
      <c r="N193" s="714">
        <f t="shared" si="39"/>
        <v>61</v>
      </c>
      <c r="O193" s="643" t="s">
        <v>2082</v>
      </c>
      <c r="P193" s="931">
        <v>113</v>
      </c>
      <c r="Q193" s="705"/>
      <c r="R193"/>
      <c r="S193"/>
    </row>
    <row r="194" spans="1:19" ht="24.75" customHeight="1">
      <c r="A194" s="586">
        <v>114</v>
      </c>
      <c r="B194" s="373" t="s">
        <v>1107</v>
      </c>
      <c r="C194" s="364">
        <v>0</v>
      </c>
      <c r="D194" s="365">
        <v>3</v>
      </c>
      <c r="E194" s="366">
        <f>D194+C194</f>
        <v>3</v>
      </c>
      <c r="F194" s="364">
        <v>0</v>
      </c>
      <c r="G194" s="367" t="s">
        <v>56</v>
      </c>
      <c r="H194" s="368" t="s">
        <v>56</v>
      </c>
      <c r="I194" s="364">
        <v>0</v>
      </c>
      <c r="J194" s="367">
        <v>27</v>
      </c>
      <c r="K194" s="368">
        <f>J194+I194</f>
        <v>27</v>
      </c>
      <c r="L194" s="367" t="s">
        <v>56</v>
      </c>
      <c r="M194" s="367">
        <v>49</v>
      </c>
      <c r="N194" s="367">
        <f t="shared" si="39"/>
        <v>49</v>
      </c>
      <c r="O194" s="293" t="s">
        <v>2083</v>
      </c>
      <c r="P194" s="1001">
        <v>114</v>
      </c>
      <c r="Q194" s="44"/>
    </row>
    <row r="195" spans="1:19" ht="18" hidden="1" customHeight="1">
      <c r="A195" s="1508" t="s">
        <v>1187</v>
      </c>
      <c r="B195" s="1508"/>
      <c r="C195" s="191"/>
      <c r="D195" s="191"/>
      <c r="E195" s="191"/>
      <c r="F195" s="138"/>
      <c r="G195" s="138"/>
      <c r="H195" s="138"/>
      <c r="I195" s="138"/>
      <c r="J195" s="138"/>
      <c r="K195" s="138"/>
      <c r="L195" s="138"/>
      <c r="M195" s="138"/>
      <c r="N195" s="138"/>
      <c r="O195" s="1509" t="s">
        <v>1300</v>
      </c>
      <c r="P195" s="1509"/>
    </row>
    <row r="196" spans="1:19" ht="18" hidden="1" customHeight="1">
      <c r="A196" s="1520"/>
      <c r="B196" s="1520"/>
      <c r="J196" s="168"/>
      <c r="K196" s="168"/>
      <c r="L196" s="1509" t="s">
        <v>1299</v>
      </c>
      <c r="M196" s="1509"/>
      <c r="N196" s="1509"/>
      <c r="O196" s="1509"/>
      <c r="P196" s="1509"/>
    </row>
    <row r="197" spans="1:19" ht="18" hidden="1" customHeight="1">
      <c r="A197" s="1438" t="s">
        <v>621</v>
      </c>
      <c r="B197" s="1468" t="s">
        <v>1221</v>
      </c>
      <c r="C197" s="1320" t="s">
        <v>1307</v>
      </c>
      <c r="D197" s="1470"/>
      <c r="E197" s="1449"/>
      <c r="F197" s="1320" t="s">
        <v>1219</v>
      </c>
      <c r="G197" s="1470"/>
      <c r="H197" s="1449"/>
      <c r="I197" s="1320" t="s">
        <v>1218</v>
      </c>
      <c r="J197" s="1470"/>
      <c r="K197" s="1449"/>
      <c r="L197" s="1320" t="s">
        <v>79</v>
      </c>
      <c r="M197" s="1470"/>
      <c r="N197" s="1449"/>
      <c r="O197" s="1438" t="s">
        <v>1975</v>
      </c>
      <c r="P197" s="1471" t="s">
        <v>727</v>
      </c>
    </row>
    <row r="198" spans="1:19" ht="18" hidden="1" customHeight="1">
      <c r="A198" s="1439"/>
      <c r="B198" s="1468"/>
      <c r="C198" s="1280"/>
      <c r="D198" s="1474"/>
      <c r="E198" s="1475"/>
      <c r="F198" s="1280"/>
      <c r="G198" s="1474"/>
      <c r="H198" s="1475"/>
      <c r="I198" s="1280"/>
      <c r="J198" s="1474"/>
      <c r="K198" s="1475"/>
      <c r="L198" s="1280"/>
      <c r="M198" s="1474"/>
      <c r="N198" s="1475"/>
      <c r="O198" s="1439"/>
      <c r="P198" s="1472"/>
    </row>
    <row r="199" spans="1:19" ht="28" hidden="1" customHeight="1">
      <c r="A199" s="1439"/>
      <c r="B199" s="1468"/>
      <c r="C199" s="1281" t="s">
        <v>138</v>
      </c>
      <c r="D199" s="1476"/>
      <c r="E199" s="1450"/>
      <c r="F199" s="1281" t="s">
        <v>1186</v>
      </c>
      <c r="G199" s="1476"/>
      <c r="H199" s="1450"/>
      <c r="I199" s="1281" t="s">
        <v>587</v>
      </c>
      <c r="J199" s="1476"/>
      <c r="K199" s="1450"/>
      <c r="L199" s="1281" t="s">
        <v>137</v>
      </c>
      <c r="M199" s="1476"/>
      <c r="N199" s="1450"/>
      <c r="O199" s="1439"/>
      <c r="P199" s="1472"/>
    </row>
    <row r="200" spans="1:19" ht="18" hidden="1" customHeight="1">
      <c r="A200" s="1439"/>
      <c r="B200" s="1469"/>
      <c r="C200" s="1382" t="s">
        <v>583</v>
      </c>
      <c r="D200" s="1470" t="s">
        <v>581</v>
      </c>
      <c r="E200" s="1382" t="s">
        <v>489</v>
      </c>
      <c r="F200" s="1382" t="s">
        <v>583</v>
      </c>
      <c r="G200" s="1470" t="s">
        <v>581</v>
      </c>
      <c r="H200" s="1382" t="s">
        <v>489</v>
      </c>
      <c r="I200" s="1382" t="s">
        <v>583</v>
      </c>
      <c r="J200" s="1470" t="s">
        <v>581</v>
      </c>
      <c r="K200" s="1382" t="s">
        <v>489</v>
      </c>
      <c r="L200" s="1382" t="s">
        <v>583</v>
      </c>
      <c r="M200" s="1470" t="s">
        <v>581</v>
      </c>
      <c r="N200" s="1382" t="s">
        <v>489</v>
      </c>
      <c r="O200" s="1439"/>
      <c r="P200" s="1472"/>
    </row>
    <row r="201" spans="1:19" ht="18" hidden="1" customHeight="1">
      <c r="A201" s="1439"/>
      <c r="B201" s="1469"/>
      <c r="C201" s="1384"/>
      <c r="D201" s="1476"/>
      <c r="E201" s="1384"/>
      <c r="F201" s="1384"/>
      <c r="G201" s="1476"/>
      <c r="H201" s="1384"/>
      <c r="I201" s="1384"/>
      <c r="J201" s="1476"/>
      <c r="K201" s="1384"/>
      <c r="L201" s="1384"/>
      <c r="M201" s="1476"/>
      <c r="N201" s="1384"/>
      <c r="O201" s="1439"/>
      <c r="P201" s="1472"/>
    </row>
    <row r="202" spans="1:19" ht="18.75" hidden="1" customHeight="1">
      <c r="A202" s="1462"/>
      <c r="B202" s="1469"/>
      <c r="C202" s="1206" t="s">
        <v>133</v>
      </c>
      <c r="D202" s="873" t="s">
        <v>134</v>
      </c>
      <c r="E202" s="1210" t="s">
        <v>100</v>
      </c>
      <c r="F202" s="1206" t="s">
        <v>133</v>
      </c>
      <c r="G202" s="873" t="s">
        <v>134</v>
      </c>
      <c r="H202" s="1210" t="s">
        <v>100</v>
      </c>
      <c r="I202" s="1206" t="s">
        <v>133</v>
      </c>
      <c r="J202" s="873" t="s">
        <v>134</v>
      </c>
      <c r="K202" s="1210" t="s">
        <v>100</v>
      </c>
      <c r="L202" s="1206" t="s">
        <v>133</v>
      </c>
      <c r="M202" s="873" t="s">
        <v>134</v>
      </c>
      <c r="N202" s="1210" t="s">
        <v>100</v>
      </c>
      <c r="O202" s="1462"/>
      <c r="P202" s="1473"/>
    </row>
    <row r="203" spans="1:19" ht="30" customHeight="1">
      <c r="A203" s="797"/>
      <c r="B203" s="1005" t="s">
        <v>123</v>
      </c>
      <c r="C203" s="713"/>
      <c r="D203" s="134"/>
      <c r="E203" s="135"/>
      <c r="F203" s="713"/>
      <c r="G203" s="714"/>
      <c r="H203" s="141"/>
      <c r="I203" s="713"/>
      <c r="J203" s="1037"/>
      <c r="K203" s="141"/>
      <c r="L203" s="714"/>
      <c r="M203" s="714"/>
      <c r="N203" s="714"/>
      <c r="O203" s="743" t="s">
        <v>42</v>
      </c>
      <c r="P203" s="931"/>
    </row>
    <row r="204" spans="1:19" s="676" customFormat="1" ht="30" customHeight="1">
      <c r="A204" s="192">
        <v>115</v>
      </c>
      <c r="B204" s="240" t="s">
        <v>1108</v>
      </c>
      <c r="C204" s="137">
        <v>0</v>
      </c>
      <c r="D204" s="139" t="s">
        <v>56</v>
      </c>
      <c r="E204" s="140" t="s">
        <v>56</v>
      </c>
      <c r="F204" s="137">
        <v>0</v>
      </c>
      <c r="G204" s="138">
        <v>14</v>
      </c>
      <c r="H204" s="142">
        <f>G204+F204</f>
        <v>14</v>
      </c>
      <c r="I204" s="137">
        <v>0</v>
      </c>
      <c r="J204" s="138">
        <v>23</v>
      </c>
      <c r="K204" s="142">
        <f>J204+I204</f>
        <v>23</v>
      </c>
      <c r="L204" s="138" t="s">
        <v>56</v>
      </c>
      <c r="M204" s="138">
        <v>67</v>
      </c>
      <c r="N204" s="138">
        <f>M204</f>
        <v>67</v>
      </c>
      <c r="O204" s="238" t="s">
        <v>2084</v>
      </c>
      <c r="P204" s="932">
        <v>115</v>
      </c>
      <c r="Q204" s="705"/>
      <c r="R204"/>
      <c r="S204"/>
    </row>
    <row r="205" spans="1:19" ht="30" customHeight="1">
      <c r="A205" s="797">
        <v>116</v>
      </c>
      <c r="B205" s="814" t="s">
        <v>1109</v>
      </c>
      <c r="C205" s="713">
        <v>0</v>
      </c>
      <c r="D205" s="134">
        <v>3</v>
      </c>
      <c r="E205" s="135">
        <f>D205+C205</f>
        <v>3</v>
      </c>
      <c r="F205" s="713">
        <v>0</v>
      </c>
      <c r="G205" s="714">
        <v>20</v>
      </c>
      <c r="H205" s="141">
        <f>G205+F205</f>
        <v>20</v>
      </c>
      <c r="I205" s="713">
        <v>0</v>
      </c>
      <c r="J205" s="714">
        <v>65</v>
      </c>
      <c r="K205" s="141">
        <f>J205+I205</f>
        <v>65</v>
      </c>
      <c r="L205" s="713" t="s">
        <v>56</v>
      </c>
      <c r="M205" s="714">
        <v>120</v>
      </c>
      <c r="N205" s="141">
        <f t="shared" ref="N205:N206" si="40">M205</f>
        <v>120</v>
      </c>
      <c r="O205" s="643" t="s">
        <v>2085</v>
      </c>
      <c r="P205" s="931">
        <v>116</v>
      </c>
      <c r="Q205" s="44"/>
    </row>
    <row r="206" spans="1:19" s="676" customFormat="1" ht="30" customHeight="1">
      <c r="A206" s="192">
        <v>117</v>
      </c>
      <c r="B206" s="315" t="s">
        <v>1110</v>
      </c>
      <c r="C206" s="137">
        <v>0</v>
      </c>
      <c r="D206" s="139">
        <v>5</v>
      </c>
      <c r="E206" s="140">
        <f>D206+C206</f>
        <v>5</v>
      </c>
      <c r="F206" s="137">
        <v>0</v>
      </c>
      <c r="G206" s="138">
        <v>12</v>
      </c>
      <c r="H206" s="142">
        <f>G206+F206</f>
        <v>12</v>
      </c>
      <c r="I206" s="137">
        <v>0</v>
      </c>
      <c r="J206" s="138" t="s">
        <v>56</v>
      </c>
      <c r="K206" s="142" t="s">
        <v>56</v>
      </c>
      <c r="L206" s="138" t="s">
        <v>56</v>
      </c>
      <c r="M206" s="138">
        <v>138</v>
      </c>
      <c r="N206" s="138">
        <f t="shared" si="40"/>
        <v>138</v>
      </c>
      <c r="O206" s="238" t="s">
        <v>2086</v>
      </c>
      <c r="P206" s="932">
        <v>117</v>
      </c>
      <c r="Q206" s="705"/>
      <c r="R206"/>
      <c r="S206"/>
    </row>
    <row r="207" spans="1:19" ht="30" customHeight="1">
      <c r="A207" s="797"/>
      <c r="B207" s="1005" t="s">
        <v>1111</v>
      </c>
      <c r="C207" s="713"/>
      <c r="D207" s="134"/>
      <c r="E207" s="135"/>
      <c r="F207" s="713"/>
      <c r="G207" s="714"/>
      <c r="H207" s="141"/>
      <c r="I207" s="713"/>
      <c r="J207" s="1037"/>
      <c r="K207" s="141"/>
      <c r="L207" s="714"/>
      <c r="M207" s="714"/>
      <c r="N207" s="714"/>
      <c r="O207" s="743" t="s">
        <v>946</v>
      </c>
      <c r="P207" s="931"/>
      <c r="Q207" s="44"/>
    </row>
    <row r="208" spans="1:19" ht="30" customHeight="1">
      <c r="A208" s="192">
        <v>118</v>
      </c>
      <c r="B208" s="315" t="s">
        <v>1112</v>
      </c>
      <c r="C208" s="137">
        <v>0</v>
      </c>
      <c r="D208" s="139">
        <v>2</v>
      </c>
      <c r="E208" s="140">
        <f>D208+C208</f>
        <v>2</v>
      </c>
      <c r="F208" s="137">
        <v>0</v>
      </c>
      <c r="G208" s="138" t="s">
        <v>56</v>
      </c>
      <c r="H208" s="142" t="s">
        <v>56</v>
      </c>
      <c r="I208" s="137">
        <v>0</v>
      </c>
      <c r="J208" s="138">
        <v>15</v>
      </c>
      <c r="K208" s="142">
        <f>J208+I208</f>
        <v>15</v>
      </c>
      <c r="L208" s="138"/>
      <c r="M208" s="138">
        <v>15</v>
      </c>
      <c r="N208" s="138">
        <f>M208+L208</f>
        <v>15</v>
      </c>
      <c r="O208" s="238" t="s">
        <v>2087</v>
      </c>
      <c r="P208" s="932">
        <v>118</v>
      </c>
      <c r="Q208" s="44"/>
    </row>
    <row r="209" spans="1:19" s="676" customFormat="1" ht="30" customHeight="1">
      <c r="A209" s="797">
        <v>119</v>
      </c>
      <c r="B209" s="814" t="s">
        <v>1113</v>
      </c>
      <c r="C209" s="713">
        <v>0</v>
      </c>
      <c r="D209" s="134">
        <v>3</v>
      </c>
      <c r="E209" s="135">
        <f>D209+C209</f>
        <v>3</v>
      </c>
      <c r="F209" s="713">
        <v>0</v>
      </c>
      <c r="G209" s="714">
        <v>12</v>
      </c>
      <c r="H209" s="141">
        <f>G209+F209</f>
        <v>12</v>
      </c>
      <c r="I209" s="713">
        <v>0</v>
      </c>
      <c r="J209" s="714">
        <v>32</v>
      </c>
      <c r="K209" s="141">
        <f>J209+I209</f>
        <v>32</v>
      </c>
      <c r="L209" s="713" t="s">
        <v>56</v>
      </c>
      <c r="M209" s="714">
        <v>54</v>
      </c>
      <c r="N209" s="714">
        <f t="shared" ref="N209:N211" si="41">M209</f>
        <v>54</v>
      </c>
      <c r="O209" s="643" t="s">
        <v>2088</v>
      </c>
      <c r="P209" s="927">
        <v>119</v>
      </c>
      <c r="Q209" s="44"/>
      <c r="R209"/>
      <c r="S209"/>
    </row>
    <row r="210" spans="1:19" s="676" customFormat="1" ht="30" customHeight="1">
      <c r="A210" s="192">
        <v>120</v>
      </c>
      <c r="B210" s="315" t="s">
        <v>1114</v>
      </c>
      <c r="C210" s="1010">
        <v>0</v>
      </c>
      <c r="D210" s="213">
        <v>3</v>
      </c>
      <c r="E210" s="295">
        <f>D210+C210</f>
        <v>3</v>
      </c>
      <c r="F210" s="1010">
        <v>0</v>
      </c>
      <c r="G210" s="213" t="s">
        <v>56</v>
      </c>
      <c r="H210" s="295" t="s">
        <v>56</v>
      </c>
      <c r="I210" s="1010">
        <v>0</v>
      </c>
      <c r="J210" s="213">
        <v>21</v>
      </c>
      <c r="K210" s="311">
        <f>J210+I210</f>
        <v>21</v>
      </c>
      <c r="L210" s="137" t="s">
        <v>56</v>
      </c>
      <c r="M210" s="138">
        <v>37</v>
      </c>
      <c r="N210" s="142">
        <f t="shared" si="41"/>
        <v>37</v>
      </c>
      <c r="O210" s="238" t="s">
        <v>2089</v>
      </c>
      <c r="P210" s="932">
        <v>120</v>
      </c>
      <c r="Q210" s="44"/>
      <c r="R210"/>
      <c r="S210"/>
    </row>
    <row r="211" spans="1:19" s="676" customFormat="1" ht="30" customHeight="1">
      <c r="A211" s="797">
        <v>121</v>
      </c>
      <c r="B211" s="814" t="s">
        <v>1115</v>
      </c>
      <c r="C211" s="713">
        <v>0</v>
      </c>
      <c r="D211" s="134" t="s">
        <v>56</v>
      </c>
      <c r="E211" s="135" t="s">
        <v>56</v>
      </c>
      <c r="F211" s="713">
        <v>0</v>
      </c>
      <c r="G211" s="714" t="s">
        <v>56</v>
      </c>
      <c r="H211" s="141" t="s">
        <v>56</v>
      </c>
      <c r="I211" s="713">
        <v>0</v>
      </c>
      <c r="J211" s="714">
        <v>10</v>
      </c>
      <c r="K211" s="141">
        <f>J211+I211</f>
        <v>10</v>
      </c>
      <c r="L211" s="713" t="s">
        <v>56</v>
      </c>
      <c r="M211" s="714">
        <v>10</v>
      </c>
      <c r="N211" s="141">
        <f t="shared" si="41"/>
        <v>10</v>
      </c>
      <c r="O211" s="644" t="s">
        <v>2090</v>
      </c>
      <c r="P211" s="927">
        <v>121</v>
      </c>
      <c r="Q211" s="44"/>
      <c r="R211"/>
      <c r="S211"/>
    </row>
    <row r="212" spans="1:19" s="676" customFormat="1" ht="30" customHeight="1">
      <c r="A212" s="192">
        <v>122</v>
      </c>
      <c r="B212" s="240" t="s">
        <v>1041</v>
      </c>
      <c r="C212" s="137">
        <v>0</v>
      </c>
      <c r="D212" s="139" t="s">
        <v>56</v>
      </c>
      <c r="E212" s="140" t="s">
        <v>56</v>
      </c>
      <c r="F212" s="137">
        <v>0</v>
      </c>
      <c r="G212" s="138" t="s">
        <v>56</v>
      </c>
      <c r="H212" s="142" t="s">
        <v>56</v>
      </c>
      <c r="I212" s="137">
        <v>4</v>
      </c>
      <c r="J212" s="138">
        <v>7</v>
      </c>
      <c r="K212" s="138">
        <f>J212+I212</f>
        <v>11</v>
      </c>
      <c r="L212" s="137">
        <v>10</v>
      </c>
      <c r="M212" s="138">
        <v>24</v>
      </c>
      <c r="N212" s="138">
        <f>M212+L212</f>
        <v>34</v>
      </c>
      <c r="O212" s="238" t="s">
        <v>2015</v>
      </c>
      <c r="P212" s="928">
        <v>122</v>
      </c>
      <c r="R212"/>
      <c r="S212"/>
    </row>
    <row r="213" spans="1:19" ht="30" customHeight="1">
      <c r="A213" s="797"/>
      <c r="B213" s="1005" t="s">
        <v>1116</v>
      </c>
      <c r="C213" s="713"/>
      <c r="D213" s="714"/>
      <c r="E213" s="135"/>
      <c r="F213" s="713"/>
      <c r="G213" s="714"/>
      <c r="H213" s="714"/>
      <c r="I213" s="713"/>
      <c r="J213" s="1037"/>
      <c r="K213" s="141"/>
      <c r="L213" s="713"/>
      <c r="M213" s="714"/>
      <c r="N213" s="141"/>
      <c r="O213" s="743" t="s">
        <v>45</v>
      </c>
      <c r="P213" s="927"/>
      <c r="Q213" s="44"/>
    </row>
    <row r="214" spans="1:19" s="676" customFormat="1" ht="30" customHeight="1">
      <c r="A214" s="192">
        <v>123</v>
      </c>
      <c r="B214" s="315" t="s">
        <v>1117</v>
      </c>
      <c r="C214" s="137">
        <v>0</v>
      </c>
      <c r="D214" s="139" t="s">
        <v>56</v>
      </c>
      <c r="E214" s="139" t="s">
        <v>2155</v>
      </c>
      <c r="F214" s="137">
        <v>0</v>
      </c>
      <c r="G214" s="138">
        <v>10</v>
      </c>
      <c r="H214" s="138">
        <f t="shared" ref="H214:H219" si="42">G214+F214</f>
        <v>10</v>
      </c>
      <c r="I214" s="137">
        <v>0</v>
      </c>
      <c r="J214" s="138">
        <v>58</v>
      </c>
      <c r="K214" s="138">
        <f t="shared" ref="K214:K220" si="43">J214+I214</f>
        <v>58</v>
      </c>
      <c r="L214" s="137" t="s">
        <v>56</v>
      </c>
      <c r="M214" s="138">
        <v>91</v>
      </c>
      <c r="N214" s="138">
        <f t="shared" ref="N214:N219" si="44">M214</f>
        <v>91</v>
      </c>
      <c r="O214" s="316" t="s">
        <v>2091</v>
      </c>
      <c r="P214" s="928">
        <v>123</v>
      </c>
      <c r="Q214" s="705"/>
      <c r="R214"/>
      <c r="S214"/>
    </row>
    <row r="215" spans="1:19" s="676" customFormat="1" ht="30" customHeight="1">
      <c r="A215" s="797">
        <v>124</v>
      </c>
      <c r="B215" s="814" t="s">
        <v>1118</v>
      </c>
      <c r="C215" s="713">
        <v>0</v>
      </c>
      <c r="D215" s="714" t="s">
        <v>56</v>
      </c>
      <c r="E215" s="134" t="s">
        <v>43</v>
      </c>
      <c r="F215" s="713">
        <v>0</v>
      </c>
      <c r="G215" s="714">
        <v>39</v>
      </c>
      <c r="H215" s="714">
        <f t="shared" si="42"/>
        <v>39</v>
      </c>
      <c r="I215" s="713">
        <v>0</v>
      </c>
      <c r="J215" s="714">
        <v>48</v>
      </c>
      <c r="K215" s="714">
        <f t="shared" si="43"/>
        <v>48</v>
      </c>
      <c r="L215" s="713" t="s">
        <v>56</v>
      </c>
      <c r="M215" s="714">
        <v>151</v>
      </c>
      <c r="N215" s="714">
        <f t="shared" si="44"/>
        <v>151</v>
      </c>
      <c r="O215" s="644" t="s">
        <v>2092</v>
      </c>
      <c r="P215" s="927">
        <v>124</v>
      </c>
      <c r="Q215" s="705"/>
      <c r="R215"/>
      <c r="S215"/>
    </row>
    <row r="216" spans="1:19" ht="30" customHeight="1">
      <c r="A216" s="192">
        <v>125</v>
      </c>
      <c r="B216" s="315" t="s">
        <v>1119</v>
      </c>
      <c r="C216" s="137">
        <v>0</v>
      </c>
      <c r="D216" s="138">
        <v>2</v>
      </c>
      <c r="E216" s="139">
        <v>2</v>
      </c>
      <c r="F216" s="137">
        <v>0</v>
      </c>
      <c r="G216" s="138">
        <v>9</v>
      </c>
      <c r="H216" s="138">
        <f t="shared" si="42"/>
        <v>9</v>
      </c>
      <c r="I216" s="137">
        <v>0</v>
      </c>
      <c r="J216" s="138">
        <v>37</v>
      </c>
      <c r="K216" s="138">
        <f t="shared" si="43"/>
        <v>37</v>
      </c>
      <c r="L216" s="137" t="s">
        <v>56</v>
      </c>
      <c r="M216" s="138">
        <v>67</v>
      </c>
      <c r="N216" s="138">
        <f t="shared" si="44"/>
        <v>67</v>
      </c>
      <c r="O216" s="316" t="s">
        <v>2093</v>
      </c>
      <c r="P216" s="928">
        <v>125</v>
      </c>
      <c r="Q216" s="44"/>
    </row>
    <row r="217" spans="1:19" s="676" customFormat="1" ht="30" customHeight="1">
      <c r="A217" s="797">
        <v>126</v>
      </c>
      <c r="B217" s="814" t="s">
        <v>1120</v>
      </c>
      <c r="C217" s="713">
        <v>0</v>
      </c>
      <c r="D217" s="134">
        <v>3</v>
      </c>
      <c r="E217" s="134">
        <v>3</v>
      </c>
      <c r="F217" s="713">
        <v>0</v>
      </c>
      <c r="G217" s="714">
        <v>13</v>
      </c>
      <c r="H217" s="714">
        <f t="shared" si="42"/>
        <v>13</v>
      </c>
      <c r="I217" s="713">
        <v>0</v>
      </c>
      <c r="J217" s="714" t="s">
        <v>56</v>
      </c>
      <c r="K217" s="714" t="s">
        <v>56</v>
      </c>
      <c r="L217" s="713" t="s">
        <v>56</v>
      </c>
      <c r="M217" s="714">
        <v>112</v>
      </c>
      <c r="N217" s="714">
        <f t="shared" si="44"/>
        <v>112</v>
      </c>
      <c r="O217" s="643" t="s">
        <v>2094</v>
      </c>
      <c r="P217" s="927">
        <v>126</v>
      </c>
      <c r="Q217" s="705"/>
      <c r="R217"/>
      <c r="S217"/>
    </row>
    <row r="218" spans="1:19" ht="30" customHeight="1">
      <c r="A218" s="192">
        <v>127</v>
      </c>
      <c r="B218" s="315" t="s">
        <v>1121</v>
      </c>
      <c r="C218" s="137">
        <v>0</v>
      </c>
      <c r="D218" s="139" t="s">
        <v>56</v>
      </c>
      <c r="E218" s="139" t="s">
        <v>56</v>
      </c>
      <c r="F218" s="137">
        <v>0</v>
      </c>
      <c r="G218" s="138">
        <v>10</v>
      </c>
      <c r="H218" s="138">
        <f t="shared" si="42"/>
        <v>10</v>
      </c>
      <c r="I218" s="137">
        <v>0</v>
      </c>
      <c r="J218" s="138">
        <v>45</v>
      </c>
      <c r="K218" s="138">
        <f t="shared" si="43"/>
        <v>45</v>
      </c>
      <c r="L218" s="137" t="s">
        <v>56</v>
      </c>
      <c r="M218" s="138">
        <v>93</v>
      </c>
      <c r="N218" s="138">
        <f t="shared" si="44"/>
        <v>93</v>
      </c>
      <c r="O218" s="316" t="s">
        <v>2095</v>
      </c>
      <c r="P218" s="928">
        <v>127</v>
      </c>
      <c r="Q218" s="44"/>
    </row>
    <row r="219" spans="1:19" s="676" customFormat="1" ht="30" customHeight="1">
      <c r="A219" s="797">
        <v>128</v>
      </c>
      <c r="B219" s="814" t="s">
        <v>1122</v>
      </c>
      <c r="C219" s="713">
        <v>0</v>
      </c>
      <c r="D219" s="714" t="s">
        <v>56</v>
      </c>
      <c r="E219" s="134" t="s">
        <v>43</v>
      </c>
      <c r="F219" s="713">
        <v>0</v>
      </c>
      <c r="G219" s="714">
        <v>17</v>
      </c>
      <c r="H219" s="714">
        <f t="shared" si="42"/>
        <v>17</v>
      </c>
      <c r="I219" s="713">
        <v>0</v>
      </c>
      <c r="J219" s="714">
        <v>79</v>
      </c>
      <c r="K219" s="714">
        <f t="shared" si="43"/>
        <v>79</v>
      </c>
      <c r="L219" s="713" t="s">
        <v>56</v>
      </c>
      <c r="M219" s="714">
        <v>134</v>
      </c>
      <c r="N219" s="714">
        <f t="shared" si="44"/>
        <v>134</v>
      </c>
      <c r="O219" s="644" t="s">
        <v>2096</v>
      </c>
      <c r="P219" s="927">
        <v>128</v>
      </c>
      <c r="Q219" s="705"/>
      <c r="R219"/>
      <c r="S219"/>
    </row>
    <row r="220" spans="1:19" ht="30" customHeight="1">
      <c r="A220" s="586">
        <v>129</v>
      </c>
      <c r="B220" s="363" t="s">
        <v>1041</v>
      </c>
      <c r="C220" s="364">
        <v>0</v>
      </c>
      <c r="D220" s="365">
        <v>1</v>
      </c>
      <c r="E220" s="366">
        <f t="shared" ref="E220" si="45">D220+C220</f>
        <v>1</v>
      </c>
      <c r="F220" s="364">
        <v>0</v>
      </c>
      <c r="G220" s="367" t="s">
        <v>56</v>
      </c>
      <c r="H220" s="368" t="s">
        <v>56</v>
      </c>
      <c r="I220" s="364">
        <v>1</v>
      </c>
      <c r="J220" s="367">
        <v>11</v>
      </c>
      <c r="K220" s="368">
        <f t="shared" si="43"/>
        <v>12</v>
      </c>
      <c r="L220" s="364">
        <v>1</v>
      </c>
      <c r="M220" s="367">
        <v>29</v>
      </c>
      <c r="N220" s="368">
        <f t="shared" ref="N220" si="46">M220+L220</f>
        <v>30</v>
      </c>
      <c r="O220" s="293" t="s">
        <v>2015</v>
      </c>
      <c r="P220" s="929">
        <v>129</v>
      </c>
      <c r="Q220" s="44"/>
    </row>
    <row r="221" spans="1:19" ht="20" hidden="1" customHeight="1">
      <c r="A221" s="1508" t="s">
        <v>1187</v>
      </c>
      <c r="B221" s="1508"/>
      <c r="C221" s="191"/>
      <c r="D221" s="191"/>
      <c r="E221" s="191"/>
      <c r="F221" s="138"/>
      <c r="G221" s="138"/>
      <c r="H221" s="138"/>
      <c r="I221" s="138"/>
      <c r="J221" s="138"/>
      <c r="K221" s="138"/>
      <c r="L221" s="138"/>
      <c r="M221" s="138"/>
      <c r="N221" s="138"/>
      <c r="O221" s="1509" t="s">
        <v>1300</v>
      </c>
      <c r="P221" s="1509"/>
    </row>
    <row r="222" spans="1:19" ht="20" hidden="1" customHeight="1">
      <c r="A222" s="1520"/>
      <c r="B222" s="1520"/>
      <c r="J222" s="168"/>
      <c r="K222" s="168"/>
      <c r="L222" s="1509" t="s">
        <v>1299</v>
      </c>
      <c r="M222" s="1509"/>
      <c r="N222" s="1509"/>
      <c r="O222" s="1509"/>
      <c r="P222" s="1509"/>
    </row>
    <row r="223" spans="1:19" s="676" customFormat="1" ht="20" hidden="1" customHeight="1">
      <c r="A223" s="1438" t="s">
        <v>621</v>
      </c>
      <c r="B223" s="1468" t="s">
        <v>1221</v>
      </c>
      <c r="C223" s="1320" t="s">
        <v>1307</v>
      </c>
      <c r="D223" s="1470"/>
      <c r="E223" s="1449"/>
      <c r="F223" s="1320" t="s">
        <v>1219</v>
      </c>
      <c r="G223" s="1470"/>
      <c r="H223" s="1449"/>
      <c r="I223" s="1320" t="s">
        <v>1218</v>
      </c>
      <c r="J223" s="1470"/>
      <c r="K223" s="1449"/>
      <c r="L223" s="1320" t="s">
        <v>79</v>
      </c>
      <c r="M223" s="1470"/>
      <c r="N223" s="1449"/>
      <c r="O223" s="1438" t="s">
        <v>1975</v>
      </c>
      <c r="P223" s="1471" t="s">
        <v>727</v>
      </c>
      <c r="R223"/>
      <c r="S223"/>
    </row>
    <row r="224" spans="1:19" ht="20" hidden="1" customHeight="1">
      <c r="A224" s="1439"/>
      <c r="B224" s="1468"/>
      <c r="C224" s="1280"/>
      <c r="D224" s="1474"/>
      <c r="E224" s="1475"/>
      <c r="F224" s="1280"/>
      <c r="G224" s="1474"/>
      <c r="H224" s="1475"/>
      <c r="I224" s="1280"/>
      <c r="J224" s="1474"/>
      <c r="K224" s="1475"/>
      <c r="L224" s="1280"/>
      <c r="M224" s="1474"/>
      <c r="N224" s="1475"/>
      <c r="O224" s="1439"/>
      <c r="P224" s="1472"/>
    </row>
    <row r="225" spans="1:20" s="676" customFormat="1" ht="20" hidden="1" customHeight="1">
      <c r="A225" s="1439"/>
      <c r="B225" s="1468"/>
      <c r="C225" s="1280" t="s">
        <v>138</v>
      </c>
      <c r="D225" s="1474"/>
      <c r="E225" s="1475"/>
      <c r="F225" s="1280" t="s">
        <v>1186</v>
      </c>
      <c r="G225" s="1474"/>
      <c r="H225" s="1475"/>
      <c r="I225" s="1280" t="s">
        <v>587</v>
      </c>
      <c r="J225" s="1474"/>
      <c r="K225" s="1475"/>
      <c r="L225" s="1280" t="s">
        <v>137</v>
      </c>
      <c r="M225" s="1474"/>
      <c r="N225" s="1475"/>
      <c r="O225" s="1439"/>
      <c r="P225" s="1472"/>
      <c r="R225"/>
      <c r="S225"/>
      <c r="T225" s="32"/>
    </row>
    <row r="226" spans="1:20" s="676" customFormat="1" ht="20" hidden="1" customHeight="1">
      <c r="A226" s="1439"/>
      <c r="B226" s="1469"/>
      <c r="C226" s="1280" t="s">
        <v>583</v>
      </c>
      <c r="D226" s="1474" t="s">
        <v>581</v>
      </c>
      <c r="E226" s="1475" t="s">
        <v>489</v>
      </c>
      <c r="F226" s="1280" t="s">
        <v>583</v>
      </c>
      <c r="G226" s="1474" t="s">
        <v>589</v>
      </c>
      <c r="H226" s="1475" t="s">
        <v>489</v>
      </c>
      <c r="I226" s="1280" t="s">
        <v>583</v>
      </c>
      <c r="J226" s="1474" t="s">
        <v>589</v>
      </c>
      <c r="K226" s="1475" t="s">
        <v>489</v>
      </c>
      <c r="L226" s="1280" t="s">
        <v>583</v>
      </c>
      <c r="M226" s="1474" t="s">
        <v>588</v>
      </c>
      <c r="N226" s="1475" t="s">
        <v>489</v>
      </c>
      <c r="O226" s="1439"/>
      <c r="P226" s="1472"/>
      <c r="R226"/>
      <c r="S226"/>
      <c r="T226" s="32"/>
    </row>
    <row r="227" spans="1:20" ht="20" hidden="1" customHeight="1">
      <c r="A227" s="1439"/>
      <c r="B227" s="1469"/>
      <c r="C227" s="1280"/>
      <c r="D227" s="1474"/>
      <c r="E227" s="1475"/>
      <c r="F227" s="1280"/>
      <c r="G227" s="1474"/>
      <c r="H227" s="1475"/>
      <c r="I227" s="1280"/>
      <c r="J227" s="1474"/>
      <c r="K227" s="1475"/>
      <c r="L227" s="1280"/>
      <c r="M227" s="1474"/>
      <c r="N227" s="1475"/>
      <c r="O227" s="1439"/>
      <c r="P227" s="1472"/>
    </row>
    <row r="228" spans="1:20" s="676" customFormat="1" ht="20" hidden="1" customHeight="1">
      <c r="A228" s="1462"/>
      <c r="B228" s="1469"/>
      <c r="C228" s="872" t="s">
        <v>133</v>
      </c>
      <c r="D228" s="873" t="s">
        <v>134</v>
      </c>
      <c r="E228" s="960" t="s">
        <v>100</v>
      </c>
      <c r="F228" s="872" t="s">
        <v>133</v>
      </c>
      <c r="G228" s="873" t="s">
        <v>134</v>
      </c>
      <c r="H228" s="960" t="s">
        <v>100</v>
      </c>
      <c r="I228" s="872" t="s">
        <v>133</v>
      </c>
      <c r="J228" s="873" t="s">
        <v>134</v>
      </c>
      <c r="K228" s="960" t="s">
        <v>100</v>
      </c>
      <c r="L228" s="872" t="s">
        <v>133</v>
      </c>
      <c r="M228" s="873" t="s">
        <v>134</v>
      </c>
      <c r="N228" s="893" t="s">
        <v>100</v>
      </c>
      <c r="O228" s="1462"/>
      <c r="P228" s="1473"/>
      <c r="R228"/>
      <c r="S228"/>
      <c r="T228" s="32"/>
    </row>
    <row r="229" spans="1:20" ht="34" customHeight="1">
      <c r="A229" s="797"/>
      <c r="B229" s="1005" t="s">
        <v>1123</v>
      </c>
      <c r="C229" s="713"/>
      <c r="D229" s="134"/>
      <c r="E229" s="134"/>
      <c r="F229" s="713"/>
      <c r="G229" s="714"/>
      <c r="H229" s="714"/>
      <c r="I229" s="713"/>
      <c r="J229" s="1037"/>
      <c r="K229" s="714"/>
      <c r="L229" s="713"/>
      <c r="M229" s="714"/>
      <c r="N229" s="714"/>
      <c r="O229" s="1012" t="s">
        <v>46</v>
      </c>
      <c r="P229" s="927"/>
    </row>
    <row r="230" spans="1:20" ht="34" customHeight="1">
      <c r="A230" s="192">
        <v>130</v>
      </c>
      <c r="B230" s="315" t="s">
        <v>1124</v>
      </c>
      <c r="C230" s="137">
        <v>1</v>
      </c>
      <c r="D230" s="139">
        <v>2</v>
      </c>
      <c r="E230" s="139">
        <f>D230+C230</f>
        <v>3</v>
      </c>
      <c r="F230" s="137">
        <v>0</v>
      </c>
      <c r="G230" s="138">
        <v>36</v>
      </c>
      <c r="H230" s="138">
        <f>G230+F230</f>
        <v>36</v>
      </c>
      <c r="I230" s="137">
        <v>0</v>
      </c>
      <c r="J230" s="138">
        <v>35</v>
      </c>
      <c r="K230" s="138">
        <f>J230+I230</f>
        <v>35</v>
      </c>
      <c r="L230" s="137" t="s">
        <v>56</v>
      </c>
      <c r="M230" s="138">
        <v>71</v>
      </c>
      <c r="N230" s="138">
        <f t="shared" ref="N230:N234" si="47">M230</f>
        <v>71</v>
      </c>
      <c r="O230" s="316" t="s">
        <v>2097</v>
      </c>
      <c r="P230" s="928">
        <v>130</v>
      </c>
      <c r="Q230" s="44"/>
    </row>
    <row r="231" spans="1:20" ht="34" customHeight="1">
      <c r="A231" s="797">
        <v>131</v>
      </c>
      <c r="B231" s="814" t="s">
        <v>1125</v>
      </c>
      <c r="C231" s="713">
        <v>0</v>
      </c>
      <c r="D231" s="714">
        <v>3</v>
      </c>
      <c r="E231" s="134">
        <f>D231+C231</f>
        <v>3</v>
      </c>
      <c r="F231" s="713">
        <v>0</v>
      </c>
      <c r="G231" s="714">
        <v>12</v>
      </c>
      <c r="H231" s="714">
        <f>G231+F231</f>
        <v>12</v>
      </c>
      <c r="I231" s="713">
        <v>0</v>
      </c>
      <c r="J231" s="714">
        <v>23</v>
      </c>
      <c r="K231" s="714">
        <f>J231+I231</f>
        <v>23</v>
      </c>
      <c r="L231" s="713" t="s">
        <v>56</v>
      </c>
      <c r="M231" s="714">
        <v>48</v>
      </c>
      <c r="N231" s="714">
        <f t="shared" si="47"/>
        <v>48</v>
      </c>
      <c r="O231" s="644" t="s">
        <v>2098</v>
      </c>
      <c r="P231" s="927">
        <v>131</v>
      </c>
      <c r="Q231" s="45"/>
    </row>
    <row r="232" spans="1:20" ht="34" customHeight="1">
      <c r="A232" s="192">
        <v>132</v>
      </c>
      <c r="B232" s="315" t="s">
        <v>1126</v>
      </c>
      <c r="C232" s="137">
        <v>0</v>
      </c>
      <c r="D232" s="139">
        <v>6</v>
      </c>
      <c r="E232" s="139">
        <f>D232+C232</f>
        <v>6</v>
      </c>
      <c r="F232" s="137">
        <v>0</v>
      </c>
      <c r="G232" s="138">
        <v>13</v>
      </c>
      <c r="H232" s="138">
        <f>G232+F232</f>
        <v>13</v>
      </c>
      <c r="I232" s="137">
        <v>0</v>
      </c>
      <c r="J232" s="138">
        <v>43</v>
      </c>
      <c r="K232" s="138">
        <f>J232+I232</f>
        <v>43</v>
      </c>
      <c r="L232" s="137" t="s">
        <v>56</v>
      </c>
      <c r="M232" s="138">
        <v>85</v>
      </c>
      <c r="N232" s="138">
        <f t="shared" si="47"/>
        <v>85</v>
      </c>
      <c r="O232" s="316" t="s">
        <v>2099</v>
      </c>
      <c r="P232" s="928">
        <v>132</v>
      </c>
      <c r="Q232" s="44"/>
    </row>
    <row r="233" spans="1:20" ht="34" customHeight="1">
      <c r="A233" s="797">
        <v>133</v>
      </c>
      <c r="B233" s="814" t="s">
        <v>1127</v>
      </c>
      <c r="C233" s="713">
        <v>0</v>
      </c>
      <c r="D233" s="714">
        <v>3</v>
      </c>
      <c r="E233" s="134">
        <f>D233+C233</f>
        <v>3</v>
      </c>
      <c r="F233" s="713">
        <v>0</v>
      </c>
      <c r="G233" s="714" t="s">
        <v>56</v>
      </c>
      <c r="H233" s="714" t="s">
        <v>56</v>
      </c>
      <c r="I233" s="713">
        <v>0</v>
      </c>
      <c r="J233" s="714">
        <v>21</v>
      </c>
      <c r="K233" s="714">
        <f>J233+I233</f>
        <v>21</v>
      </c>
      <c r="L233" s="713" t="s">
        <v>56</v>
      </c>
      <c r="M233" s="714">
        <v>40</v>
      </c>
      <c r="N233" s="714">
        <f t="shared" si="47"/>
        <v>40</v>
      </c>
      <c r="O233" s="644" t="s">
        <v>2100</v>
      </c>
      <c r="P233" s="927">
        <v>133</v>
      </c>
      <c r="Q233" s="45"/>
    </row>
    <row r="234" spans="1:20" ht="34" customHeight="1">
      <c r="A234" s="192">
        <v>134</v>
      </c>
      <c r="B234" s="315" t="s">
        <v>1128</v>
      </c>
      <c r="C234" s="137">
        <v>0</v>
      </c>
      <c r="D234" s="138" t="s">
        <v>56</v>
      </c>
      <c r="E234" s="139" t="s">
        <v>56</v>
      </c>
      <c r="F234" s="137">
        <v>0</v>
      </c>
      <c r="G234" s="138" t="s">
        <v>56</v>
      </c>
      <c r="H234" s="138" t="s">
        <v>56</v>
      </c>
      <c r="I234" s="137">
        <v>0</v>
      </c>
      <c r="J234" s="138">
        <v>37</v>
      </c>
      <c r="K234" s="138">
        <f>J234+I234</f>
        <v>37</v>
      </c>
      <c r="L234" s="137" t="s">
        <v>56</v>
      </c>
      <c r="M234" s="138">
        <v>37</v>
      </c>
      <c r="N234" s="138">
        <f t="shared" si="47"/>
        <v>37</v>
      </c>
      <c r="O234" s="316" t="s">
        <v>2101</v>
      </c>
      <c r="P234" s="928">
        <v>134</v>
      </c>
      <c r="Q234" s="44"/>
    </row>
    <row r="235" spans="1:20" ht="34" customHeight="1">
      <c r="A235" s="797"/>
      <c r="B235" s="1005" t="s">
        <v>156</v>
      </c>
      <c r="C235" s="713"/>
      <c r="D235" s="714"/>
      <c r="E235" s="134"/>
      <c r="F235" s="713"/>
      <c r="G235" s="714"/>
      <c r="H235" s="714"/>
      <c r="I235" s="713"/>
      <c r="J235" s="1037"/>
      <c r="K235" s="714"/>
      <c r="L235" s="713"/>
      <c r="M235" s="714"/>
      <c r="N235" s="714"/>
      <c r="O235" s="1012" t="s">
        <v>47</v>
      </c>
      <c r="P235" s="927"/>
      <c r="Q235" s="45"/>
    </row>
    <row r="236" spans="1:20" ht="34" customHeight="1">
      <c r="A236" s="192">
        <v>135</v>
      </c>
      <c r="B236" s="315" t="s">
        <v>1129</v>
      </c>
      <c r="C236" s="137">
        <v>0</v>
      </c>
      <c r="D236" s="139">
        <v>2</v>
      </c>
      <c r="E236" s="139">
        <f>D236+C236</f>
        <v>2</v>
      </c>
      <c r="F236" s="137">
        <v>0</v>
      </c>
      <c r="G236" s="138">
        <v>11</v>
      </c>
      <c r="H236" s="138">
        <f>G236+F236</f>
        <v>11</v>
      </c>
      <c r="I236" s="137">
        <v>0</v>
      </c>
      <c r="J236" s="138">
        <v>18</v>
      </c>
      <c r="K236" s="138">
        <f>J236+I236</f>
        <v>18</v>
      </c>
      <c r="L236" s="137" t="s">
        <v>56</v>
      </c>
      <c r="M236" s="138">
        <v>54</v>
      </c>
      <c r="N236" s="138">
        <f t="shared" ref="N236:N244" si="48">M236</f>
        <v>54</v>
      </c>
      <c r="O236" s="316" t="s">
        <v>2102</v>
      </c>
      <c r="P236" s="928">
        <v>135</v>
      </c>
      <c r="Q236" s="44"/>
      <c r="T236" s="16"/>
    </row>
    <row r="237" spans="1:20" s="676" customFormat="1" ht="34" customHeight="1">
      <c r="A237" s="797">
        <v>136</v>
      </c>
      <c r="B237" s="239" t="s">
        <v>1130</v>
      </c>
      <c r="C237" s="713">
        <v>1</v>
      </c>
      <c r="D237" s="714">
        <v>1</v>
      </c>
      <c r="E237" s="135">
        <f>D237+C237</f>
        <v>2</v>
      </c>
      <c r="F237" s="713">
        <v>0</v>
      </c>
      <c r="G237" s="714" t="s">
        <v>56</v>
      </c>
      <c r="H237" s="141" t="s">
        <v>56</v>
      </c>
      <c r="I237" s="713">
        <v>0</v>
      </c>
      <c r="J237" s="714">
        <v>40</v>
      </c>
      <c r="K237" s="714">
        <f>J237+I237</f>
        <v>40</v>
      </c>
      <c r="L237" s="713" t="s">
        <v>56</v>
      </c>
      <c r="M237" s="714">
        <v>78</v>
      </c>
      <c r="N237" s="141">
        <f t="shared" si="48"/>
        <v>78</v>
      </c>
      <c r="O237" s="643" t="s">
        <v>2103</v>
      </c>
      <c r="P237" s="927">
        <v>136</v>
      </c>
      <c r="R237"/>
      <c r="S237"/>
      <c r="T237" s="32"/>
    </row>
    <row r="238" spans="1:20" s="676" customFormat="1" ht="34" customHeight="1">
      <c r="A238" s="192">
        <v>137</v>
      </c>
      <c r="B238" s="315" t="s">
        <v>1131</v>
      </c>
      <c r="C238" s="137">
        <v>0</v>
      </c>
      <c r="D238" s="138">
        <v>5</v>
      </c>
      <c r="E238" s="140">
        <f t="shared" ref="E238:E244" si="49">D238+C238</f>
        <v>5</v>
      </c>
      <c r="F238" s="137">
        <v>0</v>
      </c>
      <c r="G238" s="138" t="s">
        <v>56</v>
      </c>
      <c r="H238" s="138" t="s">
        <v>56</v>
      </c>
      <c r="I238" s="137">
        <v>0</v>
      </c>
      <c r="J238" s="138">
        <v>19</v>
      </c>
      <c r="K238" s="142">
        <f t="shared" ref="K238:K244" si="50">J238+I238</f>
        <v>19</v>
      </c>
      <c r="L238" s="137" t="s">
        <v>56</v>
      </c>
      <c r="M238" s="138">
        <v>36</v>
      </c>
      <c r="N238" s="138">
        <f t="shared" si="48"/>
        <v>36</v>
      </c>
      <c r="O238" s="316" t="s">
        <v>2104</v>
      </c>
      <c r="P238" s="928">
        <v>137</v>
      </c>
      <c r="Q238" s="705"/>
      <c r="R238"/>
      <c r="S238"/>
      <c r="T238" s="32"/>
    </row>
    <row r="239" spans="1:20" ht="34" customHeight="1">
      <c r="A239" s="797">
        <v>138</v>
      </c>
      <c r="B239" s="814" t="s">
        <v>1132</v>
      </c>
      <c r="C239" s="713">
        <v>0</v>
      </c>
      <c r="D239" s="134" t="s">
        <v>56</v>
      </c>
      <c r="E239" s="134" t="s">
        <v>56</v>
      </c>
      <c r="F239" s="713">
        <v>0</v>
      </c>
      <c r="G239" s="714" t="s">
        <v>56</v>
      </c>
      <c r="H239" s="714" t="s">
        <v>56</v>
      </c>
      <c r="I239" s="713">
        <v>0</v>
      </c>
      <c r="J239" s="714">
        <v>50</v>
      </c>
      <c r="K239" s="714">
        <f t="shared" si="50"/>
        <v>50</v>
      </c>
      <c r="L239" s="713" t="s">
        <v>56</v>
      </c>
      <c r="M239" s="714">
        <v>50</v>
      </c>
      <c r="N239" s="714">
        <f t="shared" si="48"/>
        <v>50</v>
      </c>
      <c r="O239" s="644" t="s">
        <v>2105</v>
      </c>
      <c r="P239" s="927">
        <v>138</v>
      </c>
      <c r="Q239" s="44"/>
      <c r="T239" s="16"/>
    </row>
    <row r="240" spans="1:20" s="676" customFormat="1" ht="34" customHeight="1">
      <c r="A240" s="192">
        <v>139</v>
      </c>
      <c r="B240" s="315" t="s">
        <v>1133</v>
      </c>
      <c r="C240" s="137">
        <v>0</v>
      </c>
      <c r="D240" s="138">
        <v>2</v>
      </c>
      <c r="E240" s="139">
        <f t="shared" si="49"/>
        <v>2</v>
      </c>
      <c r="F240" s="137">
        <v>0</v>
      </c>
      <c r="G240" s="138" t="s">
        <v>56</v>
      </c>
      <c r="H240" s="138" t="s">
        <v>56</v>
      </c>
      <c r="I240" s="137">
        <v>0</v>
      </c>
      <c r="J240" s="138">
        <v>48</v>
      </c>
      <c r="K240" s="138">
        <f t="shared" si="50"/>
        <v>48</v>
      </c>
      <c r="L240" s="137" t="s">
        <v>56</v>
      </c>
      <c r="M240" s="138">
        <v>95</v>
      </c>
      <c r="N240" s="138">
        <f t="shared" si="48"/>
        <v>95</v>
      </c>
      <c r="O240" s="316" t="s">
        <v>2106</v>
      </c>
      <c r="P240" s="928">
        <v>139</v>
      </c>
      <c r="Q240" s="705"/>
      <c r="R240"/>
      <c r="S240"/>
      <c r="T240" s="32"/>
    </row>
    <row r="241" spans="1:20" ht="34" customHeight="1">
      <c r="A241" s="797">
        <v>140</v>
      </c>
      <c r="B241" s="814" t="s">
        <v>1092</v>
      </c>
      <c r="C241" s="713">
        <v>0</v>
      </c>
      <c r="D241" s="134">
        <v>3</v>
      </c>
      <c r="E241" s="134">
        <f t="shared" si="49"/>
        <v>3</v>
      </c>
      <c r="F241" s="713">
        <v>0</v>
      </c>
      <c r="G241" s="714">
        <v>19</v>
      </c>
      <c r="H241" s="141">
        <f>G241+F241</f>
        <v>19</v>
      </c>
      <c r="I241" s="713">
        <v>0</v>
      </c>
      <c r="J241" s="714">
        <v>25</v>
      </c>
      <c r="K241" s="714">
        <f t="shared" si="50"/>
        <v>25</v>
      </c>
      <c r="L241" s="713" t="s">
        <v>56</v>
      </c>
      <c r="M241" s="714">
        <v>72</v>
      </c>
      <c r="N241" s="141">
        <f t="shared" si="48"/>
        <v>72</v>
      </c>
      <c r="O241" s="643" t="s">
        <v>2107</v>
      </c>
      <c r="P241" s="927">
        <v>140</v>
      </c>
      <c r="Q241" s="44"/>
      <c r="T241" s="16"/>
    </row>
    <row r="242" spans="1:20" s="676" customFormat="1" ht="34" customHeight="1">
      <c r="A242" s="396">
        <v>141</v>
      </c>
      <c r="B242" s="240" t="s">
        <v>1134</v>
      </c>
      <c r="C242" s="137">
        <v>0</v>
      </c>
      <c r="D242" s="138">
        <v>1</v>
      </c>
      <c r="E242" s="140">
        <f t="shared" si="49"/>
        <v>1</v>
      </c>
      <c r="F242" s="137">
        <v>0</v>
      </c>
      <c r="G242" s="138">
        <v>10</v>
      </c>
      <c r="H242" s="142">
        <f>G242+F242</f>
        <v>10</v>
      </c>
      <c r="I242" s="137">
        <v>0</v>
      </c>
      <c r="J242" s="138">
        <v>37</v>
      </c>
      <c r="K242" s="142">
        <f t="shared" si="50"/>
        <v>37</v>
      </c>
      <c r="L242" s="137" t="s">
        <v>56</v>
      </c>
      <c r="M242" s="138">
        <v>67</v>
      </c>
      <c r="N242" s="142">
        <f t="shared" si="48"/>
        <v>67</v>
      </c>
      <c r="O242" s="238" t="s">
        <v>2108</v>
      </c>
      <c r="P242" s="928">
        <v>141</v>
      </c>
      <c r="Q242" s="705"/>
      <c r="R242"/>
      <c r="S242"/>
      <c r="T242" s="32"/>
    </row>
    <row r="243" spans="1:20" s="676" customFormat="1" ht="34" customHeight="1">
      <c r="A243" s="325">
        <v>142</v>
      </c>
      <c r="B243" s="271" t="s">
        <v>1135</v>
      </c>
      <c r="C243" s="713">
        <v>0</v>
      </c>
      <c r="D243" s="134" t="s">
        <v>56</v>
      </c>
      <c r="E243" s="135" t="s">
        <v>56</v>
      </c>
      <c r="F243" s="714">
        <v>0</v>
      </c>
      <c r="G243" s="714">
        <v>29</v>
      </c>
      <c r="H243" s="141">
        <f>G243+F243</f>
        <v>29</v>
      </c>
      <c r="I243" s="713">
        <v>0</v>
      </c>
      <c r="J243" s="714">
        <v>25</v>
      </c>
      <c r="K243" s="141">
        <f t="shared" si="50"/>
        <v>25</v>
      </c>
      <c r="L243" s="713" t="s">
        <v>56</v>
      </c>
      <c r="M243" s="714">
        <v>78</v>
      </c>
      <c r="N243" s="141">
        <f t="shared" si="48"/>
        <v>78</v>
      </c>
      <c r="O243" s="643" t="s">
        <v>2109</v>
      </c>
      <c r="P243" s="927">
        <v>142</v>
      </c>
      <c r="R243"/>
      <c r="S243"/>
      <c r="T243" s="32"/>
    </row>
    <row r="244" spans="1:20" ht="34" customHeight="1">
      <c r="A244" s="397">
        <v>143</v>
      </c>
      <c r="B244" s="297" t="s">
        <v>1136</v>
      </c>
      <c r="C244" s="364">
        <v>0</v>
      </c>
      <c r="D244" s="365">
        <v>2</v>
      </c>
      <c r="E244" s="366">
        <f t="shared" si="49"/>
        <v>2</v>
      </c>
      <c r="F244" s="367">
        <v>0</v>
      </c>
      <c r="G244" s="367" t="s">
        <v>56</v>
      </c>
      <c r="H244" s="368" t="s">
        <v>56</v>
      </c>
      <c r="I244" s="364">
        <v>0</v>
      </c>
      <c r="J244" s="367">
        <v>30</v>
      </c>
      <c r="K244" s="368">
        <f t="shared" si="50"/>
        <v>30</v>
      </c>
      <c r="L244" s="364" t="s">
        <v>56</v>
      </c>
      <c r="M244" s="367">
        <v>51</v>
      </c>
      <c r="N244" s="368">
        <f t="shared" si="48"/>
        <v>51</v>
      </c>
      <c r="O244" s="293" t="s">
        <v>2110</v>
      </c>
      <c r="P244" s="929">
        <v>143</v>
      </c>
      <c r="Q244" s="1108"/>
      <c r="T244" s="16"/>
    </row>
    <row r="245" spans="1:20" s="676" customFormat="1" ht="20" hidden="1" customHeight="1">
      <c r="A245" s="1508" t="s">
        <v>1187</v>
      </c>
      <c r="B245" s="1508"/>
      <c r="C245" s="191"/>
      <c r="D245" s="191"/>
      <c r="E245" s="191"/>
      <c r="F245" s="138"/>
      <c r="G245" s="138"/>
      <c r="H245" s="138"/>
      <c r="I245" s="138"/>
      <c r="J245" s="138"/>
      <c r="K245" s="138"/>
      <c r="L245" s="138"/>
      <c r="M245" s="138"/>
      <c r="N245" s="138"/>
      <c r="O245" s="1509" t="s">
        <v>1300</v>
      </c>
      <c r="P245" s="1509"/>
      <c r="Q245" s="705"/>
      <c r="R245"/>
      <c r="S245"/>
      <c r="T245" s="32"/>
    </row>
    <row r="246" spans="1:20" s="676" customFormat="1" ht="20" hidden="1" customHeight="1">
      <c r="A246" s="1520"/>
      <c r="B246" s="1520"/>
      <c r="C246" s="523"/>
      <c r="D246" s="523"/>
      <c r="E246" s="523"/>
      <c r="F246" s="523"/>
      <c r="G246" s="523"/>
      <c r="H246" s="523"/>
      <c r="I246" s="523"/>
      <c r="J246" s="168"/>
      <c r="K246" s="168"/>
      <c r="L246" s="1509" t="s">
        <v>1299</v>
      </c>
      <c r="M246" s="1509"/>
      <c r="N246" s="1509"/>
      <c r="O246" s="1509"/>
      <c r="P246" s="1509"/>
      <c r="R246"/>
      <c r="S246"/>
      <c r="T246" s="32"/>
    </row>
    <row r="247" spans="1:20" s="676" customFormat="1" ht="20" hidden="1" customHeight="1">
      <c r="A247" s="1438" t="s">
        <v>621</v>
      </c>
      <c r="B247" s="1468" t="s">
        <v>1221</v>
      </c>
      <c r="C247" s="1320" t="s">
        <v>1307</v>
      </c>
      <c r="D247" s="1470"/>
      <c r="E247" s="1449"/>
      <c r="F247" s="1320" t="s">
        <v>1219</v>
      </c>
      <c r="G247" s="1470"/>
      <c r="H247" s="1449"/>
      <c r="I247" s="1320" t="s">
        <v>1218</v>
      </c>
      <c r="J247" s="1470"/>
      <c r="K247" s="1449"/>
      <c r="L247" s="1320" t="s">
        <v>79</v>
      </c>
      <c r="M247" s="1470"/>
      <c r="N247" s="1449"/>
      <c r="O247" s="1438" t="s">
        <v>1975</v>
      </c>
      <c r="P247" s="1471" t="s">
        <v>727</v>
      </c>
      <c r="R247"/>
      <c r="S247"/>
      <c r="T247" s="32"/>
    </row>
    <row r="248" spans="1:20" s="676" customFormat="1" ht="20" hidden="1" customHeight="1">
      <c r="A248" s="1439"/>
      <c r="B248" s="1468"/>
      <c r="C248" s="1280"/>
      <c r="D248" s="1474"/>
      <c r="E248" s="1475"/>
      <c r="F248" s="1280"/>
      <c r="G248" s="1474"/>
      <c r="H248" s="1475"/>
      <c r="I248" s="1280"/>
      <c r="J248" s="1474"/>
      <c r="K248" s="1475"/>
      <c r="L248" s="1280"/>
      <c r="M248" s="1474"/>
      <c r="N248" s="1475"/>
      <c r="O248" s="1439"/>
      <c r="P248" s="1472"/>
      <c r="R248"/>
      <c r="S248"/>
      <c r="T248" s="32"/>
    </row>
    <row r="249" spans="1:20" s="676" customFormat="1" ht="20" hidden="1" customHeight="1">
      <c r="A249" s="1439"/>
      <c r="B249" s="1468"/>
      <c r="C249" s="1280" t="s">
        <v>138</v>
      </c>
      <c r="D249" s="1474"/>
      <c r="E249" s="1475"/>
      <c r="F249" s="1280" t="s">
        <v>1186</v>
      </c>
      <c r="G249" s="1474"/>
      <c r="H249" s="1475"/>
      <c r="I249" s="1280" t="s">
        <v>587</v>
      </c>
      <c r="J249" s="1474"/>
      <c r="K249" s="1475"/>
      <c r="L249" s="1280" t="s">
        <v>137</v>
      </c>
      <c r="M249" s="1474"/>
      <c r="N249" s="1475"/>
      <c r="O249" s="1439"/>
      <c r="P249" s="1472"/>
      <c r="R249"/>
      <c r="S249"/>
      <c r="T249" s="32"/>
    </row>
    <row r="250" spans="1:20" s="676" customFormat="1" ht="20" hidden="1" customHeight="1">
      <c r="A250" s="1439"/>
      <c r="B250" s="1469"/>
      <c r="C250" s="1280" t="s">
        <v>583</v>
      </c>
      <c r="D250" s="1474" t="s">
        <v>581</v>
      </c>
      <c r="E250" s="1474" t="s">
        <v>489</v>
      </c>
      <c r="F250" s="1280" t="s">
        <v>583</v>
      </c>
      <c r="G250" s="1474" t="s">
        <v>589</v>
      </c>
      <c r="H250" s="1474" t="s">
        <v>489</v>
      </c>
      <c r="I250" s="1280" t="s">
        <v>583</v>
      </c>
      <c r="J250" s="1474" t="s">
        <v>589</v>
      </c>
      <c r="K250" s="1474" t="s">
        <v>489</v>
      </c>
      <c r="L250" s="1280" t="s">
        <v>583</v>
      </c>
      <c r="M250" s="1474" t="s">
        <v>588</v>
      </c>
      <c r="N250" s="1475" t="s">
        <v>489</v>
      </c>
      <c r="O250" s="1439"/>
      <c r="P250" s="1472"/>
      <c r="R250"/>
      <c r="S250"/>
      <c r="T250" s="32"/>
    </row>
    <row r="251" spans="1:20" s="676" customFormat="1" ht="20" hidden="1" customHeight="1">
      <c r="A251" s="1439"/>
      <c r="B251" s="1469"/>
      <c r="C251" s="1280"/>
      <c r="D251" s="1474"/>
      <c r="E251" s="1474"/>
      <c r="F251" s="1280"/>
      <c r="G251" s="1474"/>
      <c r="H251" s="1474"/>
      <c r="I251" s="1280"/>
      <c r="J251" s="1474"/>
      <c r="K251" s="1474"/>
      <c r="L251" s="1280"/>
      <c r="M251" s="1474"/>
      <c r="N251" s="1475"/>
      <c r="O251" s="1439"/>
      <c r="P251" s="1472"/>
      <c r="R251"/>
      <c r="S251"/>
      <c r="T251" s="32"/>
    </row>
    <row r="252" spans="1:20" s="676" customFormat="1" ht="20" hidden="1" customHeight="1">
      <c r="A252" s="1462"/>
      <c r="B252" s="1469"/>
      <c r="C252" s="872" t="s">
        <v>133</v>
      </c>
      <c r="D252" s="873" t="s">
        <v>134</v>
      </c>
      <c r="E252" s="960" t="s">
        <v>100</v>
      </c>
      <c r="F252" s="872" t="s">
        <v>133</v>
      </c>
      <c r="G252" s="873" t="s">
        <v>134</v>
      </c>
      <c r="H252" s="960" t="s">
        <v>100</v>
      </c>
      <c r="I252" s="872" t="s">
        <v>133</v>
      </c>
      <c r="J252" s="873" t="s">
        <v>134</v>
      </c>
      <c r="K252" s="960" t="s">
        <v>100</v>
      </c>
      <c r="L252" s="872" t="s">
        <v>133</v>
      </c>
      <c r="M252" s="873" t="s">
        <v>134</v>
      </c>
      <c r="N252" s="893" t="s">
        <v>100</v>
      </c>
      <c r="O252" s="1462"/>
      <c r="P252" s="1473"/>
      <c r="R252"/>
      <c r="S252"/>
      <c r="T252" s="32"/>
    </row>
    <row r="253" spans="1:20" s="676" customFormat="1" ht="27" customHeight="1">
      <c r="A253" s="325"/>
      <c r="B253" s="843" t="s">
        <v>1137</v>
      </c>
      <c r="C253" s="713"/>
      <c r="D253" s="714"/>
      <c r="E253" s="135"/>
      <c r="F253" s="714"/>
      <c r="G253" s="714"/>
      <c r="H253" s="141"/>
      <c r="I253" s="713"/>
      <c r="J253" s="1037"/>
      <c r="K253" s="141"/>
      <c r="L253" s="713"/>
      <c r="M253" s="714"/>
      <c r="N253" s="141"/>
      <c r="O253" s="743" t="s">
        <v>48</v>
      </c>
      <c r="P253" s="878"/>
      <c r="Q253" s="705"/>
      <c r="R253"/>
      <c r="S253"/>
      <c r="T253" s="32"/>
    </row>
    <row r="254" spans="1:20" ht="29" customHeight="1">
      <c r="A254" s="396">
        <v>144</v>
      </c>
      <c r="B254" s="241" t="s">
        <v>1225</v>
      </c>
      <c r="C254" s="137">
        <v>0</v>
      </c>
      <c r="D254" s="139">
        <v>8</v>
      </c>
      <c r="E254" s="140">
        <f>D254+C254</f>
        <v>8</v>
      </c>
      <c r="F254" s="138">
        <v>0</v>
      </c>
      <c r="G254" s="138">
        <v>40</v>
      </c>
      <c r="H254" s="142">
        <f t="shared" ref="H254:H262" si="51">G254+F254</f>
        <v>40</v>
      </c>
      <c r="I254" s="137">
        <v>0</v>
      </c>
      <c r="J254" s="138">
        <v>44</v>
      </c>
      <c r="K254" s="142">
        <f t="shared" ref="K254:K257" si="52">J254+I254</f>
        <v>44</v>
      </c>
      <c r="L254" s="137" t="s">
        <v>56</v>
      </c>
      <c r="M254" s="138">
        <v>128</v>
      </c>
      <c r="N254" s="142">
        <f t="shared" ref="N254:N262" si="53">M254</f>
        <v>128</v>
      </c>
      <c r="O254" s="238" t="s">
        <v>2111</v>
      </c>
      <c r="P254" s="879">
        <v>144</v>
      </c>
      <c r="Q254" s="44"/>
      <c r="T254" s="16"/>
    </row>
    <row r="255" spans="1:20" s="676" customFormat="1" ht="27" customHeight="1">
      <c r="A255" s="325">
        <v>145</v>
      </c>
      <c r="B255" s="271" t="s">
        <v>1138</v>
      </c>
      <c r="C255" s="713">
        <v>0</v>
      </c>
      <c r="D255" s="714" t="s">
        <v>56</v>
      </c>
      <c r="E255" s="135" t="s">
        <v>56</v>
      </c>
      <c r="F255" s="714">
        <v>0</v>
      </c>
      <c r="G255" s="714" t="s">
        <v>56</v>
      </c>
      <c r="H255" s="141" t="s">
        <v>56</v>
      </c>
      <c r="I255" s="713">
        <v>0</v>
      </c>
      <c r="J255" s="714">
        <v>26</v>
      </c>
      <c r="K255" s="141">
        <f t="shared" si="52"/>
        <v>26</v>
      </c>
      <c r="L255" s="713" t="s">
        <v>56</v>
      </c>
      <c r="M255" s="714">
        <v>49</v>
      </c>
      <c r="N255" s="141">
        <f t="shared" si="53"/>
        <v>49</v>
      </c>
      <c r="O255" s="643" t="s">
        <v>2112</v>
      </c>
      <c r="P255" s="878">
        <v>145</v>
      </c>
      <c r="Q255" s="705"/>
      <c r="R255"/>
      <c r="S255"/>
    </row>
    <row r="256" spans="1:20" ht="27" customHeight="1">
      <c r="A256" s="396">
        <v>146</v>
      </c>
      <c r="B256" s="241" t="s">
        <v>1139</v>
      </c>
      <c r="C256" s="137">
        <v>0</v>
      </c>
      <c r="D256" s="139" t="s">
        <v>56</v>
      </c>
      <c r="E256" s="140" t="s">
        <v>56</v>
      </c>
      <c r="F256" s="138">
        <v>0</v>
      </c>
      <c r="G256" s="138">
        <v>34</v>
      </c>
      <c r="H256" s="142">
        <f t="shared" si="51"/>
        <v>34</v>
      </c>
      <c r="I256" s="137">
        <v>0</v>
      </c>
      <c r="J256" s="138">
        <v>174</v>
      </c>
      <c r="K256" s="142">
        <f t="shared" si="52"/>
        <v>174</v>
      </c>
      <c r="L256" s="137" t="s">
        <v>56</v>
      </c>
      <c r="M256" s="138">
        <v>74</v>
      </c>
      <c r="N256" s="142">
        <f t="shared" si="53"/>
        <v>74</v>
      </c>
      <c r="O256" s="238" t="s">
        <v>2113</v>
      </c>
      <c r="P256" s="879">
        <v>146</v>
      </c>
      <c r="Q256" s="44"/>
    </row>
    <row r="257" spans="1:33" s="676" customFormat="1" ht="29" customHeight="1">
      <c r="A257" s="325">
        <v>147</v>
      </c>
      <c r="B257" s="271" t="s">
        <v>1140</v>
      </c>
      <c r="C257" s="713">
        <v>0</v>
      </c>
      <c r="D257" s="134" t="s">
        <v>56</v>
      </c>
      <c r="E257" s="135" t="s">
        <v>56</v>
      </c>
      <c r="F257" s="714">
        <v>0</v>
      </c>
      <c r="G257" s="714">
        <v>50</v>
      </c>
      <c r="H257" s="141">
        <f t="shared" si="51"/>
        <v>50</v>
      </c>
      <c r="I257" s="713">
        <v>0</v>
      </c>
      <c r="J257" s="714">
        <v>0</v>
      </c>
      <c r="K257" s="141">
        <f t="shared" si="52"/>
        <v>0</v>
      </c>
      <c r="L257" s="713" t="s">
        <v>56</v>
      </c>
      <c r="M257" s="714">
        <v>139</v>
      </c>
      <c r="N257" s="141">
        <f t="shared" si="53"/>
        <v>139</v>
      </c>
      <c r="O257" s="643" t="s">
        <v>2114</v>
      </c>
      <c r="P257" s="878">
        <v>147</v>
      </c>
      <c r="Q257" s="705"/>
      <c r="R257"/>
      <c r="S257"/>
    </row>
    <row r="258" spans="1:33" ht="29" customHeight="1">
      <c r="A258" s="396">
        <v>148</v>
      </c>
      <c r="B258" s="241" t="s">
        <v>1226</v>
      </c>
      <c r="C258" s="137">
        <v>0</v>
      </c>
      <c r="D258" s="138">
        <v>6</v>
      </c>
      <c r="E258" s="140">
        <f t="shared" ref="E258:E262" si="54">D258+C258</f>
        <v>6</v>
      </c>
      <c r="F258" s="138">
        <v>0</v>
      </c>
      <c r="G258" s="138">
        <v>42</v>
      </c>
      <c r="H258" s="142">
        <f t="shared" si="51"/>
        <v>42</v>
      </c>
      <c r="I258" s="137">
        <v>0</v>
      </c>
      <c r="J258" s="138" t="s">
        <v>56</v>
      </c>
      <c r="K258" s="142" t="s">
        <v>56</v>
      </c>
      <c r="L258" s="137" t="s">
        <v>56</v>
      </c>
      <c r="M258" s="138">
        <v>112</v>
      </c>
      <c r="N258" s="142">
        <f t="shared" si="53"/>
        <v>112</v>
      </c>
      <c r="O258" s="238" t="s">
        <v>2115</v>
      </c>
      <c r="P258" s="879">
        <v>148</v>
      </c>
      <c r="Q258" s="44"/>
    </row>
    <row r="259" spans="1:33" ht="29" customHeight="1">
      <c r="A259" s="325">
        <v>149</v>
      </c>
      <c r="B259" s="271" t="s">
        <v>1141</v>
      </c>
      <c r="C259" s="713">
        <v>0</v>
      </c>
      <c r="D259" s="134" t="s">
        <v>56</v>
      </c>
      <c r="E259" s="135" t="s">
        <v>56</v>
      </c>
      <c r="F259" s="714">
        <v>0</v>
      </c>
      <c r="G259" s="714">
        <v>41</v>
      </c>
      <c r="H259" s="141">
        <f t="shared" si="51"/>
        <v>41</v>
      </c>
      <c r="I259" s="713">
        <v>0</v>
      </c>
      <c r="J259" s="714" t="s">
        <v>56</v>
      </c>
      <c r="K259" s="141" t="s">
        <v>56</v>
      </c>
      <c r="L259" s="713" t="s">
        <v>56</v>
      </c>
      <c r="M259" s="714">
        <v>238</v>
      </c>
      <c r="N259" s="141">
        <f t="shared" si="53"/>
        <v>238</v>
      </c>
      <c r="O259" s="643" t="s">
        <v>2116</v>
      </c>
      <c r="P259" s="878">
        <v>149</v>
      </c>
      <c r="Q259" s="705"/>
    </row>
    <row r="260" spans="1:33" s="676" customFormat="1" ht="29" customHeight="1">
      <c r="A260" s="396">
        <v>150</v>
      </c>
      <c r="B260" s="241" t="s">
        <v>1142</v>
      </c>
      <c r="C260" s="137">
        <v>0</v>
      </c>
      <c r="D260" s="139">
        <v>6</v>
      </c>
      <c r="E260" s="140">
        <f t="shared" si="54"/>
        <v>6</v>
      </c>
      <c r="F260" s="138">
        <v>0</v>
      </c>
      <c r="G260" s="138">
        <v>19</v>
      </c>
      <c r="H260" s="142">
        <f t="shared" si="51"/>
        <v>19</v>
      </c>
      <c r="I260" s="137">
        <v>0</v>
      </c>
      <c r="J260" s="138" t="s">
        <v>56</v>
      </c>
      <c r="K260" s="142" t="s">
        <v>56</v>
      </c>
      <c r="L260" s="137" t="s">
        <v>56</v>
      </c>
      <c r="M260" s="138">
        <v>146</v>
      </c>
      <c r="N260" s="142">
        <f t="shared" si="53"/>
        <v>146</v>
      </c>
      <c r="O260" s="238" t="s">
        <v>2117</v>
      </c>
      <c r="P260" s="879">
        <v>150</v>
      </c>
      <c r="R260"/>
      <c r="S260"/>
    </row>
    <row r="261" spans="1:33" ht="29" customHeight="1">
      <c r="A261" s="325">
        <v>151</v>
      </c>
      <c r="B261" s="271" t="s">
        <v>1143</v>
      </c>
      <c r="C261" s="713">
        <v>0</v>
      </c>
      <c r="D261" s="134">
        <v>1</v>
      </c>
      <c r="E261" s="135">
        <f t="shared" si="54"/>
        <v>1</v>
      </c>
      <c r="F261" s="714">
        <v>0</v>
      </c>
      <c r="G261" s="714">
        <v>23</v>
      </c>
      <c r="H261" s="141">
        <f t="shared" si="51"/>
        <v>23</v>
      </c>
      <c r="I261" s="713">
        <v>0</v>
      </c>
      <c r="J261" s="714" t="s">
        <v>56</v>
      </c>
      <c r="K261" s="141" t="s">
        <v>56</v>
      </c>
      <c r="L261" s="713" t="s">
        <v>56</v>
      </c>
      <c r="M261" s="714">
        <v>137</v>
      </c>
      <c r="N261" s="141">
        <f t="shared" si="53"/>
        <v>137</v>
      </c>
      <c r="O261" s="643" t="s">
        <v>2118</v>
      </c>
      <c r="P261" s="878">
        <v>151</v>
      </c>
      <c r="Q261" s="705"/>
    </row>
    <row r="262" spans="1:33" s="676" customFormat="1" ht="29" customHeight="1">
      <c r="A262" s="396">
        <v>152</v>
      </c>
      <c r="B262" s="241" t="s">
        <v>1144</v>
      </c>
      <c r="C262" s="137">
        <v>0</v>
      </c>
      <c r="D262" s="138">
        <v>3</v>
      </c>
      <c r="E262" s="140">
        <f t="shared" si="54"/>
        <v>3</v>
      </c>
      <c r="F262" s="138">
        <v>0</v>
      </c>
      <c r="G262" s="138">
        <v>73</v>
      </c>
      <c r="H262" s="142">
        <f t="shared" si="51"/>
        <v>73</v>
      </c>
      <c r="I262" s="137">
        <v>0</v>
      </c>
      <c r="J262" s="138" t="s">
        <v>56</v>
      </c>
      <c r="K262" s="142" t="s">
        <v>56</v>
      </c>
      <c r="L262" s="137" t="s">
        <v>56</v>
      </c>
      <c r="M262" s="138">
        <v>311</v>
      </c>
      <c r="N262" s="142">
        <f t="shared" si="53"/>
        <v>311</v>
      </c>
      <c r="O262" s="238" t="s">
        <v>2119</v>
      </c>
      <c r="P262" s="879">
        <v>152</v>
      </c>
      <c r="Q262" s="705"/>
      <c r="R262"/>
      <c r="S262"/>
    </row>
    <row r="263" spans="1:33" ht="27" customHeight="1">
      <c r="A263" s="325"/>
      <c r="B263" s="724" t="s">
        <v>129</v>
      </c>
      <c r="C263" s="805"/>
      <c r="D263" s="806"/>
      <c r="E263" s="135"/>
      <c r="F263" s="713"/>
      <c r="G263" s="714"/>
      <c r="H263" s="141"/>
      <c r="I263" s="713"/>
      <c r="J263" s="1037"/>
      <c r="K263" s="141"/>
      <c r="L263" s="713"/>
      <c r="M263" s="714"/>
      <c r="N263" s="141"/>
      <c r="O263" s="743" t="s">
        <v>24</v>
      </c>
      <c r="P263" s="878"/>
      <c r="Q263" s="705"/>
    </row>
    <row r="264" spans="1:33" ht="29" customHeight="1">
      <c r="A264" s="396">
        <v>153</v>
      </c>
      <c r="B264" s="241" t="s">
        <v>1145</v>
      </c>
      <c r="C264" s="190">
        <v>0</v>
      </c>
      <c r="D264" s="191" t="s">
        <v>56</v>
      </c>
      <c r="E264" s="140" t="s">
        <v>56</v>
      </c>
      <c r="F264" s="138">
        <v>0</v>
      </c>
      <c r="G264" s="138">
        <v>12</v>
      </c>
      <c r="H264" s="142">
        <f>G264+F264</f>
        <v>12</v>
      </c>
      <c r="I264" s="137">
        <v>0</v>
      </c>
      <c r="J264" s="138">
        <v>15</v>
      </c>
      <c r="K264" s="142">
        <f>J264+I264</f>
        <v>15</v>
      </c>
      <c r="L264" s="137" t="s">
        <v>56</v>
      </c>
      <c r="M264" s="138">
        <v>47</v>
      </c>
      <c r="N264" s="142">
        <f t="shared" ref="N264:N267" si="55">M264</f>
        <v>47</v>
      </c>
      <c r="O264" s="281" t="s">
        <v>2120</v>
      </c>
      <c r="P264" s="879">
        <v>153</v>
      </c>
      <c r="Q264" s="705"/>
    </row>
    <row r="265" spans="1:33" ht="29" customHeight="1">
      <c r="A265" s="325">
        <v>154</v>
      </c>
      <c r="B265" s="271" t="s">
        <v>1146</v>
      </c>
      <c r="C265" s="805">
        <v>0</v>
      </c>
      <c r="D265" s="806" t="s">
        <v>56</v>
      </c>
      <c r="E265" s="135" t="s">
        <v>56</v>
      </c>
      <c r="F265" s="714">
        <v>0</v>
      </c>
      <c r="G265" s="714">
        <v>24</v>
      </c>
      <c r="H265" s="141">
        <f>G265+F265</f>
        <v>24</v>
      </c>
      <c r="I265" s="713">
        <v>0</v>
      </c>
      <c r="J265" s="714">
        <v>30</v>
      </c>
      <c r="K265" s="141">
        <f>J265+I265</f>
        <v>30</v>
      </c>
      <c r="L265" s="713" t="s">
        <v>56</v>
      </c>
      <c r="M265" s="714">
        <v>138</v>
      </c>
      <c r="N265" s="141">
        <f t="shared" si="55"/>
        <v>138</v>
      </c>
      <c r="O265" s="653" t="s">
        <v>2121</v>
      </c>
      <c r="P265" s="878">
        <v>154</v>
      </c>
      <c r="Q265" s="705"/>
    </row>
    <row r="266" spans="1:33" ht="29" customHeight="1">
      <c r="A266" s="396">
        <v>155</v>
      </c>
      <c r="B266" s="241" t="s">
        <v>1147</v>
      </c>
      <c r="C266" s="190">
        <v>0</v>
      </c>
      <c r="D266" s="191">
        <v>1</v>
      </c>
      <c r="E266" s="140">
        <f>D266+C266</f>
        <v>1</v>
      </c>
      <c r="F266" s="138">
        <v>0</v>
      </c>
      <c r="G266" s="138">
        <v>26</v>
      </c>
      <c r="H266" s="142">
        <f>G266+F266</f>
        <v>26</v>
      </c>
      <c r="I266" s="137">
        <v>0</v>
      </c>
      <c r="J266" s="138">
        <v>27</v>
      </c>
      <c r="K266" s="142">
        <f>J266+I266</f>
        <v>27</v>
      </c>
      <c r="L266" s="137" t="s">
        <v>56</v>
      </c>
      <c r="M266" s="138">
        <v>77</v>
      </c>
      <c r="N266" s="142">
        <f t="shared" si="55"/>
        <v>77</v>
      </c>
      <c r="O266" s="281" t="s">
        <v>2122</v>
      </c>
      <c r="P266" s="879">
        <v>155</v>
      </c>
      <c r="Q266" s="705"/>
    </row>
    <row r="267" spans="1:33" ht="29" customHeight="1">
      <c r="A267" s="325">
        <v>156</v>
      </c>
      <c r="B267" s="271" t="s">
        <v>1148</v>
      </c>
      <c r="C267" s="805">
        <v>0</v>
      </c>
      <c r="D267" s="806" t="s">
        <v>56</v>
      </c>
      <c r="E267" s="135" t="s">
        <v>56</v>
      </c>
      <c r="F267" s="714">
        <v>0</v>
      </c>
      <c r="G267" s="714">
        <v>21</v>
      </c>
      <c r="H267" s="141">
        <f>G267+F267</f>
        <v>21</v>
      </c>
      <c r="I267" s="713">
        <v>0</v>
      </c>
      <c r="J267" s="714">
        <v>32</v>
      </c>
      <c r="K267" s="141">
        <f>J267+I267</f>
        <v>32</v>
      </c>
      <c r="L267" s="713" t="s">
        <v>56</v>
      </c>
      <c r="M267" s="714">
        <v>133</v>
      </c>
      <c r="N267" s="141">
        <f t="shared" si="55"/>
        <v>133</v>
      </c>
      <c r="O267" s="653" t="s">
        <v>2123</v>
      </c>
      <c r="P267" s="878">
        <v>156</v>
      </c>
      <c r="Q267" s="705"/>
    </row>
    <row r="268" spans="1:33" ht="27" customHeight="1">
      <c r="A268" s="396"/>
      <c r="B268" s="490" t="s">
        <v>1149</v>
      </c>
      <c r="C268" s="137"/>
      <c r="D268" s="139"/>
      <c r="E268" s="140"/>
      <c r="F268" s="138"/>
      <c r="G268" s="138"/>
      <c r="H268" s="142"/>
      <c r="I268" s="137"/>
      <c r="J268" s="1038"/>
      <c r="K268" s="142"/>
      <c r="L268" s="137"/>
      <c r="M268" s="138"/>
      <c r="N268" s="142"/>
      <c r="O268" s="1000" t="s">
        <v>25</v>
      </c>
      <c r="P268" s="879"/>
      <c r="Q268" s="705"/>
    </row>
    <row r="269" spans="1:33" ht="29" customHeight="1">
      <c r="A269" s="325">
        <v>157</v>
      </c>
      <c r="B269" s="239" t="s">
        <v>1150</v>
      </c>
      <c r="C269" s="713">
        <v>0</v>
      </c>
      <c r="D269" s="134">
        <v>2</v>
      </c>
      <c r="E269" s="135">
        <f>D269+C269</f>
        <v>2</v>
      </c>
      <c r="F269" s="714">
        <v>0</v>
      </c>
      <c r="G269" s="714" t="s">
        <v>56</v>
      </c>
      <c r="H269" s="141" t="s">
        <v>56</v>
      </c>
      <c r="I269" s="713">
        <v>0</v>
      </c>
      <c r="J269" s="714">
        <v>20</v>
      </c>
      <c r="K269" s="141">
        <f>J269+I269</f>
        <v>20</v>
      </c>
      <c r="L269" s="713" t="s">
        <v>56</v>
      </c>
      <c r="M269" s="714">
        <v>20</v>
      </c>
      <c r="N269" s="141">
        <f>M269</f>
        <v>20</v>
      </c>
      <c r="O269" s="643" t="s">
        <v>2124</v>
      </c>
      <c r="P269" s="878">
        <v>157</v>
      </c>
      <c r="Q269" s="705"/>
    </row>
    <row r="270" spans="1:33" ht="29" customHeight="1">
      <c r="A270" s="396">
        <v>158</v>
      </c>
      <c r="B270" s="240" t="s">
        <v>1151</v>
      </c>
      <c r="C270" s="137">
        <v>4</v>
      </c>
      <c r="D270" s="139">
        <v>10</v>
      </c>
      <c r="E270" s="140">
        <f>D270+C270</f>
        <v>14</v>
      </c>
      <c r="F270" s="138">
        <v>0</v>
      </c>
      <c r="G270" s="138">
        <v>14</v>
      </c>
      <c r="H270" s="142">
        <f>G270+F270</f>
        <v>14</v>
      </c>
      <c r="I270" s="137">
        <v>0</v>
      </c>
      <c r="J270" s="138">
        <v>29</v>
      </c>
      <c r="K270" s="142">
        <f>J270+I270</f>
        <v>29</v>
      </c>
      <c r="L270" s="137">
        <v>33</v>
      </c>
      <c r="M270" s="138">
        <v>126</v>
      </c>
      <c r="N270" s="142">
        <f>M270+L270</f>
        <v>159</v>
      </c>
      <c r="O270" s="238" t="s">
        <v>2125</v>
      </c>
      <c r="P270" s="879">
        <v>158</v>
      </c>
      <c r="Q270" s="705"/>
    </row>
    <row r="271" spans="1:33" s="676" customFormat="1" ht="27" customHeight="1">
      <c r="A271" s="664">
        <v>159</v>
      </c>
      <c r="B271" s="275" t="s">
        <v>1152</v>
      </c>
      <c r="C271" s="811">
        <v>12</v>
      </c>
      <c r="D271" s="194">
        <v>5</v>
      </c>
      <c r="E271" s="195">
        <f>D271+C271</f>
        <v>17</v>
      </c>
      <c r="F271" s="812">
        <v>0</v>
      </c>
      <c r="G271" s="812" t="s">
        <v>56</v>
      </c>
      <c r="H271" s="193" t="s">
        <v>56</v>
      </c>
      <c r="I271" s="811">
        <v>0</v>
      </c>
      <c r="J271" s="812">
        <v>18</v>
      </c>
      <c r="K271" s="193">
        <f>J271+I271</f>
        <v>18</v>
      </c>
      <c r="L271" s="811">
        <v>50</v>
      </c>
      <c r="M271" s="812">
        <v>150</v>
      </c>
      <c r="N271" s="193">
        <f>M271+L271</f>
        <v>200</v>
      </c>
      <c r="O271" s="696" t="s">
        <v>2126</v>
      </c>
      <c r="P271" s="895">
        <v>159</v>
      </c>
      <c r="Q271" s="705"/>
      <c r="R271"/>
      <c r="S271"/>
      <c r="T271" s="639"/>
      <c r="U271" s="639"/>
      <c r="V271" s="639"/>
      <c r="W271" s="639"/>
      <c r="X271" s="639"/>
      <c r="Y271" s="639"/>
      <c r="Z271" s="639"/>
      <c r="AA271" s="639"/>
      <c r="AB271" s="639"/>
      <c r="AC271" s="639"/>
      <c r="AD271" s="639"/>
      <c r="AE271" s="639"/>
      <c r="AF271" s="639"/>
      <c r="AG271" s="639"/>
    </row>
    <row r="272" spans="1:33" s="676" customFormat="1" ht="18" hidden="1" customHeight="1">
      <c r="A272" s="1508" t="s">
        <v>1187</v>
      </c>
      <c r="B272" s="1508"/>
      <c r="C272" s="191"/>
      <c r="D272" s="191"/>
      <c r="E272" s="191"/>
      <c r="F272" s="138"/>
      <c r="G272" s="138"/>
      <c r="H272" s="138"/>
      <c r="I272" s="138"/>
      <c r="J272" s="138"/>
      <c r="K272" s="138"/>
      <c r="L272" s="138"/>
      <c r="M272" s="138"/>
      <c r="N272" s="138"/>
      <c r="O272" s="1509" t="s">
        <v>1300</v>
      </c>
      <c r="P272" s="1509"/>
      <c r="Q272" s="705"/>
      <c r="R272"/>
      <c r="S272"/>
      <c r="T272" s="639"/>
      <c r="U272" s="639"/>
      <c r="V272" s="639"/>
      <c r="W272" s="639"/>
      <c r="X272" s="639"/>
      <c r="Y272" s="639"/>
      <c r="Z272" s="639"/>
      <c r="AA272" s="639"/>
      <c r="AB272" s="639"/>
      <c r="AC272" s="639"/>
      <c r="AD272" s="639"/>
      <c r="AE272" s="639"/>
      <c r="AF272" s="639"/>
      <c r="AG272" s="639"/>
    </row>
    <row r="273" spans="1:33" s="676" customFormat="1" ht="18" hidden="1" customHeight="1">
      <c r="A273" s="1520"/>
      <c r="B273" s="1520"/>
      <c r="C273" s="523"/>
      <c r="D273" s="523"/>
      <c r="E273" s="523"/>
      <c r="F273" s="523"/>
      <c r="G273" s="523"/>
      <c r="H273" s="523"/>
      <c r="I273" s="523"/>
      <c r="J273" s="168"/>
      <c r="K273" s="168"/>
      <c r="L273" s="1509" t="s">
        <v>1299</v>
      </c>
      <c r="M273" s="1509"/>
      <c r="N273" s="1509"/>
      <c r="O273" s="1509"/>
      <c r="P273" s="1509"/>
      <c r="Q273" s="705"/>
      <c r="R273"/>
      <c r="S273"/>
      <c r="T273" s="639"/>
      <c r="U273" s="639"/>
      <c r="V273" s="639"/>
      <c r="W273" s="639"/>
      <c r="X273" s="639"/>
      <c r="Y273" s="639"/>
      <c r="Z273" s="639"/>
      <c r="AA273" s="639"/>
      <c r="AB273" s="639"/>
      <c r="AC273" s="639"/>
      <c r="AD273" s="639"/>
      <c r="AE273" s="639"/>
      <c r="AF273" s="639"/>
      <c r="AG273" s="639"/>
    </row>
    <row r="274" spans="1:33" s="676" customFormat="1" ht="18" hidden="1" customHeight="1">
      <c r="A274" s="1438" t="s">
        <v>621</v>
      </c>
      <c r="B274" s="1468" t="s">
        <v>1221</v>
      </c>
      <c r="C274" s="1320" t="s">
        <v>1307</v>
      </c>
      <c r="D274" s="1470"/>
      <c r="E274" s="1449"/>
      <c r="F274" s="1320" t="s">
        <v>1219</v>
      </c>
      <c r="G274" s="1470"/>
      <c r="H274" s="1449"/>
      <c r="I274" s="1320" t="s">
        <v>1218</v>
      </c>
      <c r="J274" s="1470"/>
      <c r="K274" s="1449"/>
      <c r="L274" s="1320" t="s">
        <v>79</v>
      </c>
      <c r="M274" s="1470"/>
      <c r="N274" s="1449"/>
      <c r="O274" s="1438" t="s">
        <v>1975</v>
      </c>
      <c r="P274" s="1471" t="s">
        <v>727</v>
      </c>
      <c r="Q274" s="705"/>
      <c r="R274"/>
      <c r="S274"/>
      <c r="T274" s="639"/>
      <c r="U274" s="639"/>
      <c r="V274" s="639"/>
      <c r="W274" s="639"/>
      <c r="X274" s="639"/>
      <c r="Y274" s="639"/>
      <c r="Z274" s="639"/>
      <c r="AA274" s="639"/>
      <c r="AB274" s="639"/>
      <c r="AC274" s="639"/>
      <c r="AD274" s="639"/>
      <c r="AE274" s="639"/>
      <c r="AF274" s="639"/>
      <c r="AG274" s="639"/>
    </row>
    <row r="275" spans="1:33" s="676" customFormat="1" ht="18" hidden="1" customHeight="1">
      <c r="A275" s="1439"/>
      <c r="B275" s="1468"/>
      <c r="C275" s="1280"/>
      <c r="D275" s="1474"/>
      <c r="E275" s="1475"/>
      <c r="F275" s="1280"/>
      <c r="G275" s="1474"/>
      <c r="H275" s="1475"/>
      <c r="I275" s="1280"/>
      <c r="J275" s="1474"/>
      <c r="K275" s="1475"/>
      <c r="L275" s="1280"/>
      <c r="M275" s="1474"/>
      <c r="N275" s="1475"/>
      <c r="O275" s="1439"/>
      <c r="P275" s="1472"/>
      <c r="Q275" s="705"/>
      <c r="R275"/>
      <c r="S275"/>
      <c r="T275" s="639"/>
      <c r="U275" s="639"/>
      <c r="V275" s="639"/>
      <c r="W275" s="639"/>
      <c r="X275" s="639"/>
      <c r="Y275" s="639"/>
      <c r="Z275" s="639"/>
      <c r="AA275" s="639"/>
      <c r="AB275" s="639"/>
      <c r="AC275" s="639"/>
      <c r="AD275" s="639"/>
      <c r="AE275" s="639"/>
      <c r="AF275" s="639"/>
      <c r="AG275" s="639"/>
    </row>
    <row r="276" spans="1:33" s="676" customFormat="1" ht="18" hidden="1" customHeight="1">
      <c r="A276" s="1439"/>
      <c r="B276" s="1468"/>
      <c r="C276" s="1280" t="s">
        <v>138</v>
      </c>
      <c r="D276" s="1474"/>
      <c r="E276" s="1475"/>
      <c r="F276" s="1280" t="s">
        <v>1186</v>
      </c>
      <c r="G276" s="1474"/>
      <c r="H276" s="1475"/>
      <c r="I276" s="1280" t="s">
        <v>587</v>
      </c>
      <c r="J276" s="1474"/>
      <c r="K276" s="1475"/>
      <c r="L276" s="1280" t="s">
        <v>137</v>
      </c>
      <c r="M276" s="1474"/>
      <c r="N276" s="1475"/>
      <c r="O276" s="1439"/>
      <c r="P276" s="1472"/>
      <c r="Q276" s="705"/>
      <c r="R276"/>
      <c r="S276"/>
      <c r="T276" s="639"/>
      <c r="U276" s="639"/>
      <c r="V276" s="639"/>
      <c r="W276" s="639"/>
      <c r="X276" s="639"/>
      <c r="Y276" s="639"/>
      <c r="Z276" s="639"/>
      <c r="AA276" s="639"/>
      <c r="AB276" s="639"/>
      <c r="AC276" s="639"/>
      <c r="AD276" s="639"/>
      <c r="AE276" s="639"/>
      <c r="AF276" s="639"/>
      <c r="AG276" s="639"/>
    </row>
    <row r="277" spans="1:33" s="676" customFormat="1" ht="18" hidden="1" customHeight="1">
      <c r="A277" s="1439"/>
      <c r="B277" s="1469"/>
      <c r="C277" s="1280" t="s">
        <v>583</v>
      </c>
      <c r="D277" s="1474" t="s">
        <v>581</v>
      </c>
      <c r="E277" s="1474" t="s">
        <v>489</v>
      </c>
      <c r="F277" s="1280" t="s">
        <v>583</v>
      </c>
      <c r="G277" s="1474" t="s">
        <v>589</v>
      </c>
      <c r="H277" s="1474" t="s">
        <v>489</v>
      </c>
      <c r="I277" s="1280" t="s">
        <v>583</v>
      </c>
      <c r="J277" s="1474" t="s">
        <v>589</v>
      </c>
      <c r="K277" s="1474" t="s">
        <v>489</v>
      </c>
      <c r="L277" s="1280" t="s">
        <v>583</v>
      </c>
      <c r="M277" s="1474" t="s">
        <v>588</v>
      </c>
      <c r="N277" s="1475" t="s">
        <v>489</v>
      </c>
      <c r="O277" s="1439"/>
      <c r="P277" s="1472"/>
      <c r="Q277" s="1047"/>
      <c r="R277"/>
      <c r="S277"/>
      <c r="T277" s="639"/>
      <c r="U277" s="639"/>
      <c r="V277" s="639"/>
      <c r="W277" s="639"/>
      <c r="X277" s="639"/>
      <c r="Y277" s="639"/>
      <c r="Z277" s="639"/>
      <c r="AA277" s="639"/>
      <c r="AB277" s="639"/>
      <c r="AC277" s="639"/>
      <c r="AD277" s="639"/>
      <c r="AE277" s="639"/>
      <c r="AF277" s="639"/>
      <c r="AG277" s="639"/>
    </row>
    <row r="278" spans="1:33" s="676" customFormat="1" ht="18" hidden="1" customHeight="1">
      <c r="A278" s="1439"/>
      <c r="B278" s="1469"/>
      <c r="C278" s="1280"/>
      <c r="D278" s="1474"/>
      <c r="E278" s="1474"/>
      <c r="F278" s="1280"/>
      <c r="G278" s="1474"/>
      <c r="H278" s="1474"/>
      <c r="I278" s="1280"/>
      <c r="J278" s="1474"/>
      <c r="K278" s="1474"/>
      <c r="L278" s="1280"/>
      <c r="M278" s="1474"/>
      <c r="N278" s="1475"/>
      <c r="O278" s="1439"/>
      <c r="P278" s="1472"/>
      <c r="Q278" s="705"/>
      <c r="R278"/>
      <c r="S278"/>
      <c r="T278" s="639"/>
      <c r="U278" s="639"/>
      <c r="V278" s="639"/>
      <c r="W278" s="639"/>
      <c r="X278" s="639"/>
      <c r="Y278" s="639"/>
      <c r="Z278" s="639"/>
      <c r="AA278" s="639"/>
      <c r="AB278" s="639"/>
      <c r="AC278" s="639"/>
      <c r="AD278" s="639"/>
      <c r="AE278" s="639"/>
      <c r="AF278" s="639"/>
      <c r="AG278" s="639"/>
    </row>
    <row r="279" spans="1:33" s="676" customFormat="1" ht="18" hidden="1" customHeight="1">
      <c r="A279" s="1462"/>
      <c r="B279" s="1469"/>
      <c r="C279" s="872" t="s">
        <v>133</v>
      </c>
      <c r="D279" s="873" t="s">
        <v>134</v>
      </c>
      <c r="E279" s="960" t="s">
        <v>100</v>
      </c>
      <c r="F279" s="872" t="s">
        <v>133</v>
      </c>
      <c r="G279" s="873" t="s">
        <v>134</v>
      </c>
      <c r="H279" s="960" t="s">
        <v>100</v>
      </c>
      <c r="I279" s="872" t="s">
        <v>133</v>
      </c>
      <c r="J279" s="873" t="s">
        <v>134</v>
      </c>
      <c r="K279" s="960" t="s">
        <v>100</v>
      </c>
      <c r="L279" s="872" t="s">
        <v>133</v>
      </c>
      <c r="M279" s="873" t="s">
        <v>134</v>
      </c>
      <c r="N279" s="893" t="s">
        <v>100</v>
      </c>
      <c r="O279" s="1462"/>
      <c r="P279" s="1473"/>
      <c r="Q279" s="705"/>
      <c r="R279"/>
      <c r="S279"/>
      <c r="T279" s="639"/>
      <c r="U279" s="639"/>
      <c r="V279" s="639"/>
      <c r="W279" s="639"/>
      <c r="X279" s="639"/>
      <c r="Y279" s="639"/>
      <c r="Z279" s="639"/>
      <c r="AA279" s="639"/>
      <c r="AB279" s="639"/>
      <c r="AC279" s="639"/>
      <c r="AD279" s="639"/>
      <c r="AE279" s="639"/>
      <c r="AF279" s="639"/>
      <c r="AG279" s="639"/>
    </row>
    <row r="280" spans="1:33" s="676" customFormat="1" ht="29" customHeight="1">
      <c r="A280" s="396">
        <v>160</v>
      </c>
      <c r="B280" s="240" t="s">
        <v>1153</v>
      </c>
      <c r="C280" s="137">
        <v>0</v>
      </c>
      <c r="D280" s="139">
        <v>1</v>
      </c>
      <c r="E280" s="140">
        <f>D280+C280</f>
        <v>1</v>
      </c>
      <c r="F280" s="138">
        <v>0</v>
      </c>
      <c r="G280" s="138">
        <v>6</v>
      </c>
      <c r="H280" s="142">
        <f>G280+F280</f>
        <v>6</v>
      </c>
      <c r="I280" s="137">
        <v>0</v>
      </c>
      <c r="J280" s="138">
        <v>16</v>
      </c>
      <c r="K280" s="142">
        <f>J280+I280</f>
        <v>16</v>
      </c>
      <c r="L280" s="137" t="s">
        <v>56</v>
      </c>
      <c r="M280" s="138">
        <v>40</v>
      </c>
      <c r="N280" s="142">
        <f t="shared" ref="N280:N282" si="56">M280</f>
        <v>40</v>
      </c>
      <c r="O280" s="1096" t="s">
        <v>2127</v>
      </c>
      <c r="P280" s="879">
        <v>160</v>
      </c>
      <c r="R280"/>
      <c r="S280"/>
      <c r="T280" s="639"/>
      <c r="U280" s="639"/>
      <c r="V280" s="639"/>
      <c r="W280" s="639"/>
      <c r="X280" s="639"/>
      <c r="Y280" s="639"/>
      <c r="Z280" s="639"/>
      <c r="AA280" s="639"/>
      <c r="AB280" s="639"/>
      <c r="AC280" s="639"/>
      <c r="AD280" s="639"/>
      <c r="AE280" s="639"/>
      <c r="AF280" s="639"/>
      <c r="AG280" s="639"/>
    </row>
    <row r="281" spans="1:33" s="676" customFormat="1" ht="29" customHeight="1">
      <c r="A281" s="325">
        <v>161</v>
      </c>
      <c r="B281" s="239" t="s">
        <v>1154</v>
      </c>
      <c r="C281" s="713">
        <v>0</v>
      </c>
      <c r="D281" s="134">
        <v>1</v>
      </c>
      <c r="E281" s="135">
        <f>D281+C281</f>
        <v>1</v>
      </c>
      <c r="F281" s="714">
        <v>0</v>
      </c>
      <c r="G281" s="714" t="s">
        <v>56</v>
      </c>
      <c r="H281" s="141" t="s">
        <v>56</v>
      </c>
      <c r="I281" s="713">
        <v>0</v>
      </c>
      <c r="J281" s="714">
        <v>15</v>
      </c>
      <c r="K281" s="141">
        <f>J281+I281</f>
        <v>15</v>
      </c>
      <c r="L281" s="713" t="s">
        <v>56</v>
      </c>
      <c r="M281" s="714">
        <v>25</v>
      </c>
      <c r="N281" s="141">
        <f t="shared" si="56"/>
        <v>25</v>
      </c>
      <c r="O281" s="643" t="s">
        <v>2128</v>
      </c>
      <c r="P281" s="878">
        <v>161</v>
      </c>
      <c r="Q281" s="705"/>
      <c r="R281"/>
      <c r="S281"/>
      <c r="T281" s="639"/>
      <c r="U281" s="639"/>
      <c r="V281" s="639"/>
      <c r="W281" s="639"/>
      <c r="X281" s="639"/>
      <c r="Y281" s="639"/>
      <c r="Z281" s="639"/>
      <c r="AA281" s="639"/>
      <c r="AB281" s="639"/>
      <c r="AC281" s="639"/>
      <c r="AD281" s="639"/>
      <c r="AE281" s="639"/>
      <c r="AF281" s="639"/>
      <c r="AG281" s="639"/>
    </row>
    <row r="282" spans="1:33" s="676" customFormat="1" ht="29" customHeight="1">
      <c r="A282" s="396">
        <v>162</v>
      </c>
      <c r="B282" s="240" t="s">
        <v>1155</v>
      </c>
      <c r="C282" s="137">
        <v>0</v>
      </c>
      <c r="D282" s="139">
        <v>4</v>
      </c>
      <c r="E282" s="140">
        <f>D282+C282</f>
        <v>4</v>
      </c>
      <c r="F282" s="138">
        <v>0</v>
      </c>
      <c r="G282" s="138" t="s">
        <v>56</v>
      </c>
      <c r="H282" s="142" t="s">
        <v>56</v>
      </c>
      <c r="I282" s="137">
        <v>0</v>
      </c>
      <c r="J282" s="138">
        <v>14</v>
      </c>
      <c r="K282" s="142">
        <f>J282+I282</f>
        <v>14</v>
      </c>
      <c r="L282" s="137" t="s">
        <v>56</v>
      </c>
      <c r="M282" s="138">
        <v>14</v>
      </c>
      <c r="N282" s="142">
        <f t="shared" si="56"/>
        <v>14</v>
      </c>
      <c r="O282" s="238" t="s">
        <v>2129</v>
      </c>
      <c r="P282" s="879">
        <v>162</v>
      </c>
      <c r="Q282" s="705"/>
      <c r="R282"/>
      <c r="S282"/>
      <c r="T282" s="639"/>
      <c r="U282" s="639"/>
      <c r="V282" s="639"/>
      <c r="W282" s="639"/>
      <c r="X282" s="639"/>
      <c r="Y282" s="639"/>
      <c r="Z282" s="639"/>
      <c r="AA282" s="639"/>
      <c r="AB282" s="639"/>
      <c r="AC282" s="639"/>
      <c r="AD282" s="639"/>
      <c r="AE282" s="639"/>
      <c r="AF282" s="639"/>
      <c r="AG282" s="639"/>
    </row>
    <row r="283" spans="1:33" s="676" customFormat="1" ht="18" customHeight="1">
      <c r="A283" s="325"/>
      <c r="B283" s="724" t="s">
        <v>1156</v>
      </c>
      <c r="C283" s="713"/>
      <c r="D283" s="134"/>
      <c r="E283" s="135"/>
      <c r="F283" s="714"/>
      <c r="G283" s="714"/>
      <c r="H283" s="141"/>
      <c r="I283" s="713"/>
      <c r="J283" s="1037"/>
      <c r="K283" s="141"/>
      <c r="L283" s="713"/>
      <c r="M283" s="714"/>
      <c r="N283" s="141"/>
      <c r="O283" s="743" t="s">
        <v>59</v>
      </c>
      <c r="P283" s="878"/>
      <c r="Q283" s="705"/>
      <c r="R283"/>
      <c r="S283"/>
      <c r="T283" s="639"/>
      <c r="U283" s="639"/>
      <c r="V283" s="639"/>
      <c r="W283" s="639"/>
      <c r="X283" s="639"/>
      <c r="Y283" s="639"/>
      <c r="Z283" s="639"/>
      <c r="AA283" s="639"/>
      <c r="AB283" s="639"/>
      <c r="AC283" s="639"/>
      <c r="AD283" s="639"/>
      <c r="AE283" s="639"/>
      <c r="AF283" s="639"/>
      <c r="AG283" s="639"/>
    </row>
    <row r="284" spans="1:33" s="676" customFormat="1" ht="28.5" customHeight="1">
      <c r="A284" s="396">
        <v>163</v>
      </c>
      <c r="B284" s="240" t="s">
        <v>1157</v>
      </c>
      <c r="C284" s="137">
        <v>0</v>
      </c>
      <c r="D284" s="139" t="s">
        <v>56</v>
      </c>
      <c r="E284" s="140" t="s">
        <v>56</v>
      </c>
      <c r="F284" s="138">
        <v>0</v>
      </c>
      <c r="G284" s="138">
        <v>21</v>
      </c>
      <c r="H284" s="142">
        <f>G284+F284</f>
        <v>21</v>
      </c>
      <c r="I284" s="137">
        <v>0</v>
      </c>
      <c r="J284" s="138">
        <v>20</v>
      </c>
      <c r="K284" s="142">
        <f t="shared" ref="K284:K290" si="57">J284+I284</f>
        <v>20</v>
      </c>
      <c r="L284" s="137" t="s">
        <v>56</v>
      </c>
      <c r="M284" s="138">
        <v>61</v>
      </c>
      <c r="N284" s="142">
        <f t="shared" ref="N284:N291" si="58">M284</f>
        <v>61</v>
      </c>
      <c r="O284" s="238" t="s">
        <v>2130</v>
      </c>
      <c r="P284" s="879">
        <v>163</v>
      </c>
      <c r="Q284" s="705"/>
      <c r="R284"/>
      <c r="S284"/>
      <c r="T284" s="639"/>
      <c r="U284" s="639"/>
      <c r="V284" s="639"/>
      <c r="W284" s="639"/>
      <c r="X284" s="639"/>
      <c r="Y284" s="639"/>
      <c r="Z284" s="639"/>
      <c r="AA284" s="639"/>
      <c r="AB284" s="639"/>
      <c r="AC284" s="639"/>
      <c r="AD284" s="639"/>
      <c r="AE284" s="639"/>
      <c r="AF284" s="639"/>
      <c r="AG284" s="639"/>
    </row>
    <row r="285" spans="1:33" ht="23.25" customHeight="1">
      <c r="A285" s="325">
        <v>164</v>
      </c>
      <c r="B285" s="271" t="s">
        <v>1227</v>
      </c>
      <c r="C285" s="713">
        <v>0</v>
      </c>
      <c r="D285" s="134" t="s">
        <v>56</v>
      </c>
      <c r="E285" s="135" t="s">
        <v>56</v>
      </c>
      <c r="F285" s="714">
        <v>0</v>
      </c>
      <c r="G285" s="714">
        <v>6</v>
      </c>
      <c r="H285" s="141">
        <f>G285+F285</f>
        <v>6</v>
      </c>
      <c r="I285" s="713">
        <v>0</v>
      </c>
      <c r="J285" s="714">
        <v>32</v>
      </c>
      <c r="K285" s="141">
        <f t="shared" si="57"/>
        <v>32</v>
      </c>
      <c r="L285" s="713" t="s">
        <v>56</v>
      </c>
      <c r="M285" s="714">
        <v>60</v>
      </c>
      <c r="N285" s="141">
        <f t="shared" si="58"/>
        <v>60</v>
      </c>
      <c r="O285" s="248" t="s">
        <v>2131</v>
      </c>
      <c r="P285" s="878">
        <v>164</v>
      </c>
      <c r="Q285" s="676"/>
      <c r="T285"/>
      <c r="U285"/>
      <c r="V285"/>
      <c r="W285"/>
      <c r="X285"/>
      <c r="Y285"/>
      <c r="Z285"/>
      <c r="AA285"/>
      <c r="AB285"/>
      <c r="AC285"/>
      <c r="AD285"/>
      <c r="AE285"/>
      <c r="AF285"/>
      <c r="AG285"/>
    </row>
    <row r="286" spans="1:33" ht="29" customHeight="1">
      <c r="A286" s="396">
        <v>165</v>
      </c>
      <c r="B286" s="241" t="s">
        <v>1158</v>
      </c>
      <c r="C286" s="137">
        <v>0</v>
      </c>
      <c r="D286" s="139">
        <v>1</v>
      </c>
      <c r="E286" s="140">
        <f t="shared" ref="E286:E291" si="59">D286+C286</f>
        <v>1</v>
      </c>
      <c r="F286" s="138">
        <v>0</v>
      </c>
      <c r="G286" s="138">
        <v>16</v>
      </c>
      <c r="H286" s="142">
        <f>G286+F286</f>
        <v>16</v>
      </c>
      <c r="I286" s="137">
        <v>0</v>
      </c>
      <c r="J286" s="138" t="s">
        <v>56</v>
      </c>
      <c r="K286" s="142" t="s">
        <v>56</v>
      </c>
      <c r="L286" s="137" t="s">
        <v>56</v>
      </c>
      <c r="M286" s="138">
        <v>53</v>
      </c>
      <c r="N286" s="142">
        <f t="shared" si="58"/>
        <v>53</v>
      </c>
      <c r="O286" s="247" t="s">
        <v>2132</v>
      </c>
      <c r="P286" s="879">
        <v>165</v>
      </c>
      <c r="Q286" s="705"/>
      <c r="T286"/>
      <c r="U286"/>
      <c r="V286"/>
      <c r="W286"/>
      <c r="X286"/>
      <c r="Y286"/>
      <c r="Z286"/>
      <c r="AA286"/>
      <c r="AB286"/>
      <c r="AC286"/>
      <c r="AD286"/>
      <c r="AE286"/>
      <c r="AF286"/>
      <c r="AG286"/>
    </row>
    <row r="287" spans="1:33" ht="29" customHeight="1">
      <c r="A287" s="325">
        <v>166</v>
      </c>
      <c r="B287" s="239" t="s">
        <v>1159</v>
      </c>
      <c r="C287" s="713">
        <v>0</v>
      </c>
      <c r="D287" s="134">
        <v>1</v>
      </c>
      <c r="E287" s="135">
        <f t="shared" si="59"/>
        <v>1</v>
      </c>
      <c r="F287" s="713">
        <v>0</v>
      </c>
      <c r="G287" s="714" t="s">
        <v>56</v>
      </c>
      <c r="H287" s="141" t="s">
        <v>56</v>
      </c>
      <c r="I287" s="713">
        <v>0</v>
      </c>
      <c r="J287" s="714">
        <v>14</v>
      </c>
      <c r="K287" s="141">
        <f t="shared" si="57"/>
        <v>14</v>
      </c>
      <c r="L287" s="713" t="s">
        <v>56</v>
      </c>
      <c r="M287" s="714">
        <v>37</v>
      </c>
      <c r="N287" s="141">
        <f t="shared" si="58"/>
        <v>37</v>
      </c>
      <c r="O287" s="643" t="s">
        <v>2133</v>
      </c>
      <c r="P287" s="878">
        <v>166</v>
      </c>
      <c r="Q287" s="705"/>
      <c r="T287"/>
      <c r="U287"/>
      <c r="V287"/>
      <c r="W287"/>
      <c r="X287"/>
      <c r="Y287"/>
      <c r="Z287"/>
      <c r="AA287"/>
      <c r="AB287"/>
      <c r="AC287"/>
      <c r="AD287"/>
      <c r="AE287"/>
      <c r="AF287"/>
      <c r="AG287"/>
    </row>
    <row r="288" spans="1:33" ht="29" customHeight="1">
      <c r="A288" s="396">
        <v>167</v>
      </c>
      <c r="B288" s="241" t="s">
        <v>1160</v>
      </c>
      <c r="C288" s="137">
        <v>0</v>
      </c>
      <c r="D288" s="139" t="s">
        <v>56</v>
      </c>
      <c r="E288" s="140" t="s">
        <v>56</v>
      </c>
      <c r="F288" s="138">
        <v>0</v>
      </c>
      <c r="G288" s="138">
        <v>8</v>
      </c>
      <c r="H288" s="142">
        <f>G288+F288</f>
        <v>8</v>
      </c>
      <c r="I288" s="137">
        <v>0</v>
      </c>
      <c r="J288" s="138">
        <v>34</v>
      </c>
      <c r="K288" s="142">
        <f t="shared" si="57"/>
        <v>34</v>
      </c>
      <c r="L288" s="137" t="s">
        <v>56</v>
      </c>
      <c r="M288" s="138">
        <v>55</v>
      </c>
      <c r="N288" s="142">
        <f t="shared" si="58"/>
        <v>55</v>
      </c>
      <c r="O288" s="247" t="s">
        <v>2134</v>
      </c>
      <c r="P288" s="879">
        <v>167</v>
      </c>
      <c r="Q288" s="705"/>
      <c r="T288"/>
      <c r="U288"/>
      <c r="V288"/>
      <c r="W288"/>
      <c r="X288"/>
      <c r="Y288"/>
      <c r="Z288"/>
      <c r="AA288"/>
      <c r="AB288"/>
      <c r="AC288"/>
      <c r="AD288"/>
      <c r="AE288"/>
      <c r="AF288"/>
      <c r="AG288"/>
    </row>
    <row r="289" spans="1:33" ht="29" customHeight="1">
      <c r="A289" s="325">
        <v>168</v>
      </c>
      <c r="B289" s="271" t="s">
        <v>1161</v>
      </c>
      <c r="C289" s="713">
        <v>0</v>
      </c>
      <c r="D289" s="134">
        <v>4</v>
      </c>
      <c r="E289" s="135">
        <f t="shared" si="59"/>
        <v>4</v>
      </c>
      <c r="F289" s="714">
        <v>0</v>
      </c>
      <c r="G289" s="714">
        <v>33</v>
      </c>
      <c r="H289" s="141">
        <f>G289+F289</f>
        <v>33</v>
      </c>
      <c r="I289" s="713">
        <v>0</v>
      </c>
      <c r="J289" s="714">
        <v>12</v>
      </c>
      <c r="K289" s="141">
        <f t="shared" si="57"/>
        <v>12</v>
      </c>
      <c r="L289" s="713" t="s">
        <v>56</v>
      </c>
      <c r="M289" s="714">
        <v>120</v>
      </c>
      <c r="N289" s="141">
        <f t="shared" si="58"/>
        <v>120</v>
      </c>
      <c r="O289" s="248" t="s">
        <v>2135</v>
      </c>
      <c r="P289" s="878">
        <v>168</v>
      </c>
      <c r="Q289" s="705"/>
      <c r="T289"/>
      <c r="U289"/>
      <c r="V289"/>
      <c r="W289"/>
      <c r="X289"/>
      <c r="Y289"/>
      <c r="Z289"/>
      <c r="AA289"/>
      <c r="AB289"/>
      <c r="AC289"/>
      <c r="AD289"/>
      <c r="AE289"/>
      <c r="AF289"/>
      <c r="AG289"/>
    </row>
    <row r="290" spans="1:33" ht="29" customHeight="1">
      <c r="A290" s="396">
        <v>169</v>
      </c>
      <c r="B290" s="241" t="s">
        <v>1220</v>
      </c>
      <c r="C290" s="137">
        <v>0</v>
      </c>
      <c r="D290" s="139">
        <v>4</v>
      </c>
      <c r="E290" s="140">
        <f t="shared" si="59"/>
        <v>4</v>
      </c>
      <c r="F290" s="138">
        <v>0</v>
      </c>
      <c r="G290" s="138">
        <v>16</v>
      </c>
      <c r="H290" s="142">
        <f>G290+F290</f>
        <v>16</v>
      </c>
      <c r="I290" s="137">
        <v>2</v>
      </c>
      <c r="J290" s="138">
        <v>14</v>
      </c>
      <c r="K290" s="142">
        <f t="shared" si="57"/>
        <v>16</v>
      </c>
      <c r="L290" s="137" t="s">
        <v>56</v>
      </c>
      <c r="M290" s="138">
        <v>57</v>
      </c>
      <c r="N290" s="142">
        <f t="shared" si="58"/>
        <v>57</v>
      </c>
      <c r="O290" s="247" t="s">
        <v>2136</v>
      </c>
      <c r="P290" s="879">
        <v>169</v>
      </c>
      <c r="Q290" s="705"/>
      <c r="T290"/>
      <c r="U290"/>
      <c r="V290"/>
      <c r="W290"/>
      <c r="X290"/>
      <c r="Y290"/>
      <c r="Z290"/>
      <c r="AA290"/>
      <c r="AB290"/>
      <c r="AC290"/>
      <c r="AD290"/>
      <c r="AE290"/>
      <c r="AF290"/>
      <c r="AG290"/>
    </row>
    <row r="291" spans="1:33" ht="29" customHeight="1">
      <c r="A291" s="325">
        <v>170</v>
      </c>
      <c r="B291" s="271" t="s">
        <v>1162</v>
      </c>
      <c r="C291" s="713">
        <v>0</v>
      </c>
      <c r="D291" s="134">
        <v>2</v>
      </c>
      <c r="E291" s="135">
        <f t="shared" si="59"/>
        <v>2</v>
      </c>
      <c r="F291" s="714">
        <v>0</v>
      </c>
      <c r="G291" s="714">
        <v>9</v>
      </c>
      <c r="H291" s="141">
        <f>G291+F291</f>
        <v>9</v>
      </c>
      <c r="I291" s="713">
        <v>0</v>
      </c>
      <c r="J291" s="714" t="s">
        <v>56</v>
      </c>
      <c r="K291" s="141" t="s">
        <v>56</v>
      </c>
      <c r="L291" s="713" t="s">
        <v>56</v>
      </c>
      <c r="M291" s="714">
        <v>38</v>
      </c>
      <c r="N291" s="141">
        <f t="shared" si="58"/>
        <v>38</v>
      </c>
      <c r="O291" s="248" t="s">
        <v>2137</v>
      </c>
      <c r="P291" s="878">
        <v>170</v>
      </c>
      <c r="Q291" s="705"/>
      <c r="T291"/>
      <c r="U291"/>
      <c r="V291"/>
      <c r="W291"/>
      <c r="X291"/>
      <c r="Y291"/>
      <c r="Z291"/>
      <c r="AA291"/>
      <c r="AB291"/>
      <c r="AC291"/>
      <c r="AD291"/>
      <c r="AE291"/>
      <c r="AF291"/>
      <c r="AG291"/>
    </row>
    <row r="292" spans="1:33" ht="29" customHeight="1">
      <c r="A292" s="396">
        <v>171</v>
      </c>
      <c r="B292" s="241" t="s">
        <v>1041</v>
      </c>
      <c r="C292" s="137">
        <v>0</v>
      </c>
      <c r="D292" s="139" t="s">
        <v>56</v>
      </c>
      <c r="E292" s="140" t="s">
        <v>56</v>
      </c>
      <c r="F292" s="138">
        <v>0</v>
      </c>
      <c r="G292" s="138" t="s">
        <v>56</v>
      </c>
      <c r="H292" s="142" t="s">
        <v>56</v>
      </c>
      <c r="I292" s="137">
        <v>0</v>
      </c>
      <c r="J292" s="138" t="s">
        <v>56</v>
      </c>
      <c r="K292" s="142" t="s">
        <v>56</v>
      </c>
      <c r="L292" s="137">
        <v>2</v>
      </c>
      <c r="M292" s="138">
        <v>25</v>
      </c>
      <c r="N292" s="142">
        <f t="shared" ref="N292" si="60">M292+L292</f>
        <v>27</v>
      </c>
      <c r="O292" s="247" t="s">
        <v>2015</v>
      </c>
      <c r="P292" s="879">
        <v>171</v>
      </c>
      <c r="Q292" s="705"/>
      <c r="T292"/>
      <c r="U292"/>
      <c r="V292"/>
      <c r="W292"/>
      <c r="X292"/>
      <c r="Y292"/>
      <c r="Z292"/>
      <c r="AA292"/>
      <c r="AB292"/>
      <c r="AC292"/>
      <c r="AD292"/>
      <c r="AE292"/>
      <c r="AF292"/>
      <c r="AG292"/>
    </row>
    <row r="293" spans="1:33" ht="24" customHeight="1">
      <c r="A293" s="325"/>
      <c r="B293" s="843" t="s">
        <v>158</v>
      </c>
      <c r="C293" s="713"/>
      <c r="D293" s="134"/>
      <c r="E293" s="135"/>
      <c r="F293" s="714"/>
      <c r="G293" s="714"/>
      <c r="H293" s="141"/>
      <c r="I293" s="713"/>
      <c r="J293" s="1037"/>
      <c r="K293" s="141"/>
      <c r="L293" s="713"/>
      <c r="M293" s="714"/>
      <c r="N293" s="141"/>
      <c r="O293" s="743" t="s">
        <v>50</v>
      </c>
      <c r="P293" s="878"/>
      <c r="Q293" s="705"/>
      <c r="T293"/>
      <c r="U293"/>
      <c r="V293"/>
      <c r="W293"/>
      <c r="X293"/>
      <c r="Y293"/>
      <c r="Z293"/>
      <c r="AA293"/>
      <c r="AB293"/>
      <c r="AC293"/>
      <c r="AD293"/>
      <c r="AE293"/>
      <c r="AF293"/>
      <c r="AG293"/>
    </row>
    <row r="294" spans="1:33" ht="29" customHeight="1">
      <c r="A294" s="396">
        <v>172</v>
      </c>
      <c r="B294" s="241" t="s">
        <v>1253</v>
      </c>
      <c r="C294" s="137">
        <v>1</v>
      </c>
      <c r="D294" s="139" t="s">
        <v>56</v>
      </c>
      <c r="E294" s="140">
        <v>1</v>
      </c>
      <c r="F294" s="138">
        <v>0</v>
      </c>
      <c r="G294" s="138" t="s">
        <v>56</v>
      </c>
      <c r="H294" s="142" t="s">
        <v>56</v>
      </c>
      <c r="I294" s="137">
        <v>0</v>
      </c>
      <c r="J294" s="138" t="s">
        <v>56</v>
      </c>
      <c r="K294" s="142" t="s">
        <v>56</v>
      </c>
      <c r="L294" s="137" t="s">
        <v>56</v>
      </c>
      <c r="M294" s="138" t="s">
        <v>56</v>
      </c>
      <c r="N294" s="142" t="s">
        <v>56</v>
      </c>
      <c r="O294" s="247" t="s">
        <v>2138</v>
      </c>
      <c r="P294" s="879">
        <v>172</v>
      </c>
      <c r="Q294" s="705"/>
      <c r="T294"/>
      <c r="U294"/>
      <c r="V294"/>
      <c r="W294"/>
      <c r="X294"/>
      <c r="Y294"/>
      <c r="Z294"/>
      <c r="AA294"/>
      <c r="AB294"/>
      <c r="AC294"/>
      <c r="AD294"/>
      <c r="AE294"/>
      <c r="AF294"/>
      <c r="AG294"/>
    </row>
    <row r="295" spans="1:33" ht="24" customHeight="1">
      <c r="A295" s="325">
        <v>173</v>
      </c>
      <c r="B295" s="271" t="s">
        <v>1163</v>
      </c>
      <c r="C295" s="713">
        <v>0</v>
      </c>
      <c r="D295" s="134">
        <v>3</v>
      </c>
      <c r="E295" s="135">
        <f>D295+C295</f>
        <v>3</v>
      </c>
      <c r="F295" s="713">
        <v>0</v>
      </c>
      <c r="G295" s="714">
        <v>10</v>
      </c>
      <c r="H295" s="141">
        <f>G295+F295</f>
        <v>10</v>
      </c>
      <c r="I295" s="713">
        <v>0</v>
      </c>
      <c r="J295" s="714">
        <v>10</v>
      </c>
      <c r="K295" s="141">
        <f>J295+I295</f>
        <v>10</v>
      </c>
      <c r="L295" s="713" t="s">
        <v>56</v>
      </c>
      <c r="M295" s="714">
        <v>32</v>
      </c>
      <c r="N295" s="141">
        <f t="shared" ref="N295:N298" si="61">M295</f>
        <v>32</v>
      </c>
      <c r="O295" s="248" t="s">
        <v>2139</v>
      </c>
      <c r="P295" s="878">
        <v>173</v>
      </c>
      <c r="Q295" s="705"/>
      <c r="T295"/>
      <c r="U295"/>
      <c r="V295"/>
      <c r="W295"/>
      <c r="X295"/>
      <c r="Y295"/>
      <c r="Z295"/>
      <c r="AA295"/>
      <c r="AB295"/>
      <c r="AC295"/>
      <c r="AD295"/>
      <c r="AE295"/>
      <c r="AF295"/>
      <c r="AG295"/>
    </row>
    <row r="296" spans="1:33" ht="28" customHeight="1">
      <c r="A296" s="396">
        <v>174</v>
      </c>
      <c r="B296" s="241" t="s">
        <v>1164</v>
      </c>
      <c r="C296" s="137">
        <v>0</v>
      </c>
      <c r="D296" s="139">
        <v>2</v>
      </c>
      <c r="E296" s="140">
        <f>D296+C296</f>
        <v>2</v>
      </c>
      <c r="F296" s="137">
        <v>0</v>
      </c>
      <c r="G296" s="138">
        <v>7</v>
      </c>
      <c r="H296" s="142">
        <f>G296+F296</f>
        <v>7</v>
      </c>
      <c r="I296" s="137">
        <v>0</v>
      </c>
      <c r="J296" s="138">
        <v>15</v>
      </c>
      <c r="K296" s="142">
        <f>J296+I296</f>
        <v>15</v>
      </c>
      <c r="L296" s="137" t="s">
        <v>56</v>
      </c>
      <c r="M296" s="138">
        <v>22</v>
      </c>
      <c r="N296" s="142">
        <f t="shared" si="61"/>
        <v>22</v>
      </c>
      <c r="O296" s="247" t="s">
        <v>2140</v>
      </c>
      <c r="P296" s="879">
        <v>174</v>
      </c>
      <c r="Q296" s="705"/>
      <c r="T296"/>
      <c r="U296"/>
      <c r="V296"/>
      <c r="W296"/>
      <c r="X296"/>
      <c r="Y296"/>
      <c r="Z296"/>
      <c r="AA296"/>
      <c r="AB296"/>
      <c r="AC296"/>
      <c r="AD296"/>
      <c r="AE296"/>
      <c r="AF296"/>
      <c r="AG296"/>
    </row>
    <row r="297" spans="1:33" ht="28" customHeight="1">
      <c r="A297" s="325">
        <v>175</v>
      </c>
      <c r="B297" s="271" t="s">
        <v>1165</v>
      </c>
      <c r="C297" s="713">
        <v>0</v>
      </c>
      <c r="D297" s="134">
        <v>1</v>
      </c>
      <c r="E297" s="135">
        <f>D297+C297</f>
        <v>1</v>
      </c>
      <c r="F297" s="713">
        <v>0</v>
      </c>
      <c r="G297" s="714">
        <v>13</v>
      </c>
      <c r="H297" s="141">
        <f>G297+F297</f>
        <v>13</v>
      </c>
      <c r="I297" s="713">
        <v>0</v>
      </c>
      <c r="J297" s="714">
        <v>10</v>
      </c>
      <c r="K297" s="141">
        <f>J297+I297</f>
        <v>10</v>
      </c>
      <c r="L297" s="713" t="s">
        <v>56</v>
      </c>
      <c r="M297" s="714">
        <v>37</v>
      </c>
      <c r="N297" s="141">
        <f t="shared" si="61"/>
        <v>37</v>
      </c>
      <c r="O297" s="248" t="s">
        <v>2141</v>
      </c>
      <c r="P297" s="878">
        <v>175</v>
      </c>
      <c r="Q297" s="705"/>
      <c r="T297"/>
      <c r="U297"/>
      <c r="V297"/>
      <c r="W297"/>
      <c r="X297"/>
      <c r="Y297"/>
      <c r="Z297"/>
      <c r="AA297"/>
      <c r="AB297"/>
      <c r="AC297"/>
      <c r="AD297"/>
      <c r="AE297"/>
      <c r="AF297"/>
      <c r="AG297"/>
    </row>
    <row r="298" spans="1:33" ht="24" customHeight="1">
      <c r="A298" s="397">
        <v>176</v>
      </c>
      <c r="B298" s="297" t="s">
        <v>1166</v>
      </c>
      <c r="C298" s="364">
        <v>0</v>
      </c>
      <c r="D298" s="365">
        <v>1</v>
      </c>
      <c r="E298" s="366">
        <f>D298+C298</f>
        <v>1</v>
      </c>
      <c r="F298" s="364">
        <v>0</v>
      </c>
      <c r="G298" s="367">
        <v>8</v>
      </c>
      <c r="H298" s="368">
        <f>G298+F298</f>
        <v>8</v>
      </c>
      <c r="I298" s="364">
        <v>0</v>
      </c>
      <c r="J298" s="367">
        <v>11</v>
      </c>
      <c r="K298" s="368">
        <f>J298+I298</f>
        <v>11</v>
      </c>
      <c r="L298" s="364" t="s">
        <v>56</v>
      </c>
      <c r="M298" s="367">
        <v>29</v>
      </c>
      <c r="N298" s="368">
        <f t="shared" si="61"/>
        <v>29</v>
      </c>
      <c r="O298" s="1013" t="s">
        <v>2142</v>
      </c>
      <c r="P298" s="880">
        <v>176</v>
      </c>
      <c r="Q298" s="705"/>
      <c r="T298"/>
      <c r="U298"/>
      <c r="V298"/>
      <c r="W298"/>
      <c r="X298"/>
      <c r="Y298"/>
      <c r="Z298"/>
      <c r="AA298"/>
      <c r="AB298"/>
      <c r="AC298"/>
      <c r="AD298"/>
      <c r="AE298"/>
      <c r="AF298"/>
      <c r="AG298"/>
    </row>
    <row r="299" spans="1:33" ht="15" customHeight="1">
      <c r="A299" s="1501" t="s">
        <v>2148</v>
      </c>
      <c r="B299" s="1501"/>
      <c r="C299" s="1501"/>
      <c r="D299" s="1501"/>
      <c r="E299" s="1501"/>
      <c r="F299" s="1501"/>
      <c r="G299" s="1501"/>
      <c r="H299" s="1501"/>
      <c r="I299" s="1501"/>
      <c r="J299" s="1502" t="s">
        <v>1974</v>
      </c>
      <c r="K299" s="1502"/>
      <c r="L299" s="1502"/>
      <c r="M299" s="1502"/>
      <c r="N299" s="1502"/>
      <c r="O299" s="1502"/>
      <c r="P299" s="1502"/>
      <c r="Q299" s="705"/>
      <c r="T299"/>
      <c r="U299"/>
      <c r="V299"/>
      <c r="W299"/>
      <c r="X299"/>
      <c r="Y299"/>
      <c r="Z299"/>
      <c r="AA299"/>
      <c r="AB299"/>
      <c r="AC299"/>
      <c r="AD299"/>
      <c r="AE299"/>
      <c r="AF299"/>
      <c r="AG299"/>
    </row>
    <row r="300" spans="1:33" ht="11.25" customHeight="1">
      <c r="A300"/>
      <c r="B300"/>
      <c r="C300"/>
      <c r="D300"/>
      <c r="E300"/>
      <c r="F300"/>
      <c r="G300"/>
      <c r="H300"/>
      <c r="I300"/>
      <c r="J300"/>
      <c r="K300"/>
      <c r="L300"/>
      <c r="M300"/>
      <c r="N300"/>
      <c r="O300"/>
      <c r="P300" t="s">
        <v>2166</v>
      </c>
      <c r="Q300" s="705"/>
      <c r="T300"/>
      <c r="U300"/>
      <c r="V300"/>
      <c r="W300"/>
      <c r="X300"/>
      <c r="Y300"/>
      <c r="Z300"/>
      <c r="AA300"/>
      <c r="AB300"/>
      <c r="AC300"/>
      <c r="AD300"/>
      <c r="AE300"/>
      <c r="AF300"/>
      <c r="AG300"/>
    </row>
    <row r="301" spans="1:33" ht="18" customHeight="1">
      <c r="A301" t="s">
        <v>2165</v>
      </c>
      <c r="B301"/>
      <c r="C301"/>
      <c r="D301"/>
      <c r="E301"/>
      <c r="F301"/>
      <c r="G301"/>
      <c r="H301"/>
      <c r="I301"/>
      <c r="J301"/>
      <c r="K301"/>
      <c r="L301"/>
      <c r="M301"/>
      <c r="N301"/>
      <c r="P301"/>
      <c r="Q301" s="705"/>
      <c r="T301"/>
      <c r="U301"/>
      <c r="V301"/>
      <c r="W301"/>
      <c r="X301"/>
      <c r="Y301"/>
      <c r="Z301"/>
      <c r="AA301"/>
      <c r="AB301"/>
      <c r="AC301"/>
      <c r="AD301"/>
      <c r="AE301"/>
      <c r="AF301"/>
      <c r="AG301"/>
    </row>
    <row r="302" spans="1:33" ht="30" customHeight="1">
      <c r="B302"/>
      <c r="C302"/>
      <c r="D302"/>
      <c r="E302"/>
      <c r="F302"/>
      <c r="G302"/>
      <c r="H302"/>
      <c r="I302"/>
      <c r="J302"/>
      <c r="K302"/>
      <c r="L302"/>
      <c r="M302"/>
      <c r="N302"/>
      <c r="O302"/>
      <c r="Q302" s="705"/>
      <c r="T302"/>
      <c r="U302"/>
      <c r="V302"/>
      <c r="W302"/>
      <c r="X302"/>
      <c r="Y302"/>
      <c r="Z302"/>
      <c r="AA302"/>
      <c r="AB302"/>
      <c r="AC302"/>
      <c r="AD302"/>
      <c r="AE302"/>
      <c r="AF302"/>
      <c r="AG302"/>
    </row>
    <row r="303" spans="1:33" ht="18" customHeight="1">
      <c r="A303"/>
      <c r="B303"/>
      <c r="C303"/>
      <c r="D303"/>
      <c r="E303"/>
      <c r="F303"/>
      <c r="G303"/>
      <c r="H303"/>
      <c r="I303"/>
      <c r="J303"/>
      <c r="K303"/>
      <c r="L303"/>
      <c r="M303"/>
      <c r="N303"/>
      <c r="O303"/>
      <c r="P303"/>
      <c r="Q303" s="705"/>
      <c r="T303"/>
      <c r="U303"/>
      <c r="V303"/>
      <c r="W303"/>
      <c r="X303"/>
      <c r="Y303"/>
      <c r="Z303"/>
      <c r="AA303"/>
      <c r="AB303"/>
      <c r="AC303"/>
      <c r="AD303"/>
      <c r="AE303"/>
      <c r="AF303"/>
      <c r="AG303"/>
    </row>
    <row r="304" spans="1:33" ht="18" customHeight="1">
      <c r="A304"/>
      <c r="B304"/>
      <c r="C304"/>
      <c r="D304"/>
      <c r="E304"/>
      <c r="F304"/>
      <c r="G304"/>
      <c r="H304"/>
      <c r="I304"/>
      <c r="J304"/>
      <c r="K304"/>
      <c r="L304"/>
      <c r="M304"/>
      <c r="N304"/>
      <c r="O304"/>
      <c r="P304"/>
      <c r="Q304" s="705"/>
      <c r="T304"/>
      <c r="U304"/>
      <c r="V304"/>
      <c r="W304"/>
      <c r="X304"/>
      <c r="Y304"/>
      <c r="Z304"/>
      <c r="AA304"/>
      <c r="AB304"/>
      <c r="AC304"/>
      <c r="AD304"/>
      <c r="AE304"/>
      <c r="AF304"/>
      <c r="AG304"/>
    </row>
    <row r="305" spans="1:33" ht="20" customHeight="1">
      <c r="A305"/>
      <c r="B305"/>
      <c r="C305"/>
      <c r="D305"/>
      <c r="E305"/>
      <c r="F305"/>
      <c r="G305"/>
      <c r="H305"/>
      <c r="I305"/>
      <c r="J305"/>
      <c r="K305"/>
      <c r="L305"/>
      <c r="M305"/>
      <c r="N305"/>
      <c r="O305"/>
      <c r="P305"/>
      <c r="Q305" s="705"/>
      <c r="T305"/>
      <c r="U305"/>
      <c r="V305"/>
      <c r="W305"/>
      <c r="X305"/>
      <c r="Y305"/>
      <c r="Z305"/>
      <c r="AA305"/>
      <c r="AB305"/>
      <c r="AC305"/>
      <c r="AD305"/>
      <c r="AE305"/>
      <c r="AF305"/>
      <c r="AG305"/>
    </row>
    <row r="311" spans="1:33" ht="35" customHeight="1">
      <c r="Q311" s="676"/>
      <c r="T311"/>
      <c r="U311"/>
      <c r="V311"/>
      <c r="W311"/>
      <c r="X311"/>
      <c r="Y311"/>
      <c r="Z311"/>
      <c r="AA311"/>
      <c r="AB311"/>
      <c r="AC311"/>
      <c r="AD311"/>
      <c r="AE311"/>
      <c r="AF311"/>
      <c r="AG311"/>
    </row>
    <row r="312" spans="1:33" ht="35" customHeight="1">
      <c r="Q312" s="676"/>
      <c r="T312"/>
      <c r="U312"/>
      <c r="V312"/>
      <c r="W312"/>
      <c r="X312"/>
      <c r="Y312"/>
      <c r="Z312"/>
      <c r="AA312"/>
      <c r="AB312"/>
      <c r="AC312"/>
      <c r="AD312"/>
      <c r="AE312"/>
      <c r="AF312"/>
      <c r="AG312"/>
    </row>
    <row r="313" spans="1:33" ht="35" customHeight="1">
      <c r="Q313" s="705"/>
      <c r="T313"/>
      <c r="U313"/>
      <c r="V313"/>
      <c r="W313"/>
      <c r="X313"/>
      <c r="Y313"/>
      <c r="Z313"/>
      <c r="AA313"/>
      <c r="AB313"/>
      <c r="AC313"/>
      <c r="AD313"/>
      <c r="AE313"/>
      <c r="AF313"/>
      <c r="AG313"/>
    </row>
    <row r="314" spans="1:33" ht="35" customHeight="1"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705"/>
      <c r="T314"/>
      <c r="U314"/>
      <c r="V314"/>
      <c r="W314"/>
      <c r="X314"/>
      <c r="Y314"/>
      <c r="Z314"/>
      <c r="AA314"/>
      <c r="AB314"/>
      <c r="AC314"/>
      <c r="AD314"/>
      <c r="AE314"/>
      <c r="AF314"/>
      <c r="AG314"/>
    </row>
    <row r="315" spans="1:33" ht="35" customHeight="1"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705"/>
      <c r="T315"/>
      <c r="U315"/>
      <c r="V315"/>
      <c r="W315"/>
      <c r="X315"/>
      <c r="Y315"/>
      <c r="Z315"/>
      <c r="AA315"/>
      <c r="AB315"/>
      <c r="AC315"/>
      <c r="AD315"/>
      <c r="AE315"/>
      <c r="AF315"/>
      <c r="AG315"/>
    </row>
    <row r="316" spans="1:33" ht="35" customHeight="1"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705"/>
      <c r="T316"/>
      <c r="U316"/>
      <c r="V316"/>
      <c r="W316"/>
      <c r="X316"/>
      <c r="Y316"/>
      <c r="Z316"/>
      <c r="AA316"/>
      <c r="AB316"/>
      <c r="AC316"/>
      <c r="AD316"/>
      <c r="AE316"/>
      <c r="AF316"/>
      <c r="AG316"/>
    </row>
    <row r="317" spans="1:33" ht="20" customHeight="1"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T317"/>
      <c r="U317"/>
      <c r="V317"/>
      <c r="W317"/>
      <c r="X317"/>
      <c r="Y317"/>
      <c r="Z317"/>
      <c r="AA317"/>
      <c r="AB317"/>
      <c r="AC317"/>
      <c r="AD317"/>
      <c r="AE317"/>
      <c r="AF317"/>
      <c r="AG317"/>
    </row>
    <row r="318" spans="1:33" ht="20" customHeight="1">
      <c r="O318" s="1519"/>
      <c r="P318" s="1519"/>
      <c r="T318"/>
      <c r="U318"/>
      <c r="V318"/>
      <c r="W318"/>
      <c r="X318"/>
      <c r="Y318"/>
      <c r="Z318"/>
      <c r="AA318"/>
      <c r="AB318"/>
      <c r="AC318"/>
      <c r="AD318"/>
      <c r="AE318"/>
      <c r="AF318"/>
      <c r="AG318"/>
    </row>
    <row r="319" spans="1:33" ht="15" customHeight="1">
      <c r="T319"/>
      <c r="U319"/>
      <c r="V319"/>
      <c r="W319"/>
      <c r="X319"/>
      <c r="Y319"/>
      <c r="Z319"/>
      <c r="AA319"/>
      <c r="AB319"/>
      <c r="AC319"/>
      <c r="AD319"/>
      <c r="AE319"/>
      <c r="AF319"/>
      <c r="AG319"/>
    </row>
    <row r="320" spans="1:33">
      <c r="T320"/>
      <c r="U320"/>
      <c r="V320"/>
      <c r="W320"/>
      <c r="X320"/>
      <c r="Y320"/>
      <c r="Z320"/>
      <c r="AA320"/>
      <c r="AB320"/>
      <c r="AC320"/>
      <c r="AD320"/>
      <c r="AE320"/>
      <c r="AF320"/>
      <c r="AG320"/>
    </row>
    <row r="322" spans="2:20" ht="36" customHeight="1"/>
    <row r="323" spans="2:20" ht="41.25" customHeight="1"/>
    <row r="324" spans="2:20" ht="44.25" customHeight="1"/>
    <row r="325" spans="2:20" ht="43.5" customHeight="1"/>
    <row r="326" spans="2:20" ht="36" customHeight="1"/>
    <row r="327" spans="2:20" ht="36" customHeight="1"/>
    <row r="328" spans="2:20" ht="42.75" customHeight="1">
      <c r="Q328" s="17"/>
      <c r="T328" s="17"/>
    </row>
    <row r="329" spans="2:20" s="196" customFormat="1" ht="36" customHeight="1">
      <c r="R329"/>
      <c r="S329"/>
    </row>
    <row r="330" spans="2:20" s="196" customFormat="1" ht="44.25" customHeight="1">
      <c r="R330"/>
      <c r="S330"/>
    </row>
    <row r="331" spans="2:20" ht="34" customHeight="1"/>
    <row r="332" spans="2:20" ht="34" customHeight="1">
      <c r="B332" s="537"/>
      <c r="C332" s="537"/>
      <c r="D332" s="537"/>
      <c r="E332" s="537"/>
      <c r="F332" s="537"/>
      <c r="G332" s="537"/>
      <c r="H332" s="537"/>
      <c r="I332" s="537"/>
      <c r="J332" s="537"/>
      <c r="K332" s="537"/>
      <c r="L332" s="537"/>
      <c r="M332" s="537"/>
      <c r="N332" s="537"/>
      <c r="O332" s="537"/>
      <c r="P332" s="537"/>
    </row>
    <row r="333" spans="2:20" ht="34" customHeight="1">
      <c r="D333" s="399"/>
      <c r="E333" s="399"/>
      <c r="F333" s="1492"/>
      <c r="G333" s="1492"/>
      <c r="H333" s="1492"/>
      <c r="I333" s="1492"/>
      <c r="J333" s="1492"/>
      <c r="K333" s="1492"/>
      <c r="L333" s="1492"/>
      <c r="M333" s="1492"/>
      <c r="N333" s="1492"/>
      <c r="O333" s="399"/>
      <c r="P333" s="18"/>
    </row>
    <row r="334" spans="2:20" ht="34" customHeight="1">
      <c r="D334" s="399"/>
      <c r="E334" s="399"/>
      <c r="F334" s="1492"/>
      <c r="G334" s="1492"/>
      <c r="H334" s="1492"/>
      <c r="I334" s="1492"/>
      <c r="J334" s="1492"/>
      <c r="K334" s="1492"/>
      <c r="L334" s="1492"/>
      <c r="M334" s="1492"/>
      <c r="N334" s="1492"/>
      <c r="O334" s="399"/>
      <c r="P334" s="18"/>
    </row>
    <row r="335" spans="2:20" ht="34" customHeight="1">
      <c r="D335" s="399"/>
      <c r="E335" s="399"/>
      <c r="F335" s="1492"/>
      <c r="G335" s="1492"/>
      <c r="H335" s="1492"/>
      <c r="I335" s="1492"/>
      <c r="J335" s="1492"/>
      <c r="K335" s="1492"/>
      <c r="L335" s="1492"/>
      <c r="M335" s="1492"/>
      <c r="N335" s="1492"/>
      <c r="O335" s="399"/>
      <c r="P335" s="18"/>
    </row>
    <row r="336" spans="2:20" ht="34" customHeight="1">
      <c r="D336" s="399"/>
      <c r="E336" s="399"/>
      <c r="F336" s="1492"/>
      <c r="G336" s="1492"/>
      <c r="H336" s="1492"/>
      <c r="I336" s="1492"/>
      <c r="J336" s="1492"/>
      <c r="K336" s="1492"/>
      <c r="L336" s="1492"/>
      <c r="M336" s="1492"/>
      <c r="N336" s="1492"/>
      <c r="O336" s="399"/>
      <c r="P336" s="18"/>
    </row>
    <row r="337" spans="4:16" ht="34" customHeight="1">
      <c r="D337" s="399"/>
      <c r="E337" s="399"/>
      <c r="F337" s="1492"/>
      <c r="G337" s="1492"/>
      <c r="H337" s="1492"/>
      <c r="I337" s="1492"/>
      <c r="J337" s="1492"/>
      <c r="K337" s="1492"/>
      <c r="L337" s="1492"/>
      <c r="M337" s="1492"/>
      <c r="N337" s="1492"/>
      <c r="O337" s="399"/>
      <c r="P337" s="18"/>
    </row>
    <row r="338" spans="4:16" ht="34" customHeight="1">
      <c r="D338" s="399"/>
      <c r="E338" s="399"/>
      <c r="F338" s="1492"/>
      <c r="G338" s="1492"/>
      <c r="H338" s="1492"/>
      <c r="I338" s="1492"/>
      <c r="J338" s="1492"/>
      <c r="K338" s="1492"/>
      <c r="L338" s="1492"/>
      <c r="M338" s="1492"/>
      <c r="N338" s="1492"/>
      <c r="O338" s="399"/>
      <c r="P338" s="18"/>
    </row>
    <row r="339" spans="4:16" ht="34" customHeight="1">
      <c r="D339" s="399"/>
      <c r="E339" s="399"/>
      <c r="F339" s="1492"/>
      <c r="G339" s="1492"/>
      <c r="H339" s="1492"/>
      <c r="I339" s="1492"/>
      <c r="J339" s="1492"/>
      <c r="K339" s="1492"/>
      <c r="L339" s="1492"/>
      <c r="M339" s="1492"/>
      <c r="N339" s="1492"/>
      <c r="O339" s="399"/>
      <c r="P339" s="18"/>
    </row>
    <row r="340" spans="4:16" ht="34" customHeight="1">
      <c r="D340" s="399"/>
      <c r="E340" s="399"/>
      <c r="F340" s="1492"/>
      <c r="G340" s="1492"/>
      <c r="H340" s="1492"/>
      <c r="I340" s="1492"/>
      <c r="J340" s="1492"/>
      <c r="K340" s="1492"/>
      <c r="L340" s="1492"/>
      <c r="M340" s="1492"/>
      <c r="N340" s="1492"/>
      <c r="O340" s="399"/>
      <c r="P340" s="18"/>
    </row>
    <row r="341" spans="4:16" ht="34" customHeight="1">
      <c r="D341" s="399"/>
      <c r="E341" s="399"/>
      <c r="F341" s="1492"/>
      <c r="G341" s="1492"/>
      <c r="H341" s="1492"/>
      <c r="I341" s="1492"/>
      <c r="J341" s="1492"/>
      <c r="K341" s="1492"/>
      <c r="L341" s="1492"/>
      <c r="M341" s="1492"/>
      <c r="N341" s="1492"/>
      <c r="O341" s="399"/>
      <c r="P341" s="18"/>
    </row>
    <row r="342" spans="4:16" ht="34" customHeight="1">
      <c r="D342" s="399"/>
      <c r="E342" s="399"/>
      <c r="F342" s="1492"/>
      <c r="G342" s="1492"/>
      <c r="H342" s="1492"/>
      <c r="I342" s="1492"/>
      <c r="J342" s="1492"/>
      <c r="K342" s="1492"/>
      <c r="L342" s="1492"/>
      <c r="M342" s="1492"/>
      <c r="N342" s="1492"/>
      <c r="O342" s="399"/>
      <c r="P342" s="18"/>
    </row>
    <row r="343" spans="4:16" ht="34" customHeight="1">
      <c r="D343" s="18"/>
      <c r="E343" s="18"/>
      <c r="F343" s="1500"/>
      <c r="G343" s="1500"/>
      <c r="H343" s="1492"/>
      <c r="I343" s="1492"/>
      <c r="J343" s="1492"/>
      <c r="K343" s="1492"/>
      <c r="L343" s="1492"/>
      <c r="M343" s="1492"/>
      <c r="N343" s="1492"/>
      <c r="O343" s="399"/>
      <c r="P343" s="18"/>
    </row>
    <row r="344" spans="4:16" ht="34" customHeight="1">
      <c r="D344" s="18"/>
      <c r="E344" s="18"/>
      <c r="F344" s="1500"/>
      <c r="G344" s="1500"/>
      <c r="H344" s="1492"/>
      <c r="I344" s="1492"/>
      <c r="J344" s="1492"/>
      <c r="K344" s="1492"/>
      <c r="L344" s="1492"/>
      <c r="M344" s="1492"/>
      <c r="N344" s="1492"/>
      <c r="O344" s="399"/>
      <c r="P344" s="18"/>
    </row>
    <row r="345" spans="4:16" ht="34" customHeight="1">
      <c r="D345" s="18"/>
      <c r="E345" s="18"/>
      <c r="F345" s="1500"/>
      <c r="G345" s="1500"/>
      <c r="H345" s="1492"/>
      <c r="I345" s="1500"/>
      <c r="J345" s="1500"/>
      <c r="K345" s="1500"/>
      <c r="L345" s="1500"/>
      <c r="M345" s="1500"/>
      <c r="N345" s="1500"/>
      <c r="O345" s="399"/>
      <c r="P345" s="18"/>
    </row>
    <row r="346" spans="4:16" ht="34" customHeight="1">
      <c r="D346" s="18"/>
      <c r="E346" s="18"/>
      <c r="F346" s="1500"/>
      <c r="G346" s="1500"/>
      <c r="H346" s="1492"/>
      <c r="I346" s="1500"/>
      <c r="J346" s="1500"/>
      <c r="K346" s="1500"/>
      <c r="L346" s="1500"/>
      <c r="M346" s="1500"/>
      <c r="N346" s="1500"/>
      <c r="O346" s="399"/>
      <c r="P346" s="18"/>
    </row>
    <row r="347" spans="4:16" ht="34" customHeight="1">
      <c r="D347" s="399"/>
      <c r="E347" s="399"/>
      <c r="F347" s="1492"/>
      <c r="G347" s="1492"/>
      <c r="H347" s="1492"/>
      <c r="I347" s="1492"/>
      <c r="J347" s="1492"/>
      <c r="K347" s="1492"/>
      <c r="L347" s="1492"/>
      <c r="M347" s="1492"/>
      <c r="N347" s="1492"/>
      <c r="O347" s="399"/>
      <c r="P347" s="18"/>
    </row>
    <row r="348" spans="4:16" ht="34" customHeight="1">
      <c r="D348" s="399"/>
      <c r="E348" s="399"/>
      <c r="F348" s="1492"/>
      <c r="G348" s="1492"/>
      <c r="H348" s="1492"/>
      <c r="I348" s="1492"/>
      <c r="J348" s="1492"/>
      <c r="K348" s="1492"/>
      <c r="L348" s="1492"/>
      <c r="M348" s="1492"/>
      <c r="N348" s="1492"/>
      <c r="O348" s="399"/>
      <c r="P348" s="18"/>
    </row>
    <row r="349" spans="4:16" ht="34" customHeight="1">
      <c r="D349" s="399"/>
      <c r="E349" s="399"/>
      <c r="F349" s="1492"/>
      <c r="G349" s="1492"/>
      <c r="H349" s="1492"/>
      <c r="I349" s="1492"/>
      <c r="J349" s="1492"/>
      <c r="K349" s="1492"/>
      <c r="L349" s="1492"/>
      <c r="M349" s="1492"/>
      <c r="N349" s="1492"/>
      <c r="O349" s="399"/>
      <c r="P349" s="18"/>
    </row>
    <row r="350" spans="4:16" ht="34" customHeight="1">
      <c r="D350" s="399"/>
      <c r="E350" s="399"/>
      <c r="F350" s="1492"/>
      <c r="G350" s="1492"/>
      <c r="H350" s="1492"/>
      <c r="I350" s="1492"/>
      <c r="J350" s="1492"/>
      <c r="K350" s="1492"/>
      <c r="L350" s="1492"/>
      <c r="M350" s="1492"/>
      <c r="N350" s="1492"/>
      <c r="O350" s="399"/>
      <c r="P350" s="18"/>
    </row>
    <row r="351" spans="4:16" ht="34" customHeight="1">
      <c r="D351" s="18"/>
      <c r="E351" s="18"/>
      <c r="F351" s="1500"/>
      <c r="G351" s="1500"/>
      <c r="H351" s="1492"/>
      <c r="I351" s="1500"/>
      <c r="J351" s="1500"/>
      <c r="K351" s="1500"/>
      <c r="L351" s="1500"/>
      <c r="M351" s="1500"/>
      <c r="N351" s="1500"/>
      <c r="O351" s="399"/>
      <c r="P351" s="18"/>
    </row>
    <row r="352" spans="4:16" ht="34" customHeight="1">
      <c r="D352" s="18"/>
      <c r="E352" s="18"/>
      <c r="F352" s="1500"/>
      <c r="G352" s="1500"/>
      <c r="H352" s="1492"/>
      <c r="I352" s="1500"/>
      <c r="J352" s="1500"/>
      <c r="K352" s="1500"/>
      <c r="L352" s="1500"/>
      <c r="M352" s="1500"/>
      <c r="N352" s="1500"/>
      <c r="O352" s="399"/>
      <c r="P352" s="18"/>
    </row>
    <row r="353" spans="3:16" ht="34" customHeight="1">
      <c r="C353" s="1496"/>
      <c r="D353" s="1496"/>
      <c r="E353" s="1496"/>
      <c r="F353" s="1496"/>
      <c r="G353" s="1496"/>
      <c r="H353" s="1496"/>
      <c r="I353" s="1496"/>
      <c r="J353" s="1497"/>
      <c r="K353" s="1497"/>
      <c r="L353" s="1497"/>
      <c r="M353" s="1497"/>
      <c r="N353" s="1497"/>
      <c r="O353" s="1497"/>
      <c r="P353" s="18"/>
    </row>
    <row r="354" spans="3:16" ht="25" customHeight="1">
      <c r="C354" s="1496"/>
      <c r="D354" s="1496"/>
      <c r="E354" s="1496"/>
      <c r="F354" s="1496"/>
      <c r="G354" s="1496"/>
      <c r="H354" s="1496"/>
      <c r="I354" s="1496"/>
      <c r="J354" s="1497"/>
      <c r="K354" s="1497"/>
      <c r="L354" s="1497"/>
      <c r="M354" s="1497"/>
      <c r="N354" s="1497"/>
      <c r="O354" s="1497"/>
      <c r="P354" s="18"/>
    </row>
    <row r="355" spans="3:16" ht="25" customHeight="1">
      <c r="C355" s="1495"/>
      <c r="D355" s="1495"/>
      <c r="E355" s="1495"/>
      <c r="F355" s="1495"/>
      <c r="G355" s="1495"/>
      <c r="H355" s="1495"/>
      <c r="I355" s="1495"/>
      <c r="J355" s="1495"/>
      <c r="K355" s="1495"/>
      <c r="L355" s="1495"/>
      <c r="M355" s="1495"/>
      <c r="N355" s="1495"/>
      <c r="O355" s="1495"/>
      <c r="P355" s="557"/>
    </row>
    <row r="356" spans="3:16" ht="25" customHeight="1">
      <c r="D356" s="557"/>
      <c r="E356" s="557"/>
      <c r="F356" s="557"/>
      <c r="G356" s="557"/>
      <c r="H356" s="557"/>
      <c r="I356" s="557"/>
      <c r="J356" s="557"/>
      <c r="K356" s="557"/>
      <c r="L356" s="557"/>
      <c r="M356" s="557"/>
      <c r="N356" s="557"/>
      <c r="O356" s="1495"/>
      <c r="P356" s="557"/>
    </row>
    <row r="357" spans="3:16" ht="25" customHeight="1">
      <c r="D357" s="18"/>
      <c r="E357" s="18"/>
      <c r="F357" s="18"/>
      <c r="G357" s="18"/>
      <c r="H357" s="557"/>
      <c r="I357" s="18"/>
      <c r="J357" s="18"/>
      <c r="K357" s="557"/>
      <c r="L357" s="18"/>
      <c r="M357" s="18"/>
      <c r="N357" s="557"/>
      <c r="O357" s="1495"/>
      <c r="P357" s="557"/>
    </row>
    <row r="358" spans="3:16" ht="25" customHeight="1">
      <c r="D358" s="557"/>
      <c r="E358" s="557"/>
      <c r="F358" s="557"/>
      <c r="G358" s="557"/>
      <c r="H358" s="557"/>
      <c r="I358" s="557"/>
      <c r="J358" s="557"/>
      <c r="K358" s="557"/>
      <c r="L358" s="557"/>
      <c r="M358" s="557"/>
      <c r="N358" s="557"/>
      <c r="O358" s="1495"/>
      <c r="P358" s="557"/>
    </row>
    <row r="359" spans="3:16" ht="25" customHeight="1">
      <c r="D359" s="399"/>
      <c r="E359" s="399"/>
      <c r="F359" s="1492"/>
      <c r="G359" s="1492"/>
      <c r="H359" s="1492"/>
      <c r="I359" s="1492"/>
      <c r="J359" s="1492"/>
      <c r="K359" s="1492"/>
      <c r="L359" s="1492"/>
      <c r="M359" s="1492"/>
      <c r="N359" s="1492"/>
      <c r="O359" s="399"/>
      <c r="P359" s="18"/>
    </row>
    <row r="360" spans="3:16" ht="32" customHeight="1">
      <c r="D360" s="399"/>
      <c r="E360" s="399"/>
      <c r="F360" s="1492"/>
      <c r="G360" s="1492"/>
      <c r="H360" s="1492"/>
      <c r="I360" s="1492"/>
      <c r="J360" s="1492"/>
      <c r="K360" s="1492"/>
      <c r="L360" s="1492"/>
      <c r="M360" s="1492"/>
      <c r="N360" s="1492"/>
      <c r="O360" s="399"/>
      <c r="P360" s="18"/>
    </row>
    <row r="361" spans="3:16" ht="32" customHeight="1">
      <c r="D361" s="399"/>
      <c r="E361" s="399"/>
      <c r="F361" s="1492"/>
      <c r="G361" s="1492"/>
      <c r="H361" s="1492"/>
      <c r="I361" s="1492"/>
      <c r="J361" s="1492"/>
      <c r="K361" s="1492"/>
      <c r="L361" s="1492"/>
      <c r="M361" s="1492"/>
      <c r="N361" s="1492"/>
      <c r="O361" s="399"/>
      <c r="P361" s="18"/>
    </row>
    <row r="362" spans="3:16" ht="32" customHeight="1">
      <c r="D362" s="399"/>
      <c r="E362" s="399"/>
      <c r="F362" s="1492"/>
      <c r="G362" s="1492"/>
      <c r="H362" s="1492"/>
      <c r="I362" s="1492"/>
      <c r="J362" s="1492"/>
      <c r="K362" s="1492"/>
      <c r="L362" s="1492"/>
      <c r="M362" s="1492"/>
      <c r="N362" s="1492"/>
      <c r="O362" s="399"/>
      <c r="P362" s="18"/>
    </row>
    <row r="363" spans="3:16" ht="32" customHeight="1">
      <c r="D363" s="399"/>
      <c r="E363" s="399"/>
      <c r="F363" s="1492"/>
      <c r="G363" s="1492"/>
      <c r="H363" s="1492"/>
      <c r="I363" s="1492"/>
      <c r="J363" s="1492"/>
      <c r="K363" s="1492"/>
      <c r="L363" s="1492"/>
      <c r="M363" s="1492"/>
      <c r="N363" s="1492"/>
      <c r="O363" s="399"/>
      <c r="P363" s="18"/>
    </row>
    <row r="364" spans="3:16" ht="32" customHeight="1">
      <c r="D364" s="399"/>
      <c r="E364" s="399"/>
      <c r="F364" s="1492"/>
      <c r="G364" s="1492"/>
      <c r="H364" s="1492"/>
      <c r="I364" s="1492"/>
      <c r="J364" s="1492"/>
      <c r="K364" s="1492"/>
      <c r="L364" s="1492"/>
      <c r="M364" s="1492"/>
      <c r="N364" s="1492"/>
      <c r="O364" s="399"/>
      <c r="P364" s="18"/>
    </row>
    <row r="365" spans="3:16" ht="32" customHeight="1">
      <c r="D365" s="18"/>
      <c r="E365" s="18"/>
      <c r="F365" s="1500"/>
      <c r="G365" s="1500"/>
      <c r="H365" s="1492"/>
      <c r="I365" s="1492"/>
      <c r="J365" s="1492"/>
      <c r="K365" s="1492"/>
      <c r="L365" s="1492"/>
      <c r="M365" s="1492"/>
      <c r="N365" s="1492"/>
      <c r="O365" s="399"/>
      <c r="P365" s="18"/>
    </row>
    <row r="366" spans="3:16" ht="32" customHeight="1">
      <c r="D366" s="18"/>
      <c r="E366" s="18"/>
      <c r="F366" s="1500"/>
      <c r="G366" s="1500"/>
      <c r="H366" s="1492"/>
      <c r="I366" s="1492"/>
      <c r="J366" s="1492"/>
      <c r="K366" s="1492"/>
      <c r="L366" s="1492"/>
      <c r="M366" s="1492"/>
      <c r="N366" s="1492"/>
      <c r="O366" s="399"/>
      <c r="P366" s="18"/>
    </row>
    <row r="367" spans="3:16" ht="32" customHeight="1">
      <c r="D367" s="399"/>
      <c r="E367" s="399"/>
      <c r="F367" s="1492"/>
      <c r="G367" s="1492"/>
      <c r="H367" s="1492"/>
      <c r="I367" s="1492"/>
      <c r="J367" s="1492"/>
      <c r="K367" s="1492"/>
      <c r="L367" s="1492"/>
      <c r="M367" s="1492"/>
      <c r="N367" s="1492"/>
      <c r="O367" s="399"/>
      <c r="P367" s="18"/>
    </row>
    <row r="368" spans="3:16" ht="32" customHeight="1">
      <c r="D368" s="399"/>
      <c r="E368" s="399"/>
      <c r="F368" s="1492"/>
      <c r="G368" s="1492"/>
      <c r="H368" s="1492"/>
      <c r="I368" s="1492"/>
      <c r="J368" s="1492"/>
      <c r="K368" s="1492"/>
      <c r="L368" s="1492"/>
      <c r="M368" s="1492"/>
      <c r="N368" s="1492"/>
      <c r="O368" s="399"/>
      <c r="P368" s="18"/>
    </row>
    <row r="369" spans="4:16" ht="32" customHeight="1">
      <c r="D369" s="399"/>
      <c r="E369" s="399"/>
      <c r="F369" s="1492"/>
      <c r="G369" s="1492"/>
      <c r="H369" s="1492"/>
      <c r="I369" s="1492"/>
      <c r="J369" s="1492"/>
      <c r="K369" s="1492"/>
      <c r="L369" s="1492"/>
      <c r="M369" s="1492"/>
      <c r="N369" s="1492"/>
      <c r="O369" s="399"/>
      <c r="P369" s="18"/>
    </row>
    <row r="370" spans="4:16" ht="32" customHeight="1">
      <c r="D370" s="399"/>
      <c r="E370" s="399"/>
      <c r="F370" s="1492"/>
      <c r="G370" s="1492"/>
      <c r="H370" s="1492"/>
      <c r="I370" s="1492"/>
      <c r="J370" s="1492"/>
      <c r="K370" s="1492"/>
      <c r="L370" s="1492"/>
      <c r="M370" s="1492"/>
      <c r="N370" s="1492"/>
      <c r="O370" s="399"/>
      <c r="P370" s="18"/>
    </row>
    <row r="371" spans="4:16" ht="32" customHeight="1">
      <c r="D371" s="399"/>
      <c r="E371" s="399"/>
      <c r="F371" s="1492"/>
      <c r="G371" s="1492"/>
      <c r="H371" s="1492"/>
      <c r="I371" s="1492"/>
      <c r="J371" s="1492"/>
      <c r="K371" s="1492"/>
      <c r="L371" s="1492"/>
      <c r="M371" s="1492"/>
      <c r="N371" s="1492"/>
      <c r="O371" s="399"/>
      <c r="P371" s="18"/>
    </row>
    <row r="372" spans="4:16" ht="32" customHeight="1">
      <c r="D372" s="399"/>
      <c r="E372" s="399"/>
      <c r="F372" s="1492"/>
      <c r="G372" s="1492"/>
      <c r="H372" s="1492"/>
      <c r="I372" s="1492"/>
      <c r="J372" s="1492"/>
      <c r="K372" s="1492"/>
      <c r="L372" s="1492"/>
      <c r="M372" s="1492"/>
      <c r="N372" s="1492"/>
      <c r="O372" s="399"/>
      <c r="P372" s="18"/>
    </row>
    <row r="373" spans="4:16" ht="32" customHeight="1">
      <c r="D373" s="399"/>
      <c r="E373" s="399"/>
      <c r="F373" s="1492"/>
      <c r="G373" s="1492"/>
      <c r="H373" s="1492"/>
      <c r="I373" s="1492"/>
      <c r="J373" s="1492"/>
      <c r="K373" s="1492"/>
      <c r="L373" s="1492"/>
      <c r="M373" s="1492"/>
      <c r="N373" s="1492"/>
      <c r="O373" s="399"/>
      <c r="P373" s="18"/>
    </row>
    <row r="374" spans="4:16" ht="32" customHeight="1">
      <c r="D374" s="399"/>
      <c r="E374" s="399"/>
      <c r="F374" s="1492"/>
      <c r="G374" s="1492"/>
      <c r="H374" s="1492"/>
      <c r="I374" s="1492"/>
      <c r="J374" s="1492"/>
      <c r="K374" s="1492"/>
      <c r="L374" s="1492"/>
      <c r="M374" s="1492"/>
      <c r="N374" s="1492"/>
      <c r="O374" s="399"/>
      <c r="P374" s="18"/>
    </row>
    <row r="375" spans="4:16" ht="32" customHeight="1">
      <c r="D375" s="399"/>
      <c r="E375" s="399"/>
      <c r="F375" s="1492"/>
      <c r="G375" s="1492"/>
      <c r="H375" s="1492"/>
      <c r="I375" s="1492"/>
      <c r="J375" s="1492"/>
      <c r="K375" s="1492"/>
      <c r="L375" s="1492"/>
      <c r="M375" s="1492"/>
      <c r="N375" s="1492"/>
      <c r="O375" s="399"/>
      <c r="P375" s="18"/>
    </row>
    <row r="376" spans="4:16" ht="32" customHeight="1">
      <c r="D376" s="399"/>
      <c r="E376" s="399"/>
      <c r="F376" s="1492"/>
      <c r="G376" s="1492"/>
      <c r="H376" s="1492"/>
      <c r="I376" s="1492"/>
      <c r="J376" s="1492"/>
      <c r="K376" s="1492"/>
      <c r="L376" s="1492"/>
      <c r="M376" s="1492"/>
      <c r="N376" s="1492"/>
      <c r="O376" s="399"/>
      <c r="P376" s="18"/>
    </row>
    <row r="377" spans="4:16" ht="32" customHeight="1">
      <c r="D377" s="399"/>
      <c r="E377" s="399"/>
      <c r="F377" s="1492"/>
      <c r="G377" s="1492"/>
      <c r="H377" s="1492"/>
      <c r="I377" s="1492"/>
      <c r="J377" s="1492"/>
      <c r="K377" s="1492"/>
      <c r="L377" s="1492"/>
      <c r="M377" s="1492"/>
      <c r="N377" s="1492"/>
      <c r="O377" s="399"/>
      <c r="P377" s="18"/>
    </row>
    <row r="378" spans="4:16" ht="32" customHeight="1">
      <c r="D378" s="399"/>
      <c r="E378" s="399"/>
      <c r="F378" s="1492"/>
      <c r="G378" s="1492"/>
      <c r="H378" s="1492"/>
      <c r="I378" s="1492"/>
      <c r="J378" s="1492"/>
      <c r="K378" s="1492"/>
      <c r="L378" s="1492"/>
      <c r="M378" s="1492"/>
      <c r="N378" s="1492"/>
      <c r="O378" s="399"/>
      <c r="P378" s="18"/>
    </row>
    <row r="379" spans="4:16" ht="32" customHeight="1">
      <c r="D379" s="399"/>
      <c r="E379" s="399"/>
      <c r="F379" s="1492"/>
      <c r="G379" s="1492"/>
      <c r="H379" s="1492"/>
      <c r="I379" s="1492"/>
      <c r="J379" s="1492"/>
      <c r="K379" s="1492"/>
      <c r="L379" s="1492"/>
      <c r="M379" s="1492"/>
      <c r="N379" s="1492"/>
      <c r="O379" s="399"/>
      <c r="P379" s="18"/>
    </row>
    <row r="380" spans="4:16" ht="32" customHeight="1">
      <c r="D380" s="399"/>
      <c r="E380" s="399"/>
      <c r="F380" s="1492"/>
      <c r="G380" s="1492"/>
      <c r="H380" s="1492"/>
      <c r="I380" s="1492"/>
      <c r="J380" s="1492"/>
      <c r="K380" s="1492"/>
      <c r="L380" s="1492"/>
      <c r="M380" s="1492"/>
      <c r="N380" s="1492"/>
      <c r="O380" s="399"/>
      <c r="P380" s="18"/>
    </row>
    <row r="381" spans="4:16" ht="32" customHeight="1">
      <c r="D381" s="399"/>
      <c r="E381" s="399"/>
      <c r="F381" s="1492"/>
      <c r="G381" s="1492"/>
      <c r="H381" s="1492"/>
      <c r="I381" s="1492"/>
      <c r="J381" s="1492"/>
      <c r="K381" s="1492"/>
      <c r="L381" s="1492"/>
      <c r="M381" s="1492"/>
      <c r="N381" s="1492"/>
      <c r="O381" s="399"/>
      <c r="P381" s="18"/>
    </row>
    <row r="382" spans="4:16" ht="32" customHeight="1">
      <c r="D382" s="399"/>
      <c r="E382" s="399"/>
      <c r="F382" s="1492"/>
      <c r="G382" s="1492"/>
      <c r="H382" s="1492"/>
      <c r="I382" s="1492"/>
      <c r="J382" s="1492"/>
      <c r="K382" s="1492"/>
      <c r="L382" s="1492"/>
      <c r="M382" s="1492"/>
      <c r="N382" s="1492"/>
      <c r="O382" s="399"/>
      <c r="P382" s="18"/>
    </row>
    <row r="383" spans="4:16" ht="32" customHeight="1">
      <c r="D383" s="399"/>
      <c r="E383" s="399"/>
      <c r="F383" s="1492"/>
      <c r="G383" s="1492"/>
      <c r="H383" s="1492"/>
      <c r="I383" s="1492"/>
      <c r="J383" s="1492"/>
      <c r="K383" s="1492"/>
      <c r="L383" s="1492"/>
      <c r="M383" s="1492"/>
      <c r="N383" s="1492"/>
      <c r="O383" s="399"/>
      <c r="P383" s="18"/>
    </row>
    <row r="384" spans="4:16" ht="32" customHeight="1">
      <c r="D384" s="399"/>
      <c r="E384" s="399"/>
      <c r="F384" s="1492"/>
      <c r="G384" s="1492"/>
      <c r="H384" s="1492"/>
      <c r="I384" s="1492"/>
      <c r="J384" s="1492"/>
      <c r="K384" s="1492"/>
      <c r="L384" s="1492"/>
      <c r="M384" s="1492"/>
      <c r="N384" s="1492"/>
      <c r="O384" s="399"/>
      <c r="P384" s="18"/>
    </row>
    <row r="385" spans="3:16" ht="32" customHeight="1">
      <c r="D385" s="399"/>
      <c r="E385" s="399"/>
      <c r="F385" s="1492"/>
      <c r="G385" s="1492"/>
      <c r="H385" s="1492"/>
      <c r="I385" s="1492"/>
      <c r="J385" s="1492"/>
      <c r="K385" s="1492"/>
      <c r="L385" s="1492"/>
      <c r="M385" s="1492"/>
      <c r="N385" s="1492"/>
      <c r="O385" s="399"/>
      <c r="P385" s="18"/>
    </row>
    <row r="386" spans="3:16" ht="32" customHeight="1">
      <c r="D386" s="399"/>
      <c r="E386" s="399"/>
      <c r="F386" s="1492"/>
      <c r="G386" s="1492"/>
      <c r="H386" s="1492"/>
      <c r="I386" s="1492"/>
      <c r="J386" s="1492"/>
      <c r="K386" s="1492"/>
      <c r="L386" s="1492"/>
      <c r="M386" s="1492"/>
      <c r="N386" s="1492"/>
      <c r="O386" s="399"/>
      <c r="P386" s="18"/>
    </row>
    <row r="387" spans="3:16" ht="32" customHeight="1">
      <c r="D387" s="399"/>
      <c r="E387" s="399"/>
      <c r="F387" s="1492"/>
      <c r="G387" s="1492"/>
      <c r="H387" s="1492"/>
      <c r="I387" s="1492"/>
      <c r="J387" s="1492"/>
      <c r="K387" s="1492"/>
      <c r="L387" s="1492"/>
      <c r="M387" s="1492"/>
      <c r="N387" s="1492"/>
      <c r="O387" s="399"/>
      <c r="P387" s="18"/>
    </row>
    <row r="388" spans="3:16" ht="32" customHeight="1">
      <c r="D388" s="399"/>
      <c r="E388" s="399"/>
      <c r="F388" s="1492"/>
      <c r="G388" s="1492"/>
      <c r="H388" s="1492"/>
      <c r="I388" s="1492"/>
      <c r="J388" s="1492"/>
      <c r="K388" s="1492"/>
      <c r="L388" s="1492"/>
      <c r="M388" s="1492"/>
      <c r="N388" s="1492"/>
      <c r="O388" s="399"/>
      <c r="P388" s="18"/>
    </row>
    <row r="389" spans="3:16" ht="32" customHeight="1">
      <c r="D389" s="399"/>
      <c r="E389" s="399"/>
      <c r="F389" s="1492"/>
      <c r="G389" s="1492"/>
      <c r="H389" s="1492"/>
      <c r="I389" s="1492"/>
      <c r="J389" s="1492"/>
      <c r="K389" s="1492"/>
      <c r="L389" s="1492"/>
      <c r="M389" s="1492"/>
      <c r="N389" s="1492"/>
      <c r="O389" s="19"/>
      <c r="P389" s="20"/>
    </row>
    <row r="390" spans="3:16" ht="32" customHeight="1">
      <c r="D390" s="399"/>
      <c r="E390" s="399"/>
      <c r="F390" s="1492"/>
      <c r="G390" s="1492"/>
      <c r="H390" s="1492"/>
      <c r="I390" s="1492"/>
      <c r="J390" s="1492"/>
      <c r="K390" s="1492"/>
      <c r="L390" s="1492"/>
      <c r="M390" s="1492"/>
      <c r="N390" s="1492"/>
      <c r="O390" s="19"/>
      <c r="P390" s="20"/>
    </row>
    <row r="391" spans="3:16" ht="32" customHeight="1">
      <c r="C391" s="1493"/>
      <c r="D391" s="1493"/>
      <c r="E391" s="1493"/>
      <c r="F391" s="1493"/>
      <c r="G391" s="1493"/>
      <c r="H391" s="1493"/>
      <c r="I391" s="1494"/>
      <c r="J391" s="1494"/>
      <c r="K391" s="1494"/>
      <c r="L391" s="1494"/>
      <c r="M391" s="1494"/>
      <c r="N391" s="1494"/>
      <c r="O391" s="1494"/>
      <c r="P391" s="491"/>
    </row>
    <row r="392" spans="3:16" ht="31" customHeight="1">
      <c r="C392" s="1493"/>
      <c r="D392" s="1493"/>
      <c r="E392" s="1493"/>
      <c r="F392" s="1493"/>
      <c r="G392" s="1493"/>
      <c r="H392" s="1493"/>
      <c r="I392" s="1494"/>
      <c r="J392" s="1494"/>
      <c r="K392" s="1494"/>
      <c r="L392" s="1494"/>
      <c r="M392" s="1494"/>
      <c r="N392" s="1494"/>
      <c r="O392" s="1494"/>
      <c r="P392" s="491"/>
    </row>
    <row r="393" spans="3:16" ht="31" customHeight="1">
      <c r="C393" s="1499"/>
      <c r="D393" s="1499"/>
      <c r="E393" s="1499"/>
      <c r="F393" s="1499"/>
      <c r="G393" s="1499"/>
      <c r="H393" s="1499"/>
      <c r="I393" s="1499"/>
      <c r="J393" s="1499"/>
      <c r="K393" s="1499"/>
      <c r="L393" s="1499"/>
      <c r="M393" s="1499"/>
      <c r="N393" s="1499"/>
      <c r="O393" s="1499"/>
      <c r="P393" s="587"/>
    </row>
    <row r="394" spans="3:16" ht="22" customHeight="1">
      <c r="C394" s="1499"/>
      <c r="D394" s="1499"/>
      <c r="E394" s="1499"/>
      <c r="F394" s="1499"/>
      <c r="G394" s="1499"/>
      <c r="H394" s="1499"/>
      <c r="I394" s="1499"/>
      <c r="J394" s="1499"/>
      <c r="K394" s="1499"/>
      <c r="L394" s="1499"/>
      <c r="M394" s="1499"/>
      <c r="N394" s="1499"/>
      <c r="O394" s="1499"/>
      <c r="P394" s="587"/>
    </row>
    <row r="395" spans="3:16" ht="22" customHeight="1">
      <c r="C395" s="1499"/>
      <c r="D395" s="1499"/>
      <c r="E395" s="1499"/>
      <c r="F395" s="1499"/>
      <c r="G395" s="1499"/>
      <c r="H395" s="1499"/>
      <c r="I395" s="1499"/>
      <c r="J395" s="1499"/>
      <c r="K395" s="1499"/>
      <c r="L395" s="1499"/>
      <c r="M395" s="1499"/>
      <c r="N395" s="1499"/>
      <c r="O395" s="1499"/>
      <c r="P395" s="587"/>
    </row>
    <row r="396" spans="3:16" ht="22" customHeight="1">
      <c r="C396" s="1495"/>
      <c r="D396" s="1495"/>
      <c r="E396" s="1495"/>
      <c r="F396" s="1495"/>
      <c r="G396" s="1495"/>
      <c r="H396" s="1495"/>
      <c r="I396" s="1495"/>
      <c r="J396" s="1495"/>
      <c r="K396" s="1495"/>
      <c r="L396" s="1495"/>
      <c r="M396" s="1495"/>
      <c r="N396" s="1495"/>
      <c r="O396" s="1495"/>
      <c r="P396" s="557"/>
    </row>
    <row r="397" spans="3:16" ht="20" customHeight="1">
      <c r="D397" s="557"/>
      <c r="E397" s="557"/>
      <c r="F397" s="557"/>
      <c r="G397" s="557"/>
      <c r="H397" s="557"/>
      <c r="I397" s="557"/>
      <c r="J397" s="557"/>
      <c r="K397" s="557"/>
      <c r="L397" s="557"/>
      <c r="M397" s="557"/>
      <c r="N397" s="557"/>
      <c r="O397" s="1495"/>
      <c r="P397" s="557"/>
    </row>
    <row r="398" spans="3:16" ht="20" customHeight="1">
      <c r="D398" s="18"/>
      <c r="E398" s="18"/>
      <c r="F398" s="18"/>
      <c r="G398" s="18"/>
      <c r="H398" s="557"/>
      <c r="I398" s="18"/>
      <c r="J398" s="18"/>
      <c r="K398" s="557"/>
      <c r="L398" s="18"/>
      <c r="M398" s="18"/>
      <c r="N398" s="557"/>
      <c r="O398" s="1495"/>
      <c r="P398" s="557"/>
    </row>
    <row r="399" spans="3:16" ht="20" customHeight="1">
      <c r="D399" s="557"/>
      <c r="E399" s="557"/>
      <c r="F399" s="557"/>
      <c r="G399" s="557"/>
      <c r="H399" s="557"/>
      <c r="I399" s="557"/>
      <c r="J399" s="557"/>
      <c r="K399" s="557"/>
      <c r="L399" s="557"/>
      <c r="M399" s="557"/>
      <c r="N399" s="557"/>
      <c r="O399" s="1495"/>
      <c r="P399" s="557"/>
    </row>
    <row r="400" spans="3:16" ht="20" customHeight="1">
      <c r="D400" s="399"/>
      <c r="E400" s="399"/>
      <c r="F400" s="399"/>
      <c r="G400" s="399"/>
      <c r="H400" s="399"/>
      <c r="I400" s="399"/>
      <c r="J400" s="399"/>
      <c r="K400" s="399"/>
      <c r="L400" s="399"/>
      <c r="M400" s="399"/>
      <c r="N400" s="399"/>
      <c r="O400" s="399"/>
      <c r="P400" s="18"/>
    </row>
    <row r="401" spans="4:16" ht="26" customHeight="1">
      <c r="D401" s="399"/>
      <c r="E401" s="399"/>
      <c r="F401" s="1492"/>
      <c r="G401" s="1492"/>
      <c r="H401" s="1492"/>
      <c r="I401" s="1492"/>
      <c r="J401" s="1492"/>
      <c r="K401" s="1492"/>
      <c r="L401" s="1492"/>
      <c r="M401" s="1492"/>
      <c r="N401" s="1492"/>
      <c r="O401" s="399"/>
      <c r="P401" s="18"/>
    </row>
    <row r="402" spans="4:16" ht="26" customHeight="1">
      <c r="D402" s="399"/>
      <c r="E402" s="399"/>
      <c r="F402" s="1492"/>
      <c r="G402" s="1492"/>
      <c r="H402" s="1492"/>
      <c r="I402" s="1492"/>
      <c r="J402" s="1492"/>
      <c r="K402" s="1492"/>
      <c r="L402" s="1492"/>
      <c r="M402" s="1492"/>
      <c r="N402" s="1492"/>
      <c r="O402" s="399"/>
      <c r="P402" s="18"/>
    </row>
    <row r="403" spans="4:16" ht="26" customHeight="1">
      <c r="D403" s="399"/>
      <c r="E403" s="399"/>
      <c r="F403" s="1492"/>
      <c r="G403" s="1492"/>
      <c r="H403" s="1492"/>
      <c r="I403" s="1492"/>
      <c r="J403" s="1492"/>
      <c r="K403" s="1492"/>
      <c r="L403" s="1492"/>
      <c r="M403" s="1492"/>
      <c r="N403" s="1492"/>
      <c r="O403" s="399"/>
      <c r="P403" s="18"/>
    </row>
    <row r="404" spans="4:16" ht="26" customHeight="1">
      <c r="D404" s="399"/>
      <c r="E404" s="399"/>
      <c r="F404" s="1492"/>
      <c r="G404" s="1492"/>
      <c r="H404" s="1492"/>
      <c r="I404" s="1492"/>
      <c r="J404" s="1492"/>
      <c r="K404" s="1492"/>
      <c r="L404" s="1492"/>
      <c r="M404" s="1492"/>
      <c r="N404" s="1492"/>
      <c r="O404" s="399"/>
      <c r="P404" s="18"/>
    </row>
    <row r="405" spans="4:16" ht="26" customHeight="1">
      <c r="D405" s="399"/>
      <c r="E405" s="399"/>
      <c r="F405" s="1492"/>
      <c r="G405" s="1492"/>
      <c r="H405" s="1492"/>
      <c r="I405" s="1492"/>
      <c r="J405" s="1492"/>
      <c r="K405" s="1492"/>
      <c r="L405" s="1492"/>
      <c r="M405" s="1492"/>
      <c r="N405" s="1492"/>
      <c r="O405" s="399"/>
      <c r="P405" s="18"/>
    </row>
    <row r="406" spans="4:16" ht="26" customHeight="1">
      <c r="D406" s="399"/>
      <c r="E406" s="399"/>
      <c r="F406" s="1492"/>
      <c r="G406" s="1492"/>
      <c r="H406" s="1492"/>
      <c r="I406" s="1492"/>
      <c r="J406" s="1492"/>
      <c r="K406" s="1492"/>
      <c r="L406" s="1492"/>
      <c r="M406" s="1492"/>
      <c r="N406" s="1492"/>
      <c r="O406" s="399"/>
      <c r="P406" s="18"/>
    </row>
    <row r="407" spans="4:16" ht="26" customHeight="1">
      <c r="D407" s="399"/>
      <c r="E407" s="399"/>
      <c r="F407" s="1492"/>
      <c r="G407" s="1492"/>
      <c r="H407" s="1492"/>
      <c r="I407" s="1492"/>
      <c r="J407" s="1492"/>
      <c r="K407" s="1492"/>
      <c r="L407" s="1492"/>
      <c r="M407" s="1492"/>
      <c r="N407" s="1492"/>
      <c r="O407" s="399"/>
      <c r="P407" s="18"/>
    </row>
    <row r="408" spans="4:16" ht="31.5" customHeight="1">
      <c r="D408" s="399"/>
      <c r="E408" s="399"/>
      <c r="F408" s="1492"/>
      <c r="G408" s="1492"/>
      <c r="H408" s="1492"/>
      <c r="I408" s="1492"/>
      <c r="J408" s="1492"/>
      <c r="K408" s="1492"/>
      <c r="L408" s="1492"/>
      <c r="M408" s="1492"/>
      <c r="N408" s="1492"/>
      <c r="O408" s="399"/>
      <c r="P408" s="18"/>
    </row>
    <row r="409" spans="4:16" ht="33" customHeight="1">
      <c r="D409" s="399"/>
      <c r="E409" s="399"/>
      <c r="F409" s="1492"/>
      <c r="G409" s="1492"/>
      <c r="H409" s="1492"/>
      <c r="I409" s="1492"/>
      <c r="J409" s="1492"/>
      <c r="K409" s="1492"/>
      <c r="L409" s="1492"/>
      <c r="M409" s="1492"/>
      <c r="N409" s="1492"/>
      <c r="O409" s="399"/>
      <c r="P409" s="18"/>
    </row>
    <row r="410" spans="4:16" ht="26" customHeight="1">
      <c r="D410" s="399"/>
      <c r="E410" s="399"/>
      <c r="F410" s="1492"/>
      <c r="G410" s="1492"/>
      <c r="H410" s="1492"/>
      <c r="I410" s="1492"/>
      <c r="J410" s="1492"/>
      <c r="K410" s="1492"/>
      <c r="L410" s="1492"/>
      <c r="M410" s="1492"/>
      <c r="N410" s="1492"/>
      <c r="O410" s="399"/>
      <c r="P410" s="18"/>
    </row>
    <row r="411" spans="4:16" ht="26" customHeight="1">
      <c r="D411" s="399"/>
      <c r="E411" s="399"/>
      <c r="F411" s="1492"/>
      <c r="G411" s="1492"/>
      <c r="H411" s="1492"/>
      <c r="I411" s="1492"/>
      <c r="J411" s="1492"/>
      <c r="K411" s="1492"/>
      <c r="L411" s="1492"/>
      <c r="M411" s="1492"/>
      <c r="N411" s="1492"/>
      <c r="O411" s="399"/>
      <c r="P411" s="18"/>
    </row>
    <row r="412" spans="4:16" ht="34.5" customHeight="1">
      <c r="D412" s="399"/>
      <c r="E412" s="399"/>
      <c r="F412" s="1492"/>
      <c r="G412" s="1492"/>
      <c r="H412" s="1492"/>
      <c r="I412" s="1492"/>
      <c r="J412" s="1492"/>
      <c r="K412" s="1492"/>
      <c r="L412" s="1492"/>
      <c r="M412" s="1492"/>
      <c r="N412" s="1492"/>
      <c r="O412" s="399"/>
      <c r="P412" s="18"/>
    </row>
    <row r="413" spans="4:16" ht="36" customHeight="1">
      <c r="D413" s="399"/>
      <c r="E413" s="399"/>
      <c r="F413" s="1492"/>
      <c r="G413" s="1492"/>
      <c r="H413" s="1492"/>
      <c r="I413" s="1492"/>
      <c r="J413" s="1492"/>
      <c r="K413" s="1492"/>
      <c r="L413" s="1492"/>
      <c r="M413" s="1492"/>
      <c r="N413" s="1492"/>
      <c r="O413" s="399"/>
      <c r="P413" s="18"/>
    </row>
    <row r="414" spans="4:16" ht="26" customHeight="1">
      <c r="D414" s="399"/>
      <c r="E414" s="399"/>
      <c r="F414" s="1492"/>
      <c r="G414" s="1492"/>
      <c r="H414" s="1492"/>
      <c r="I414" s="1492"/>
      <c r="J414" s="1492"/>
      <c r="K414" s="1492"/>
      <c r="L414" s="1492"/>
      <c r="M414" s="1492"/>
      <c r="N414" s="1492"/>
      <c r="O414" s="399"/>
      <c r="P414" s="18"/>
    </row>
    <row r="415" spans="4:16" ht="26" customHeight="1">
      <c r="D415" s="399"/>
      <c r="E415" s="399"/>
      <c r="F415" s="1492"/>
      <c r="G415" s="1492"/>
      <c r="H415" s="1492"/>
      <c r="I415" s="1492"/>
      <c r="J415" s="1492"/>
      <c r="K415" s="1492"/>
      <c r="L415" s="1492"/>
      <c r="M415" s="1492"/>
      <c r="N415" s="1492"/>
      <c r="O415" s="399"/>
      <c r="P415" s="18"/>
    </row>
    <row r="416" spans="4:16" ht="26" customHeight="1">
      <c r="D416" s="399"/>
      <c r="E416" s="399"/>
      <c r="F416" s="1492"/>
      <c r="G416" s="1492"/>
      <c r="H416" s="1492"/>
      <c r="I416" s="1492"/>
      <c r="J416" s="1492"/>
      <c r="K416" s="1492"/>
      <c r="L416" s="1492"/>
      <c r="M416" s="1492"/>
      <c r="N416" s="1492"/>
      <c r="O416" s="399"/>
      <c r="P416" s="18"/>
    </row>
    <row r="417" spans="4:21" ht="26" customHeight="1">
      <c r="D417" s="399"/>
      <c r="E417" s="399"/>
      <c r="F417" s="1492"/>
      <c r="G417" s="1492"/>
      <c r="H417" s="1492"/>
      <c r="I417" s="1492"/>
      <c r="J417" s="1492"/>
      <c r="K417" s="1492"/>
      <c r="L417" s="1492"/>
      <c r="M417" s="1492"/>
      <c r="N417" s="1492"/>
      <c r="O417" s="399"/>
      <c r="P417" s="18"/>
    </row>
    <row r="418" spans="4:21" ht="26" customHeight="1">
      <c r="D418" s="399"/>
      <c r="E418" s="399"/>
      <c r="F418" s="1492"/>
      <c r="G418" s="1492"/>
      <c r="H418" s="1492"/>
      <c r="I418" s="1492"/>
      <c r="J418" s="1492"/>
      <c r="K418" s="1492"/>
      <c r="L418" s="1492"/>
      <c r="M418" s="1492"/>
      <c r="N418" s="1492"/>
      <c r="O418" s="399"/>
      <c r="P418" s="18"/>
      <c r="T418" s="17"/>
      <c r="U418" s="17"/>
    </row>
    <row r="419" spans="4:21" ht="26" customHeight="1">
      <c r="D419" s="399"/>
      <c r="E419" s="399"/>
      <c r="F419" s="1492"/>
      <c r="G419" s="1492"/>
      <c r="H419" s="1492"/>
      <c r="I419" s="1492"/>
      <c r="J419" s="1492"/>
      <c r="K419" s="1492"/>
      <c r="L419" s="1492"/>
      <c r="M419" s="1492"/>
      <c r="N419" s="1492"/>
      <c r="O419" s="399"/>
      <c r="P419" s="18"/>
      <c r="T419" s="17"/>
      <c r="U419" s="17"/>
    </row>
    <row r="420" spans="4:21" ht="26" customHeight="1">
      <c r="D420" s="399"/>
      <c r="E420" s="399"/>
      <c r="F420" s="1492"/>
      <c r="G420" s="1492"/>
      <c r="H420" s="1492"/>
      <c r="I420" s="1492"/>
      <c r="J420" s="1492"/>
      <c r="K420" s="1492"/>
      <c r="L420" s="1492"/>
      <c r="M420" s="1492"/>
      <c r="N420" s="1492"/>
      <c r="O420" s="399"/>
      <c r="P420" s="18"/>
      <c r="T420" s="17"/>
      <c r="U420" s="17"/>
    </row>
    <row r="421" spans="4:21" ht="26" customHeight="1">
      <c r="D421" s="399"/>
      <c r="E421" s="399"/>
      <c r="F421" s="1492"/>
      <c r="G421" s="1492"/>
      <c r="H421" s="1492"/>
      <c r="I421" s="1492"/>
      <c r="J421" s="1492"/>
      <c r="K421" s="1492"/>
      <c r="L421" s="1492"/>
      <c r="M421" s="1492"/>
      <c r="N421" s="1492"/>
      <c r="O421" s="399"/>
      <c r="P421" s="18"/>
      <c r="T421" s="17"/>
      <c r="U421" s="17"/>
    </row>
    <row r="422" spans="4:21" ht="26" customHeight="1">
      <c r="D422" s="399"/>
      <c r="E422" s="399"/>
      <c r="F422" s="1492"/>
      <c r="G422" s="1492"/>
      <c r="H422" s="1492"/>
      <c r="I422" s="1492"/>
      <c r="J422" s="1492"/>
      <c r="K422" s="1492"/>
      <c r="L422" s="1492"/>
      <c r="M422" s="1492"/>
      <c r="N422" s="1492"/>
      <c r="O422" s="399"/>
      <c r="P422" s="18"/>
      <c r="T422" s="17"/>
    </row>
    <row r="423" spans="4:21" ht="26" customHeight="1">
      <c r="D423" s="399"/>
      <c r="E423" s="399"/>
      <c r="F423" s="1492"/>
      <c r="G423" s="1492"/>
      <c r="H423" s="1492"/>
      <c r="I423" s="1492"/>
      <c r="J423" s="1492"/>
      <c r="K423" s="1492"/>
      <c r="L423" s="1492"/>
      <c r="M423" s="1492"/>
      <c r="N423" s="1492"/>
      <c r="O423" s="399"/>
      <c r="P423" s="18"/>
      <c r="T423" s="17"/>
    </row>
    <row r="424" spans="4:21" ht="26" customHeight="1">
      <c r="D424" s="399"/>
      <c r="E424" s="399"/>
      <c r="F424" s="1492"/>
      <c r="G424" s="1492"/>
      <c r="H424" s="1492"/>
      <c r="I424" s="1492"/>
      <c r="J424" s="1492"/>
      <c r="K424" s="1492"/>
      <c r="L424" s="1492"/>
      <c r="M424" s="1492"/>
      <c r="N424" s="1492"/>
      <c r="O424" s="399"/>
      <c r="P424" s="18"/>
    </row>
    <row r="425" spans="4:21" ht="26" customHeight="1">
      <c r="D425" s="399"/>
      <c r="E425" s="399"/>
      <c r="F425" s="1492"/>
      <c r="G425" s="1492"/>
      <c r="H425" s="1492"/>
      <c r="I425" s="1492"/>
      <c r="J425" s="1492"/>
      <c r="K425" s="1492"/>
      <c r="L425" s="1492"/>
      <c r="M425" s="1492"/>
      <c r="N425" s="1492"/>
      <c r="O425" s="399"/>
      <c r="P425" s="18"/>
    </row>
    <row r="426" spans="4:21" ht="26" customHeight="1">
      <c r="D426" s="399"/>
      <c r="E426" s="399"/>
      <c r="F426" s="1492"/>
      <c r="G426" s="1492"/>
      <c r="H426" s="1492"/>
      <c r="I426" s="1492"/>
      <c r="J426" s="1492"/>
      <c r="K426" s="1492"/>
      <c r="L426" s="1492"/>
      <c r="M426" s="1492"/>
      <c r="N426" s="1492"/>
      <c r="O426" s="399"/>
      <c r="P426" s="18"/>
    </row>
    <row r="427" spans="4:21" ht="26" customHeight="1">
      <c r="D427" s="399"/>
      <c r="E427" s="399"/>
      <c r="F427" s="1492"/>
      <c r="G427" s="1492"/>
      <c r="H427" s="1492"/>
      <c r="I427" s="1492"/>
      <c r="J427" s="1492"/>
      <c r="K427" s="1492"/>
      <c r="L427" s="1492"/>
      <c r="M427" s="1492"/>
      <c r="N427" s="1492"/>
      <c r="O427" s="399"/>
      <c r="P427" s="18"/>
    </row>
    <row r="428" spans="4:21" ht="26" customHeight="1">
      <c r="D428" s="399"/>
      <c r="E428" s="399"/>
      <c r="F428" s="1492"/>
      <c r="G428" s="1492"/>
      <c r="H428" s="1492"/>
      <c r="I428" s="1492"/>
      <c r="J428" s="1492"/>
      <c r="K428" s="1492"/>
      <c r="L428" s="1492"/>
      <c r="M428" s="1492"/>
      <c r="N428" s="1492"/>
      <c r="O428" s="399"/>
      <c r="P428" s="18"/>
    </row>
    <row r="429" spans="4:21" ht="26" customHeight="1">
      <c r="D429" s="399"/>
      <c r="E429" s="399"/>
      <c r="F429" s="1492"/>
      <c r="G429" s="1492"/>
      <c r="H429" s="1492"/>
      <c r="I429" s="1492"/>
      <c r="J429" s="1492"/>
      <c r="K429" s="1492"/>
      <c r="L429" s="1492"/>
      <c r="M429" s="1492"/>
      <c r="N429" s="1492"/>
      <c r="O429" s="399"/>
      <c r="P429" s="18"/>
    </row>
    <row r="430" spans="4:21" ht="26" customHeight="1">
      <c r="D430" s="399"/>
      <c r="E430" s="399"/>
      <c r="F430" s="1492"/>
      <c r="G430" s="1492"/>
      <c r="H430" s="1492"/>
      <c r="I430" s="1492"/>
      <c r="J430" s="1492"/>
      <c r="K430" s="1492"/>
      <c r="L430" s="1492"/>
      <c r="M430" s="1492"/>
      <c r="N430" s="1492"/>
      <c r="O430" s="399"/>
      <c r="P430" s="18"/>
    </row>
    <row r="431" spans="4:21" ht="26" customHeight="1">
      <c r="D431" s="399"/>
      <c r="E431" s="399"/>
      <c r="F431" s="1492"/>
      <c r="G431" s="1492"/>
      <c r="H431" s="1492"/>
      <c r="I431" s="1492"/>
      <c r="J431" s="1492"/>
      <c r="K431" s="1492"/>
      <c r="L431" s="1492"/>
      <c r="M431" s="1492"/>
      <c r="N431" s="1492"/>
      <c r="O431" s="399"/>
      <c r="P431" s="18"/>
    </row>
    <row r="432" spans="4:21" ht="26" customHeight="1">
      <c r="D432" s="399"/>
      <c r="E432" s="399"/>
      <c r="F432" s="1492"/>
      <c r="G432" s="1492"/>
      <c r="H432" s="1492"/>
      <c r="I432" s="1492"/>
      <c r="J432" s="1492"/>
      <c r="K432" s="1492"/>
      <c r="L432" s="1492"/>
      <c r="M432" s="1492"/>
      <c r="N432" s="1492"/>
      <c r="O432" s="399"/>
      <c r="P432" s="18"/>
    </row>
    <row r="433" spans="3:16" ht="26" customHeight="1">
      <c r="D433" s="399"/>
      <c r="E433" s="399"/>
      <c r="F433" s="1492"/>
      <c r="G433" s="1492"/>
      <c r="H433" s="1492"/>
      <c r="I433" s="1492"/>
      <c r="J433" s="1492"/>
      <c r="K433" s="1492"/>
      <c r="L433" s="1492"/>
      <c r="M433" s="1492"/>
      <c r="N433" s="1492"/>
      <c r="O433" s="399"/>
      <c r="P433" s="18"/>
    </row>
    <row r="434" spans="3:16" ht="26" customHeight="1">
      <c r="D434" s="399"/>
      <c r="E434" s="399"/>
      <c r="F434" s="1492"/>
      <c r="G434" s="1492"/>
      <c r="H434" s="1492"/>
      <c r="I434" s="1492"/>
      <c r="J434" s="1492"/>
      <c r="K434" s="1492"/>
      <c r="L434" s="1492"/>
      <c r="M434" s="1492"/>
      <c r="N434" s="1492"/>
      <c r="O434" s="399"/>
      <c r="P434" s="18"/>
    </row>
    <row r="435" spans="3:16" ht="26" customHeight="1">
      <c r="D435" s="399"/>
      <c r="E435" s="399"/>
      <c r="F435" s="1492"/>
      <c r="G435" s="1492"/>
      <c r="H435" s="1492"/>
      <c r="I435" s="1492"/>
      <c r="J435" s="1492"/>
      <c r="K435" s="1492"/>
      <c r="L435" s="1492"/>
      <c r="M435" s="1492"/>
      <c r="N435" s="1492"/>
      <c r="O435" s="399"/>
      <c r="P435" s="18"/>
    </row>
    <row r="436" spans="3:16" ht="26" customHeight="1">
      <c r="D436" s="399"/>
      <c r="E436" s="399"/>
      <c r="F436" s="1492"/>
      <c r="G436" s="1492"/>
      <c r="H436" s="1492"/>
      <c r="I436" s="1492"/>
      <c r="J436" s="1492"/>
      <c r="K436" s="1492"/>
      <c r="L436" s="1492"/>
      <c r="M436" s="1492"/>
      <c r="N436" s="1492"/>
      <c r="O436" s="399"/>
      <c r="P436" s="18"/>
    </row>
    <row r="437" spans="3:16" ht="26" customHeight="1">
      <c r="D437" s="399"/>
      <c r="E437" s="399"/>
      <c r="F437" s="1492"/>
      <c r="G437" s="1492"/>
      <c r="H437" s="1492"/>
      <c r="I437" s="1492"/>
      <c r="J437" s="1492"/>
      <c r="K437" s="1492"/>
      <c r="L437" s="1492"/>
      <c r="M437" s="1492"/>
      <c r="N437" s="1492"/>
      <c r="O437" s="399"/>
      <c r="P437" s="18"/>
    </row>
    <row r="438" spans="3:16" ht="26" customHeight="1">
      <c r="D438" s="399"/>
      <c r="E438" s="399"/>
      <c r="F438" s="1492"/>
      <c r="G438" s="1492"/>
      <c r="H438" s="1492"/>
      <c r="I438" s="1492"/>
      <c r="J438" s="1492"/>
      <c r="K438" s="1492"/>
      <c r="L438" s="1492"/>
      <c r="M438" s="1492"/>
      <c r="N438" s="1492"/>
      <c r="O438" s="399"/>
      <c r="P438" s="18"/>
    </row>
    <row r="439" spans="3:16" ht="26" customHeight="1">
      <c r="D439" s="399"/>
      <c r="E439" s="399"/>
      <c r="F439" s="1492"/>
      <c r="G439" s="1492"/>
      <c r="H439" s="1492"/>
      <c r="I439" s="1492"/>
      <c r="J439" s="1492"/>
      <c r="K439" s="1492"/>
      <c r="L439" s="1492"/>
      <c r="M439" s="1492"/>
      <c r="N439" s="1492"/>
      <c r="O439" s="399"/>
      <c r="P439" s="18"/>
    </row>
    <row r="440" spans="3:16" ht="26" customHeight="1">
      <c r="D440" s="399"/>
      <c r="E440" s="399"/>
      <c r="F440" s="1492"/>
      <c r="G440" s="1492"/>
      <c r="H440" s="1492"/>
      <c r="I440" s="1492"/>
      <c r="J440" s="1492"/>
      <c r="K440" s="1492"/>
      <c r="L440" s="1492"/>
      <c r="M440" s="1492"/>
      <c r="N440" s="1492"/>
      <c r="O440" s="399"/>
      <c r="P440" s="18"/>
    </row>
    <row r="441" spans="3:16" ht="26" customHeight="1">
      <c r="C441" s="1496"/>
      <c r="D441" s="1496"/>
      <c r="E441" s="1496"/>
      <c r="F441" s="1496"/>
      <c r="G441" s="1496"/>
      <c r="H441" s="1496"/>
      <c r="I441" s="1496"/>
      <c r="J441" s="1496"/>
      <c r="K441" s="1497"/>
      <c r="L441" s="1497"/>
      <c r="M441" s="1497"/>
      <c r="N441" s="1497"/>
      <c r="O441" s="1497"/>
      <c r="P441" s="18"/>
    </row>
    <row r="442" spans="3:16" ht="23" customHeight="1">
      <c r="C442" s="1496"/>
      <c r="D442" s="1496"/>
      <c r="E442" s="1496"/>
      <c r="F442" s="1496"/>
      <c r="G442" s="1496"/>
      <c r="H442" s="1496"/>
      <c r="I442" s="1496"/>
      <c r="J442" s="1496"/>
      <c r="K442" s="1498"/>
      <c r="L442" s="1498"/>
      <c r="M442" s="1498"/>
      <c r="N442" s="1498"/>
      <c r="O442" s="1498"/>
      <c r="P442" s="588"/>
    </row>
    <row r="443" spans="3:16" ht="23" customHeight="1">
      <c r="C443" s="1495"/>
      <c r="D443" s="1495"/>
      <c r="E443" s="1495"/>
      <c r="F443" s="1495"/>
      <c r="G443" s="1495"/>
      <c r="H443" s="1495"/>
      <c r="I443" s="1495"/>
      <c r="J443" s="1495"/>
      <c r="K443" s="1495"/>
      <c r="L443" s="1495"/>
      <c r="M443" s="1495"/>
      <c r="N443" s="1495"/>
      <c r="O443" s="1495"/>
      <c r="P443" s="557"/>
    </row>
    <row r="444" spans="3:16" ht="23" customHeight="1">
      <c r="D444" s="557"/>
      <c r="E444" s="557"/>
      <c r="F444" s="557"/>
      <c r="G444" s="557"/>
      <c r="H444" s="557"/>
      <c r="I444" s="557"/>
      <c r="J444" s="557"/>
      <c r="K444" s="557"/>
      <c r="L444" s="557"/>
      <c r="M444" s="557"/>
      <c r="N444" s="557"/>
      <c r="O444" s="1495"/>
      <c r="P444" s="557"/>
    </row>
    <row r="445" spans="3:16" ht="23" customHeight="1">
      <c r="D445" s="18"/>
      <c r="E445" s="18"/>
      <c r="F445" s="18"/>
      <c r="G445" s="18"/>
      <c r="H445" s="557"/>
      <c r="I445" s="18"/>
      <c r="J445" s="18"/>
      <c r="K445" s="557"/>
      <c r="L445" s="18"/>
      <c r="M445" s="18"/>
      <c r="N445" s="557"/>
      <c r="O445" s="1495"/>
      <c r="P445" s="557"/>
    </row>
    <row r="446" spans="3:16" ht="23" customHeight="1">
      <c r="D446" s="557"/>
      <c r="E446" s="557"/>
      <c r="F446" s="557"/>
      <c r="G446" s="557"/>
      <c r="H446" s="557"/>
      <c r="I446" s="557"/>
      <c r="J446" s="557"/>
      <c r="K446" s="557"/>
      <c r="L446" s="557"/>
      <c r="M446" s="557"/>
      <c r="N446" s="557"/>
      <c r="O446" s="1495"/>
      <c r="P446" s="557"/>
    </row>
    <row r="447" spans="3:16" ht="23" customHeight="1">
      <c r="D447" s="399"/>
      <c r="E447" s="399"/>
      <c r="F447" s="1492"/>
      <c r="G447" s="1492"/>
      <c r="H447" s="1492"/>
      <c r="I447" s="1492"/>
      <c r="J447" s="1492"/>
      <c r="K447" s="1492"/>
      <c r="L447" s="1492"/>
      <c r="M447" s="1492"/>
      <c r="N447" s="1492"/>
      <c r="O447" s="399"/>
      <c r="P447" s="18"/>
    </row>
    <row r="448" spans="3:16" ht="29" customHeight="1">
      <c r="D448" s="399"/>
      <c r="E448" s="399"/>
      <c r="F448" s="1492"/>
      <c r="G448" s="1492"/>
      <c r="H448" s="1492"/>
      <c r="I448" s="1492"/>
      <c r="J448" s="1492"/>
      <c r="K448" s="1492"/>
      <c r="L448" s="1492"/>
      <c r="M448" s="1492"/>
      <c r="N448" s="1492"/>
      <c r="O448" s="399"/>
      <c r="P448" s="18"/>
    </row>
    <row r="449" spans="4:16" ht="29" customHeight="1">
      <c r="D449" s="399"/>
      <c r="E449" s="399"/>
      <c r="F449" s="1492"/>
      <c r="G449" s="1492"/>
      <c r="H449" s="1492"/>
      <c r="I449" s="1492"/>
      <c r="J449" s="1492"/>
      <c r="K449" s="1492"/>
      <c r="L449" s="1492"/>
      <c r="M449" s="1492"/>
      <c r="N449" s="1492"/>
      <c r="O449" s="399"/>
      <c r="P449" s="18"/>
    </row>
    <row r="450" spans="4:16" ht="29" customHeight="1">
      <c r="D450" s="399"/>
      <c r="E450" s="399"/>
      <c r="F450" s="1492"/>
      <c r="G450" s="1492"/>
      <c r="H450" s="1492"/>
      <c r="I450" s="1492"/>
      <c r="J450" s="1492"/>
      <c r="K450" s="1492"/>
      <c r="L450" s="1492"/>
      <c r="M450" s="1492"/>
      <c r="N450" s="1492"/>
      <c r="O450" s="399"/>
      <c r="P450" s="18"/>
    </row>
    <row r="451" spans="4:16" ht="29" customHeight="1">
      <c r="D451" s="399"/>
      <c r="E451" s="399"/>
      <c r="F451" s="1492"/>
      <c r="G451" s="1492"/>
      <c r="H451" s="1492"/>
      <c r="I451" s="1492"/>
      <c r="J451" s="1492"/>
      <c r="K451" s="1492"/>
      <c r="L451" s="1492"/>
      <c r="M451" s="1492"/>
      <c r="N451" s="1492"/>
      <c r="O451" s="399"/>
      <c r="P451" s="18"/>
    </row>
    <row r="452" spans="4:16" ht="29" customHeight="1">
      <c r="D452" s="399"/>
      <c r="E452" s="399"/>
      <c r="F452" s="1492"/>
      <c r="G452" s="1492"/>
      <c r="H452" s="1492"/>
      <c r="I452" s="1492"/>
      <c r="J452" s="1492"/>
      <c r="K452" s="1492"/>
      <c r="L452" s="1492"/>
      <c r="M452" s="1492"/>
      <c r="N452" s="1492"/>
      <c r="O452" s="399"/>
      <c r="P452" s="18"/>
    </row>
    <row r="453" spans="4:16" ht="29" customHeight="1">
      <c r="D453" s="399"/>
      <c r="E453" s="399"/>
      <c r="F453" s="1492"/>
      <c r="G453" s="1492"/>
      <c r="H453" s="1492"/>
      <c r="I453" s="1492"/>
      <c r="J453" s="1492"/>
      <c r="K453" s="1492"/>
      <c r="L453" s="1492"/>
      <c r="M453" s="1492"/>
      <c r="N453" s="1492"/>
      <c r="O453" s="399"/>
      <c r="P453" s="18"/>
    </row>
    <row r="454" spans="4:16" ht="29" customHeight="1">
      <c r="D454" s="399"/>
      <c r="E454" s="399"/>
      <c r="F454" s="1492"/>
      <c r="G454" s="1492"/>
      <c r="H454" s="1492"/>
      <c r="I454" s="1492"/>
      <c r="J454" s="1492"/>
      <c r="K454" s="1492"/>
      <c r="L454" s="1492"/>
      <c r="M454" s="1492"/>
      <c r="N454" s="1492"/>
      <c r="O454" s="399"/>
      <c r="P454" s="18"/>
    </row>
    <row r="455" spans="4:16" ht="29" customHeight="1">
      <c r="D455" s="399"/>
      <c r="E455" s="399"/>
      <c r="F455" s="1492"/>
      <c r="G455" s="1492"/>
      <c r="H455" s="1492"/>
      <c r="I455" s="1492"/>
      <c r="J455" s="1492"/>
      <c r="K455" s="1492"/>
      <c r="L455" s="1492"/>
      <c r="M455" s="1492"/>
      <c r="N455" s="1492"/>
      <c r="O455" s="399"/>
      <c r="P455" s="18"/>
    </row>
    <row r="456" spans="4:16" ht="29" customHeight="1">
      <c r="D456" s="399"/>
      <c r="E456" s="399"/>
      <c r="F456" s="1492"/>
      <c r="G456" s="1492"/>
      <c r="H456" s="1492"/>
      <c r="I456" s="1492"/>
      <c r="J456" s="1492"/>
      <c r="K456" s="1492"/>
      <c r="L456" s="1492"/>
      <c r="M456" s="1492"/>
      <c r="N456" s="1492"/>
      <c r="O456" s="399"/>
      <c r="P456" s="18"/>
    </row>
    <row r="457" spans="4:16" ht="29" customHeight="1">
      <c r="D457" s="399"/>
      <c r="E457" s="399"/>
      <c r="F457" s="1492"/>
      <c r="G457" s="1492"/>
      <c r="H457" s="1492"/>
      <c r="I457" s="1492"/>
      <c r="J457" s="1492"/>
      <c r="K457" s="1492"/>
      <c r="L457" s="1492"/>
      <c r="M457" s="1492"/>
      <c r="N457" s="1492"/>
      <c r="O457" s="399"/>
      <c r="P457" s="18"/>
    </row>
    <row r="458" spans="4:16" ht="29" customHeight="1">
      <c r="D458" s="399"/>
      <c r="E458" s="399"/>
      <c r="F458" s="1492"/>
      <c r="G458" s="1492"/>
      <c r="H458" s="1492"/>
      <c r="I458" s="1492"/>
      <c r="J458" s="1492"/>
      <c r="K458" s="1492"/>
      <c r="L458" s="1492"/>
      <c r="M458" s="1492"/>
      <c r="N458" s="1492"/>
      <c r="O458" s="399"/>
      <c r="P458" s="18"/>
    </row>
    <row r="459" spans="4:16" ht="29" customHeight="1">
      <c r="D459" s="399"/>
      <c r="E459" s="399"/>
      <c r="F459" s="1492"/>
      <c r="G459" s="1492"/>
      <c r="H459" s="1492"/>
      <c r="I459" s="1492"/>
      <c r="J459" s="1492"/>
      <c r="K459" s="1492"/>
      <c r="L459" s="1492"/>
      <c r="M459" s="1492"/>
      <c r="N459" s="1492"/>
      <c r="O459" s="399"/>
      <c r="P459" s="18"/>
    </row>
    <row r="460" spans="4:16" ht="29" customHeight="1">
      <c r="D460" s="399"/>
      <c r="E460" s="399"/>
      <c r="F460" s="1492"/>
      <c r="G460" s="1492"/>
      <c r="H460" s="1492"/>
      <c r="I460" s="1492"/>
      <c r="J460" s="1492"/>
      <c r="K460" s="1492"/>
      <c r="L460" s="1492"/>
      <c r="M460" s="1492"/>
      <c r="N460" s="1492"/>
      <c r="O460" s="399"/>
      <c r="P460" s="18"/>
    </row>
    <row r="461" spans="4:16" ht="29" customHeight="1">
      <c r="D461" s="399"/>
      <c r="E461" s="399"/>
      <c r="F461" s="1492"/>
      <c r="G461" s="1492"/>
      <c r="H461" s="1492"/>
      <c r="I461" s="1492"/>
      <c r="J461" s="1492"/>
      <c r="K461" s="1492"/>
      <c r="L461" s="1492"/>
      <c r="M461" s="1492"/>
      <c r="N461" s="1492"/>
      <c r="O461" s="399"/>
      <c r="P461" s="18"/>
    </row>
    <row r="462" spans="4:16" ht="29" customHeight="1">
      <c r="D462" s="399"/>
      <c r="E462" s="399"/>
      <c r="F462" s="1492"/>
      <c r="G462" s="1492"/>
      <c r="H462" s="1492"/>
      <c r="I462" s="1492"/>
      <c r="J462" s="1492"/>
      <c r="K462" s="1492"/>
      <c r="L462" s="1492"/>
      <c r="M462" s="1492"/>
      <c r="N462" s="1492"/>
      <c r="O462" s="399"/>
      <c r="P462" s="18"/>
    </row>
    <row r="463" spans="4:16" ht="29" customHeight="1">
      <c r="D463" s="399"/>
      <c r="E463" s="399"/>
      <c r="F463" s="1492"/>
      <c r="G463" s="1492"/>
      <c r="H463" s="1492"/>
      <c r="I463" s="1492"/>
      <c r="J463" s="1492"/>
      <c r="K463" s="1492"/>
      <c r="L463" s="1492"/>
      <c r="M463" s="1492"/>
      <c r="N463" s="1492"/>
      <c r="O463" s="399"/>
      <c r="P463" s="18"/>
    </row>
    <row r="464" spans="4:16" ht="29" customHeight="1">
      <c r="D464" s="399"/>
      <c r="E464" s="399"/>
      <c r="F464" s="1492"/>
      <c r="G464" s="1492"/>
      <c r="H464" s="1492"/>
      <c r="I464" s="1492"/>
      <c r="J464" s="1492"/>
      <c r="K464" s="1492"/>
      <c r="L464" s="1492"/>
      <c r="M464" s="1492"/>
      <c r="N464" s="1492"/>
      <c r="O464" s="399"/>
      <c r="P464" s="18"/>
    </row>
    <row r="465" spans="4:16" ht="29" customHeight="1">
      <c r="D465" s="399"/>
      <c r="E465" s="399"/>
      <c r="F465" s="1492"/>
      <c r="G465" s="1492"/>
      <c r="H465" s="1492"/>
      <c r="I465" s="1492"/>
      <c r="J465" s="1492"/>
      <c r="K465" s="1492"/>
      <c r="L465" s="1492"/>
      <c r="M465" s="1492"/>
      <c r="N465" s="1492"/>
      <c r="O465" s="399"/>
      <c r="P465" s="18"/>
    </row>
    <row r="466" spans="4:16" ht="29" customHeight="1">
      <c r="D466" s="399"/>
      <c r="E466" s="399"/>
      <c r="F466" s="1492"/>
      <c r="G466" s="1492"/>
      <c r="H466" s="1492"/>
      <c r="I466" s="1492"/>
      <c r="J466" s="1492"/>
      <c r="K466" s="1492"/>
      <c r="L466" s="1492"/>
      <c r="M466" s="1492"/>
      <c r="N466" s="1492"/>
      <c r="O466" s="399"/>
      <c r="P466" s="18"/>
    </row>
    <row r="467" spans="4:16" ht="29" customHeight="1">
      <c r="D467" s="399"/>
      <c r="E467" s="399"/>
      <c r="F467" s="1492"/>
      <c r="G467" s="1492"/>
      <c r="H467" s="1492"/>
      <c r="I467" s="1492"/>
      <c r="J467" s="1492"/>
      <c r="K467" s="1492"/>
      <c r="L467" s="1492"/>
      <c r="M467" s="1492"/>
      <c r="N467" s="1492"/>
      <c r="O467" s="399"/>
      <c r="P467" s="18"/>
    </row>
    <row r="468" spans="4:16" ht="29" customHeight="1">
      <c r="D468" s="399"/>
      <c r="E468" s="399"/>
      <c r="F468" s="1492"/>
      <c r="G468" s="1492"/>
      <c r="H468" s="1492"/>
      <c r="I468" s="1492"/>
      <c r="J468" s="1492"/>
      <c r="K468" s="1492"/>
      <c r="L468" s="1492"/>
      <c r="M468" s="1492"/>
      <c r="N468" s="1492"/>
      <c r="O468" s="399"/>
      <c r="P468" s="18"/>
    </row>
    <row r="469" spans="4:16" ht="29" customHeight="1">
      <c r="D469" s="399"/>
      <c r="E469" s="399"/>
      <c r="F469" s="1492"/>
      <c r="G469" s="1492"/>
      <c r="H469" s="1492"/>
      <c r="I469" s="1492"/>
      <c r="J469" s="1492"/>
      <c r="K469" s="1492"/>
      <c r="L469" s="1492"/>
      <c r="M469" s="1492"/>
      <c r="N469" s="1492"/>
      <c r="O469" s="399"/>
      <c r="P469" s="18"/>
    </row>
    <row r="470" spans="4:16" ht="29" customHeight="1">
      <c r="D470" s="399"/>
      <c r="E470" s="399"/>
      <c r="F470" s="1492"/>
      <c r="G470" s="1492"/>
      <c r="H470" s="1492"/>
      <c r="I470" s="1492"/>
      <c r="J470" s="1492"/>
      <c r="K470" s="1492"/>
      <c r="L470" s="1492"/>
      <c r="M470" s="1492"/>
      <c r="N470" s="1492"/>
      <c r="O470" s="399"/>
      <c r="P470" s="18"/>
    </row>
    <row r="471" spans="4:16" ht="29" customHeight="1">
      <c r="D471" s="399"/>
      <c r="E471" s="399"/>
      <c r="F471" s="1492"/>
      <c r="G471" s="1492"/>
      <c r="H471" s="1492"/>
      <c r="I471" s="1492"/>
      <c r="J471" s="1492"/>
      <c r="K471" s="1492"/>
      <c r="L471" s="1492"/>
      <c r="M471" s="1492"/>
      <c r="N471" s="1492"/>
      <c r="O471" s="399"/>
      <c r="P471" s="18"/>
    </row>
    <row r="472" spans="4:16" ht="29" customHeight="1">
      <c r="D472" s="399"/>
      <c r="E472" s="399"/>
      <c r="F472" s="1492"/>
      <c r="G472" s="1492"/>
      <c r="H472" s="1492"/>
      <c r="I472" s="1492"/>
      <c r="J472" s="1492"/>
      <c r="K472" s="1492"/>
      <c r="L472" s="1492"/>
      <c r="M472" s="1492"/>
      <c r="N472" s="1492"/>
      <c r="O472" s="399"/>
      <c r="P472" s="18"/>
    </row>
    <row r="473" spans="4:16" ht="29" customHeight="1">
      <c r="D473" s="399"/>
      <c r="E473" s="399"/>
      <c r="F473" s="1492"/>
      <c r="G473" s="1492"/>
      <c r="H473" s="1492"/>
      <c r="I473" s="1492"/>
      <c r="J473" s="1492"/>
      <c r="K473" s="1492"/>
      <c r="L473" s="1492"/>
      <c r="M473" s="1492"/>
      <c r="N473" s="1492"/>
      <c r="O473" s="399"/>
      <c r="P473" s="18"/>
    </row>
    <row r="474" spans="4:16" ht="29" customHeight="1">
      <c r="D474" s="399"/>
      <c r="E474" s="399"/>
      <c r="F474" s="1492"/>
      <c r="G474" s="1492"/>
      <c r="H474" s="1492"/>
      <c r="I474" s="1492"/>
      <c r="J474" s="1492"/>
      <c r="K474" s="1492"/>
      <c r="L474" s="1492"/>
      <c r="M474" s="1492"/>
      <c r="N474" s="1492"/>
      <c r="O474" s="399"/>
      <c r="P474" s="18"/>
    </row>
    <row r="475" spans="4:16" ht="29" customHeight="1">
      <c r="D475" s="399"/>
      <c r="E475" s="399"/>
      <c r="F475" s="1492"/>
      <c r="G475" s="1492"/>
      <c r="H475" s="1492"/>
      <c r="I475" s="1492"/>
      <c r="J475" s="1492"/>
      <c r="K475" s="1492"/>
      <c r="L475" s="1492"/>
      <c r="M475" s="1492"/>
      <c r="N475" s="1492"/>
      <c r="O475" s="399"/>
      <c r="P475" s="18"/>
    </row>
    <row r="476" spans="4:16" ht="29" customHeight="1">
      <c r="D476" s="399"/>
      <c r="E476" s="399"/>
      <c r="F476" s="1492"/>
      <c r="G476" s="1492"/>
      <c r="H476" s="1492"/>
      <c r="I476" s="1492"/>
      <c r="J476" s="1492"/>
      <c r="K476" s="1492"/>
      <c r="L476" s="1492"/>
      <c r="M476" s="1492"/>
      <c r="N476" s="1492"/>
      <c r="O476" s="399"/>
      <c r="P476" s="18"/>
    </row>
    <row r="477" spans="4:16" ht="29" customHeight="1">
      <c r="D477" s="399"/>
      <c r="E477" s="399"/>
      <c r="F477" s="1492"/>
      <c r="G477" s="1492"/>
      <c r="H477" s="1492"/>
      <c r="I477" s="1492"/>
      <c r="J477" s="1492"/>
      <c r="K477" s="1492"/>
      <c r="L477" s="1492"/>
      <c r="M477" s="1492"/>
      <c r="N477" s="1492"/>
      <c r="O477" s="399"/>
      <c r="P477" s="18"/>
    </row>
    <row r="478" spans="4:16" ht="29" customHeight="1">
      <c r="D478" s="399"/>
      <c r="E478" s="399"/>
      <c r="F478" s="1492"/>
      <c r="G478" s="1492"/>
      <c r="H478" s="1492"/>
      <c r="I478" s="1492"/>
      <c r="J478" s="1492"/>
      <c r="K478" s="1492"/>
      <c r="L478" s="1492"/>
      <c r="M478" s="1492"/>
      <c r="N478" s="1492"/>
      <c r="O478" s="399"/>
      <c r="P478" s="18"/>
    </row>
    <row r="479" spans="4:16" ht="29" customHeight="1">
      <c r="D479" s="399"/>
      <c r="E479" s="399"/>
      <c r="F479" s="1492"/>
      <c r="G479" s="1492"/>
      <c r="H479" s="1492"/>
      <c r="I479" s="1492"/>
      <c r="J479" s="1492"/>
      <c r="K479" s="1492"/>
      <c r="L479" s="1492"/>
      <c r="M479" s="1492"/>
      <c r="N479" s="1492"/>
      <c r="O479" s="399"/>
      <c r="P479" s="18"/>
    </row>
    <row r="480" spans="4:16" ht="29" customHeight="1">
      <c r="D480" s="399"/>
      <c r="E480" s="399"/>
      <c r="F480" s="1492"/>
      <c r="G480" s="1492"/>
      <c r="H480" s="1492"/>
      <c r="I480" s="1492"/>
      <c r="J480" s="1492"/>
      <c r="K480" s="1492"/>
      <c r="L480" s="1492"/>
      <c r="M480" s="1492"/>
      <c r="N480" s="1492"/>
      <c r="O480" s="399"/>
      <c r="P480" s="18"/>
    </row>
    <row r="481" spans="3:16" ht="29" customHeight="1">
      <c r="D481" s="399"/>
      <c r="E481" s="399"/>
      <c r="F481" s="1492"/>
      <c r="G481" s="1492"/>
      <c r="H481" s="1492"/>
      <c r="I481" s="1492"/>
      <c r="J481" s="1492"/>
      <c r="K481" s="1492"/>
      <c r="L481" s="1492"/>
      <c r="M481" s="1492"/>
      <c r="N481" s="1492"/>
      <c r="O481" s="399"/>
      <c r="P481" s="18"/>
    </row>
    <row r="482" spans="3:16" ht="29" customHeight="1">
      <c r="D482" s="399"/>
      <c r="E482" s="399"/>
      <c r="F482" s="1492"/>
      <c r="G482" s="1492"/>
      <c r="H482" s="1492"/>
      <c r="I482" s="1492"/>
      <c r="J482" s="1492"/>
      <c r="K482" s="1492"/>
      <c r="L482" s="1492"/>
      <c r="M482" s="1492"/>
      <c r="N482" s="1492"/>
      <c r="O482" s="399"/>
      <c r="P482" s="18"/>
    </row>
    <row r="483" spans="3:16" ht="29" customHeight="1">
      <c r="D483" s="399"/>
      <c r="E483" s="399"/>
      <c r="F483" s="1492"/>
      <c r="G483" s="1492"/>
      <c r="H483" s="1492"/>
      <c r="I483" s="1492"/>
      <c r="J483" s="1492"/>
      <c r="K483" s="1492"/>
      <c r="L483" s="1492"/>
      <c r="M483" s="1492"/>
      <c r="N483" s="1492"/>
      <c r="O483" s="399"/>
      <c r="P483" s="18"/>
    </row>
    <row r="484" spans="3:16" ht="29" customHeight="1">
      <c r="D484" s="399"/>
      <c r="E484" s="399"/>
      <c r="F484" s="1492"/>
      <c r="G484" s="1492"/>
      <c r="H484" s="1492"/>
      <c r="I484" s="1492"/>
      <c r="J484" s="1492"/>
      <c r="K484" s="1492"/>
      <c r="L484" s="1492"/>
      <c r="M484" s="1492"/>
      <c r="N484" s="1492"/>
      <c r="O484" s="399"/>
      <c r="P484" s="18"/>
    </row>
    <row r="485" spans="3:16" ht="29" customHeight="1">
      <c r="C485" s="1496"/>
      <c r="D485" s="1496"/>
      <c r="E485" s="1496"/>
      <c r="F485" s="1496"/>
      <c r="G485" s="1496"/>
      <c r="H485" s="1496"/>
      <c r="I485" s="1496"/>
      <c r="J485" s="1496"/>
      <c r="K485" s="1497"/>
      <c r="L485" s="1497"/>
      <c r="M485" s="1497"/>
      <c r="N485" s="1497"/>
      <c r="O485" s="1497"/>
      <c r="P485" s="18"/>
    </row>
    <row r="486" spans="3:16" ht="23" customHeight="1">
      <c r="C486" s="1496"/>
      <c r="D486" s="1496"/>
      <c r="E486" s="1496"/>
      <c r="F486" s="1496"/>
      <c r="G486" s="1496"/>
      <c r="H486" s="1496"/>
      <c r="I486" s="1496"/>
      <c r="J486" s="1496"/>
      <c r="K486" s="1498"/>
      <c r="L486" s="1498"/>
      <c r="M486" s="1498"/>
      <c r="N486" s="1498"/>
      <c r="O486" s="1498"/>
      <c r="P486" s="588"/>
    </row>
    <row r="487" spans="3:16" ht="23" customHeight="1">
      <c r="C487" s="1495"/>
      <c r="D487" s="1495"/>
      <c r="E487" s="1495"/>
      <c r="F487" s="1495"/>
      <c r="G487" s="1495"/>
      <c r="H487" s="1495"/>
      <c r="I487" s="1495"/>
      <c r="J487" s="1495"/>
      <c r="K487" s="1495"/>
      <c r="L487" s="1495"/>
      <c r="M487" s="1495"/>
      <c r="N487" s="1495"/>
      <c r="O487" s="1495"/>
      <c r="P487" s="557"/>
    </row>
    <row r="488" spans="3:16" ht="24" customHeight="1">
      <c r="D488" s="557"/>
      <c r="E488" s="557"/>
      <c r="F488" s="557"/>
      <c r="G488" s="557"/>
      <c r="H488" s="557"/>
      <c r="I488" s="557"/>
      <c r="J488" s="557"/>
      <c r="K488" s="557"/>
      <c r="L488" s="557"/>
      <c r="M488" s="557"/>
      <c r="N488" s="557"/>
      <c r="O488" s="1495"/>
      <c r="P488" s="557"/>
    </row>
    <row r="489" spans="3:16" ht="24" customHeight="1">
      <c r="D489" s="18"/>
      <c r="E489" s="18"/>
      <c r="F489" s="18"/>
      <c r="G489" s="18"/>
      <c r="H489" s="557"/>
      <c r="I489" s="18"/>
      <c r="J489" s="18"/>
      <c r="K489" s="557"/>
      <c r="L489" s="18"/>
      <c r="M489" s="18"/>
      <c r="N489" s="557"/>
      <c r="O489" s="1495"/>
      <c r="P489" s="557"/>
    </row>
    <row r="490" spans="3:16" ht="24" customHeight="1">
      <c r="D490" s="557"/>
      <c r="E490" s="557"/>
      <c r="F490" s="557"/>
      <c r="G490" s="557"/>
      <c r="H490" s="557"/>
      <c r="I490" s="557"/>
      <c r="J490" s="557"/>
      <c r="K490" s="557"/>
      <c r="L490" s="557"/>
      <c r="M490" s="557"/>
      <c r="N490" s="557"/>
      <c r="O490" s="1495"/>
      <c r="P490" s="557"/>
    </row>
    <row r="491" spans="3:16" ht="24" customHeight="1">
      <c r="D491" s="557"/>
      <c r="E491" s="557"/>
      <c r="F491" s="1495"/>
      <c r="G491" s="1495"/>
      <c r="H491" s="1495"/>
      <c r="I491" s="1492"/>
      <c r="J491" s="1492"/>
      <c r="K491" s="1492"/>
      <c r="L491" s="1492"/>
      <c r="M491" s="1492"/>
      <c r="N491" s="1492"/>
      <c r="O491" s="399"/>
      <c r="P491" s="18"/>
    </row>
    <row r="492" spans="3:16" ht="27.5" customHeight="1">
      <c r="D492" s="557"/>
      <c r="E492" s="557"/>
      <c r="F492" s="1495"/>
      <c r="G492" s="1495"/>
      <c r="H492" s="1495"/>
      <c r="I492" s="1492"/>
      <c r="J492" s="1492"/>
      <c r="K492" s="1492"/>
      <c r="L492" s="1492"/>
      <c r="M492" s="1492"/>
      <c r="N492" s="1492"/>
      <c r="O492" s="399"/>
      <c r="P492" s="18"/>
    </row>
    <row r="493" spans="3:16" ht="27.5" customHeight="1">
      <c r="D493" s="557"/>
      <c r="E493" s="557"/>
      <c r="F493" s="1495"/>
      <c r="G493" s="1495"/>
      <c r="H493" s="1495"/>
      <c r="I493" s="1492"/>
      <c r="J493" s="1492"/>
      <c r="K493" s="1492"/>
      <c r="L493" s="1492"/>
      <c r="M493" s="1492"/>
      <c r="N493" s="1492"/>
      <c r="O493" s="399"/>
      <c r="P493" s="18"/>
    </row>
    <row r="494" spans="3:16" ht="27.5" customHeight="1">
      <c r="D494" s="557"/>
      <c r="E494" s="557"/>
      <c r="F494" s="1495"/>
      <c r="G494" s="1495"/>
      <c r="H494" s="1495"/>
      <c r="I494" s="1492"/>
      <c r="J494" s="1492"/>
      <c r="K494" s="1492"/>
      <c r="L494" s="1492"/>
      <c r="M494" s="1492"/>
      <c r="N494" s="1492"/>
      <c r="O494" s="399"/>
      <c r="P494" s="18"/>
    </row>
    <row r="495" spans="3:16" ht="27.5" customHeight="1">
      <c r="D495" s="557"/>
      <c r="E495" s="557"/>
      <c r="F495" s="1495"/>
      <c r="G495" s="1495"/>
      <c r="H495" s="1495"/>
      <c r="I495" s="1492"/>
      <c r="J495" s="1492"/>
      <c r="K495" s="1492"/>
      <c r="L495" s="1492"/>
      <c r="M495" s="1492"/>
      <c r="N495" s="1492"/>
      <c r="O495" s="399"/>
      <c r="P495" s="18"/>
    </row>
    <row r="496" spans="3:16" ht="27.5" customHeight="1">
      <c r="D496" s="557"/>
      <c r="E496" s="557"/>
      <c r="F496" s="1495"/>
      <c r="G496" s="1495"/>
      <c r="H496" s="1495"/>
      <c r="I496" s="1492"/>
      <c r="J496" s="1492"/>
      <c r="K496" s="1492"/>
      <c r="L496" s="1492"/>
      <c r="M496" s="1492"/>
      <c r="N496" s="1492"/>
      <c r="O496" s="399"/>
      <c r="P496" s="18"/>
    </row>
    <row r="497" spans="4:16" ht="27.5" customHeight="1">
      <c r="D497" s="557"/>
      <c r="E497" s="557"/>
      <c r="F497" s="1495"/>
      <c r="G497" s="1495"/>
      <c r="H497" s="1495"/>
      <c r="I497" s="1492"/>
      <c r="J497" s="1492"/>
      <c r="K497" s="1492"/>
      <c r="L497" s="1492"/>
      <c r="M497" s="1492"/>
      <c r="N497" s="1492"/>
      <c r="O497" s="399"/>
      <c r="P497" s="18"/>
    </row>
    <row r="498" spans="4:16" ht="27.5" customHeight="1">
      <c r="D498" s="557"/>
      <c r="E498" s="557"/>
      <c r="F498" s="1495"/>
      <c r="G498" s="1495"/>
      <c r="H498" s="1495"/>
      <c r="I498" s="1492"/>
      <c r="J498" s="1492"/>
      <c r="K498" s="1492"/>
      <c r="L498" s="1492"/>
      <c r="M498" s="1492"/>
      <c r="N498" s="1492"/>
      <c r="O498" s="399"/>
      <c r="P498" s="18"/>
    </row>
    <row r="499" spans="4:16" ht="27.5" customHeight="1">
      <c r="D499" s="557"/>
      <c r="E499" s="557"/>
      <c r="F499" s="1495"/>
      <c r="G499" s="1495"/>
      <c r="H499" s="1495"/>
      <c r="I499" s="1492"/>
      <c r="J499" s="1492"/>
      <c r="K499" s="1492"/>
      <c r="L499" s="1492"/>
      <c r="M499" s="1492"/>
      <c r="N499" s="1492"/>
      <c r="O499" s="399"/>
      <c r="P499" s="18"/>
    </row>
    <row r="500" spans="4:16" ht="27.5" customHeight="1">
      <c r="D500" s="557"/>
      <c r="E500" s="557"/>
      <c r="F500" s="1495"/>
      <c r="G500" s="1495"/>
      <c r="H500" s="1495"/>
      <c r="I500" s="1492"/>
      <c r="J500" s="1492"/>
      <c r="K500" s="1492"/>
      <c r="L500" s="1492"/>
      <c r="M500" s="1492"/>
      <c r="N500" s="1492"/>
      <c r="O500" s="399"/>
      <c r="P500" s="18"/>
    </row>
    <row r="501" spans="4:16" ht="27.5" customHeight="1">
      <c r="D501" s="557"/>
      <c r="E501" s="557"/>
      <c r="F501" s="1495"/>
      <c r="G501" s="1495"/>
      <c r="H501" s="1495"/>
      <c r="I501" s="1492"/>
      <c r="J501" s="1492"/>
      <c r="K501" s="1492"/>
      <c r="L501" s="1492"/>
      <c r="M501" s="1492"/>
      <c r="N501" s="1492"/>
      <c r="O501" s="399"/>
      <c r="P501" s="18"/>
    </row>
    <row r="502" spans="4:16" ht="27.5" customHeight="1">
      <c r="D502" s="557"/>
      <c r="E502" s="557"/>
      <c r="F502" s="1495"/>
      <c r="G502" s="1495"/>
      <c r="H502" s="1495"/>
      <c r="I502" s="1492"/>
      <c r="J502" s="1492"/>
      <c r="K502" s="1492"/>
      <c r="L502" s="1492"/>
      <c r="M502" s="1492"/>
      <c r="N502" s="1492"/>
      <c r="O502" s="399"/>
      <c r="P502" s="18"/>
    </row>
    <row r="503" spans="4:16" ht="27.5" customHeight="1">
      <c r="D503" s="557"/>
      <c r="E503" s="557"/>
      <c r="F503" s="1495"/>
      <c r="G503" s="1495"/>
      <c r="H503" s="1495"/>
      <c r="I503" s="1492"/>
      <c r="J503" s="1492"/>
      <c r="K503" s="1492"/>
      <c r="L503" s="1492"/>
      <c r="M503" s="1492"/>
      <c r="N503" s="1492"/>
      <c r="O503" s="399"/>
      <c r="P503" s="18"/>
    </row>
    <row r="504" spans="4:16" ht="27.5" customHeight="1">
      <c r="D504" s="557"/>
      <c r="E504" s="557"/>
      <c r="F504" s="1495"/>
      <c r="G504" s="1495"/>
      <c r="H504" s="1495"/>
      <c r="I504" s="1492"/>
      <c r="J504" s="1492"/>
      <c r="K504" s="1492"/>
      <c r="L504" s="1492"/>
      <c r="M504" s="1492"/>
      <c r="N504" s="1492"/>
      <c r="O504" s="399"/>
      <c r="P504" s="18"/>
    </row>
    <row r="505" spans="4:16" ht="27.5" customHeight="1">
      <c r="D505" s="557"/>
      <c r="E505" s="557"/>
      <c r="F505" s="1495"/>
      <c r="G505" s="1495"/>
      <c r="H505" s="1495"/>
      <c r="I505" s="1492"/>
      <c r="J505" s="1492"/>
      <c r="K505" s="1492"/>
      <c r="L505" s="1492"/>
      <c r="M505" s="1492"/>
      <c r="N505" s="1492"/>
      <c r="O505" s="399"/>
      <c r="P505" s="18"/>
    </row>
    <row r="506" spans="4:16" ht="27.5" customHeight="1">
      <c r="D506" s="557"/>
      <c r="E506" s="557"/>
      <c r="F506" s="1495"/>
      <c r="G506" s="1495"/>
      <c r="H506" s="1495"/>
      <c r="I506" s="1492"/>
      <c r="J506" s="1492"/>
      <c r="K506" s="1492"/>
      <c r="L506" s="1492"/>
      <c r="M506" s="1492"/>
      <c r="N506" s="1492"/>
      <c r="O506" s="399"/>
      <c r="P506" s="18"/>
    </row>
    <row r="507" spans="4:16" ht="27.5" customHeight="1">
      <c r="D507" s="557"/>
      <c r="E507" s="557"/>
      <c r="F507" s="1495"/>
      <c r="G507" s="1495"/>
      <c r="H507" s="1495"/>
      <c r="I507" s="1492"/>
      <c r="J507" s="1492"/>
      <c r="K507" s="1492"/>
      <c r="L507" s="1492"/>
      <c r="M507" s="1492"/>
      <c r="N507" s="1492"/>
      <c r="O507" s="399"/>
      <c r="P507" s="18"/>
    </row>
    <row r="508" spans="4:16" ht="27.5" customHeight="1">
      <c r="D508" s="557"/>
      <c r="E508" s="557"/>
      <c r="F508" s="1495"/>
      <c r="G508" s="1495"/>
      <c r="H508" s="1495"/>
      <c r="I508" s="1492"/>
      <c r="J508" s="1492"/>
      <c r="K508" s="1492"/>
      <c r="L508" s="1492"/>
      <c r="M508" s="1492"/>
      <c r="N508" s="1492"/>
      <c r="O508" s="399"/>
      <c r="P508" s="18"/>
    </row>
    <row r="509" spans="4:16" ht="27.5" customHeight="1">
      <c r="D509" s="557"/>
      <c r="E509" s="557"/>
      <c r="F509" s="1495"/>
      <c r="G509" s="1495"/>
      <c r="H509" s="1495"/>
      <c r="I509" s="1492"/>
      <c r="J509" s="1492"/>
      <c r="K509" s="1492"/>
      <c r="L509" s="1492"/>
      <c r="M509" s="1492"/>
      <c r="N509" s="1492"/>
      <c r="O509" s="399"/>
      <c r="P509" s="18"/>
    </row>
    <row r="510" spans="4:16" ht="27.5" customHeight="1">
      <c r="D510" s="557"/>
      <c r="E510" s="557"/>
      <c r="F510" s="1495"/>
      <c r="G510" s="1495"/>
      <c r="H510" s="1495"/>
      <c r="I510" s="1492"/>
      <c r="J510" s="1492"/>
      <c r="K510" s="1492"/>
      <c r="L510" s="1492"/>
      <c r="M510" s="1492"/>
      <c r="N510" s="1492"/>
      <c r="O510" s="399"/>
      <c r="P510" s="18"/>
    </row>
    <row r="511" spans="4:16" ht="27.5" customHeight="1">
      <c r="D511" s="557"/>
      <c r="E511" s="557"/>
      <c r="F511" s="1495"/>
      <c r="G511" s="1495"/>
      <c r="H511" s="1495"/>
      <c r="I511" s="1492"/>
      <c r="J511" s="1492"/>
      <c r="K511" s="1492"/>
      <c r="L511" s="1492"/>
      <c r="M511" s="1492"/>
      <c r="N511" s="1492"/>
      <c r="O511" s="399"/>
      <c r="P511" s="18"/>
    </row>
    <row r="512" spans="4:16" ht="27.5" customHeight="1">
      <c r="D512" s="557"/>
      <c r="E512" s="557"/>
      <c r="F512" s="1495"/>
      <c r="G512" s="1495"/>
      <c r="H512" s="1495"/>
      <c r="I512" s="1492"/>
      <c r="J512" s="1492"/>
      <c r="K512" s="1492"/>
      <c r="L512" s="1492"/>
      <c r="M512" s="1492"/>
      <c r="N512" s="1492"/>
      <c r="O512" s="399"/>
      <c r="P512" s="18"/>
    </row>
    <row r="513" spans="4:16" ht="27.5" customHeight="1">
      <c r="D513" s="557"/>
      <c r="E513" s="557"/>
      <c r="F513" s="1495"/>
      <c r="G513" s="1495"/>
      <c r="H513" s="1495"/>
      <c r="I513" s="1492"/>
      <c r="J513" s="1492"/>
      <c r="K513" s="1492"/>
      <c r="L513" s="1492"/>
      <c r="M513" s="1492"/>
      <c r="N513" s="1492"/>
      <c r="O513" s="399"/>
      <c r="P513" s="18"/>
    </row>
    <row r="514" spans="4:16" ht="27.5" customHeight="1">
      <c r="D514" s="557"/>
      <c r="E514" s="557"/>
      <c r="F514" s="1495"/>
      <c r="G514" s="1495"/>
      <c r="H514" s="1495"/>
      <c r="I514" s="1492"/>
      <c r="J514" s="1492"/>
      <c r="K514" s="1492"/>
      <c r="L514" s="1492"/>
      <c r="M514" s="1492"/>
      <c r="N514" s="1492"/>
      <c r="O514" s="399"/>
      <c r="P514" s="18"/>
    </row>
    <row r="515" spans="4:16" ht="27.5" customHeight="1">
      <c r="D515" s="557"/>
      <c r="E515" s="557"/>
      <c r="F515" s="1495"/>
      <c r="G515" s="1495"/>
      <c r="H515" s="1495"/>
      <c r="I515" s="1492"/>
      <c r="J515" s="1492"/>
      <c r="K515" s="1492"/>
      <c r="L515" s="1492"/>
      <c r="M515" s="1492"/>
      <c r="N515" s="1492"/>
      <c r="O515" s="399"/>
      <c r="P515" s="18"/>
    </row>
    <row r="516" spans="4:16" ht="27.5" customHeight="1">
      <c r="D516" s="557"/>
      <c r="E516" s="557"/>
      <c r="F516" s="1495"/>
      <c r="G516" s="1495"/>
      <c r="H516" s="1495"/>
      <c r="I516" s="1492"/>
      <c r="J516" s="1492"/>
      <c r="K516" s="1492"/>
      <c r="L516" s="1492"/>
      <c r="M516" s="1492"/>
      <c r="N516" s="1492"/>
      <c r="O516" s="399"/>
      <c r="P516" s="18"/>
    </row>
    <row r="517" spans="4:16" ht="27.5" customHeight="1">
      <c r="D517" s="557"/>
      <c r="E517" s="557"/>
      <c r="F517" s="1495"/>
      <c r="G517" s="1495"/>
      <c r="H517" s="1495"/>
      <c r="I517" s="1492"/>
      <c r="J517" s="1492"/>
      <c r="K517" s="1492"/>
      <c r="L517" s="1492"/>
      <c r="M517" s="1492"/>
      <c r="N517" s="1492"/>
      <c r="O517" s="399"/>
      <c r="P517" s="18"/>
    </row>
    <row r="518" spans="4:16" ht="27.5" customHeight="1">
      <c r="D518" s="557"/>
      <c r="E518" s="557"/>
      <c r="F518" s="1495"/>
      <c r="G518" s="1495"/>
      <c r="H518" s="1495"/>
      <c r="I518" s="1492"/>
      <c r="J518" s="1492"/>
      <c r="K518" s="1492"/>
      <c r="L518" s="1492"/>
      <c r="M518" s="1492"/>
      <c r="N518" s="1492"/>
      <c r="O518" s="399"/>
      <c r="P518" s="18"/>
    </row>
    <row r="519" spans="4:16" ht="27.5" customHeight="1">
      <c r="D519" s="557"/>
      <c r="E519" s="557"/>
      <c r="F519" s="1495"/>
      <c r="G519" s="1495"/>
      <c r="H519" s="1495"/>
      <c r="I519" s="1492"/>
      <c r="J519" s="1492"/>
      <c r="K519" s="1492"/>
      <c r="L519" s="1492"/>
      <c r="M519" s="1492"/>
      <c r="N519" s="1492"/>
      <c r="O519" s="399"/>
      <c r="P519" s="18"/>
    </row>
    <row r="520" spans="4:16" ht="27.5" customHeight="1">
      <c r="D520" s="557"/>
      <c r="E520" s="557"/>
      <c r="F520" s="1495"/>
      <c r="G520" s="1495"/>
      <c r="H520" s="1495"/>
      <c r="I520" s="1492"/>
      <c r="J520" s="1492"/>
      <c r="K520" s="1492"/>
      <c r="L520" s="1492"/>
      <c r="M520" s="1492"/>
      <c r="N520" s="1492"/>
      <c r="O520" s="399"/>
      <c r="P520" s="18"/>
    </row>
    <row r="521" spans="4:16" ht="27.5" customHeight="1">
      <c r="D521" s="557"/>
      <c r="E521" s="557"/>
      <c r="F521" s="1495"/>
      <c r="G521" s="1495"/>
      <c r="H521" s="1495"/>
      <c r="I521" s="1492"/>
      <c r="J521" s="1492"/>
      <c r="K521" s="1492"/>
      <c r="L521" s="1492"/>
      <c r="M521" s="1492"/>
      <c r="N521" s="1492"/>
      <c r="O521" s="399"/>
      <c r="P521" s="18"/>
    </row>
    <row r="522" spans="4:16" ht="27.5" customHeight="1">
      <c r="D522" s="557"/>
      <c r="E522" s="557"/>
      <c r="F522" s="1495"/>
      <c r="G522" s="1495"/>
      <c r="H522" s="1495"/>
      <c r="I522" s="1492"/>
      <c r="J522" s="1492"/>
      <c r="K522" s="1492"/>
      <c r="L522" s="1492"/>
      <c r="M522" s="1492"/>
      <c r="N522" s="1492"/>
      <c r="O522" s="399"/>
      <c r="P522" s="18"/>
    </row>
    <row r="523" spans="4:16" ht="27.5" customHeight="1">
      <c r="D523" s="557"/>
      <c r="E523" s="557"/>
      <c r="F523" s="1495"/>
      <c r="G523" s="1495"/>
      <c r="H523" s="1495"/>
      <c r="I523" s="1492"/>
      <c r="J523" s="1492"/>
      <c r="K523" s="1492"/>
      <c r="L523" s="1492"/>
      <c r="M523" s="1492"/>
      <c r="N523" s="1492"/>
      <c r="O523" s="399"/>
      <c r="P523" s="18"/>
    </row>
    <row r="524" spans="4:16" ht="27.5" customHeight="1">
      <c r="D524" s="557"/>
      <c r="E524" s="557"/>
      <c r="F524" s="1495"/>
      <c r="G524" s="1495"/>
      <c r="H524" s="1495"/>
      <c r="I524" s="1492"/>
      <c r="J524" s="1492"/>
      <c r="K524" s="1492"/>
      <c r="L524" s="1492"/>
      <c r="M524" s="1492"/>
      <c r="N524" s="1492"/>
      <c r="O524" s="399"/>
      <c r="P524" s="18"/>
    </row>
    <row r="525" spans="4:16" ht="27.5" customHeight="1">
      <c r="D525" s="557"/>
      <c r="E525" s="557"/>
      <c r="F525" s="1495"/>
      <c r="G525" s="1495"/>
      <c r="H525" s="1495"/>
      <c r="I525" s="1492"/>
      <c r="J525" s="1492"/>
      <c r="K525" s="1492"/>
      <c r="L525" s="1492"/>
      <c r="M525" s="1492"/>
      <c r="N525" s="1492"/>
      <c r="O525" s="399"/>
      <c r="P525" s="18"/>
    </row>
    <row r="526" spans="4:16" ht="27.5" customHeight="1">
      <c r="D526" s="557"/>
      <c r="E526" s="557"/>
      <c r="F526" s="1495"/>
      <c r="G526" s="1495"/>
      <c r="H526" s="1495"/>
      <c r="I526" s="1492"/>
      <c r="J526" s="1492"/>
      <c r="K526" s="1492"/>
      <c r="L526" s="1492"/>
      <c r="M526" s="1492"/>
      <c r="N526" s="1492"/>
      <c r="O526" s="399"/>
      <c r="P526" s="18"/>
    </row>
    <row r="527" spans="4:16" ht="27.5" customHeight="1">
      <c r="D527" s="557"/>
      <c r="E527" s="557"/>
      <c r="F527" s="1495"/>
      <c r="G527" s="1495"/>
      <c r="H527" s="1495"/>
      <c r="I527" s="1492"/>
      <c r="J527" s="1492"/>
      <c r="K527" s="1492"/>
      <c r="L527" s="1492"/>
      <c r="M527" s="1492"/>
      <c r="N527" s="1492"/>
      <c r="O527" s="399"/>
      <c r="P527" s="18"/>
    </row>
    <row r="528" spans="4:16" ht="27.5" customHeight="1">
      <c r="D528" s="557"/>
      <c r="E528" s="557"/>
      <c r="F528" s="1495"/>
      <c r="G528" s="1495"/>
      <c r="H528" s="1495"/>
      <c r="I528" s="1492"/>
      <c r="J528" s="1492"/>
      <c r="K528" s="1492"/>
      <c r="L528" s="1492"/>
      <c r="M528" s="1492"/>
      <c r="N528" s="1492"/>
      <c r="O528" s="399"/>
      <c r="P528" s="18"/>
    </row>
    <row r="529" spans="3:16" ht="27.5" customHeight="1">
      <c r="D529" s="557"/>
      <c r="E529" s="557"/>
      <c r="F529" s="1495"/>
      <c r="G529" s="1495"/>
      <c r="H529" s="1495"/>
      <c r="I529" s="1492"/>
      <c r="J529" s="1492"/>
      <c r="K529" s="1492"/>
      <c r="L529" s="1492"/>
      <c r="M529" s="1492"/>
      <c r="N529" s="1492"/>
      <c r="O529" s="399"/>
      <c r="P529" s="18"/>
    </row>
    <row r="530" spans="3:16" ht="27.5" customHeight="1">
      <c r="D530" s="557"/>
      <c r="E530" s="557"/>
      <c r="F530" s="1495"/>
      <c r="G530" s="1495"/>
      <c r="H530" s="1495"/>
      <c r="I530" s="1492"/>
      <c r="J530" s="1492"/>
      <c r="K530" s="1492"/>
      <c r="L530" s="1492"/>
      <c r="M530" s="1492"/>
      <c r="N530" s="1492"/>
      <c r="O530" s="399"/>
      <c r="P530" s="18"/>
    </row>
    <row r="531" spans="3:16" ht="27.5" customHeight="1">
      <c r="C531" s="1496"/>
      <c r="D531" s="1496"/>
      <c r="E531" s="1496"/>
      <c r="F531" s="1496"/>
      <c r="G531" s="1496"/>
      <c r="H531" s="1496"/>
      <c r="I531" s="1496"/>
      <c r="J531" s="1496"/>
      <c r="K531" s="1497"/>
      <c r="L531" s="1497"/>
      <c r="M531" s="1497"/>
      <c r="N531" s="1497"/>
      <c r="O531" s="1497"/>
      <c r="P531" s="18"/>
    </row>
    <row r="532" spans="3:16" ht="24" customHeight="1">
      <c r="C532" s="1496"/>
      <c r="D532" s="1496"/>
      <c r="E532" s="1496"/>
      <c r="F532" s="1496"/>
      <c r="G532" s="1496"/>
      <c r="H532" s="1496"/>
      <c r="I532" s="1496"/>
      <c r="J532" s="1496"/>
      <c r="K532" s="1498"/>
      <c r="L532" s="1498"/>
      <c r="M532" s="1498"/>
      <c r="N532" s="1498"/>
      <c r="O532" s="1498"/>
      <c r="P532" s="588"/>
    </row>
    <row r="533" spans="3:16" ht="24" customHeight="1">
      <c r="C533" s="1495"/>
      <c r="D533" s="1495"/>
      <c r="E533" s="1495"/>
      <c r="F533" s="1495"/>
      <c r="G533" s="1495"/>
      <c r="H533" s="1495"/>
      <c r="I533" s="1495"/>
      <c r="J533" s="1495"/>
      <c r="K533" s="1495"/>
      <c r="L533" s="1495"/>
      <c r="M533" s="1495"/>
      <c r="N533" s="1495"/>
      <c r="O533" s="1495"/>
      <c r="P533" s="557"/>
    </row>
    <row r="534" spans="3:16" ht="24" customHeight="1">
      <c r="D534" s="557"/>
      <c r="E534" s="557"/>
      <c r="F534" s="557"/>
      <c r="G534" s="557"/>
      <c r="H534" s="557"/>
      <c r="I534" s="557"/>
      <c r="J534" s="557"/>
      <c r="K534" s="557"/>
      <c r="L534" s="557"/>
      <c r="M534" s="557"/>
      <c r="N534" s="557"/>
      <c r="O534" s="1495"/>
      <c r="P534" s="557"/>
    </row>
    <row r="535" spans="3:16" ht="24" customHeight="1">
      <c r="D535" s="18"/>
      <c r="E535" s="18"/>
      <c r="F535" s="18"/>
      <c r="G535" s="18"/>
      <c r="H535" s="557"/>
      <c r="I535" s="18"/>
      <c r="J535" s="18"/>
      <c r="K535" s="557"/>
      <c r="L535" s="18"/>
      <c r="M535" s="18"/>
      <c r="N535" s="557"/>
      <c r="O535" s="1495"/>
      <c r="P535" s="557"/>
    </row>
    <row r="536" spans="3:16" ht="24" customHeight="1">
      <c r="D536" s="557"/>
      <c r="E536" s="557"/>
      <c r="F536" s="557"/>
      <c r="G536" s="557"/>
      <c r="H536" s="557"/>
      <c r="I536" s="557"/>
      <c r="J536" s="557"/>
      <c r="K536" s="557"/>
      <c r="L536" s="557"/>
      <c r="M536" s="557"/>
      <c r="N536" s="557"/>
      <c r="O536" s="1495"/>
      <c r="P536" s="557"/>
    </row>
    <row r="537" spans="3:16" ht="24" customHeight="1">
      <c r="D537" s="557"/>
      <c r="E537" s="557"/>
      <c r="F537" s="1495"/>
      <c r="G537" s="1495"/>
      <c r="H537" s="1495"/>
      <c r="I537" s="1492"/>
      <c r="J537" s="1492"/>
      <c r="K537" s="1492"/>
      <c r="L537" s="1492"/>
      <c r="M537" s="1492"/>
      <c r="N537" s="1492"/>
      <c r="O537" s="399"/>
      <c r="P537" s="18"/>
    </row>
    <row r="538" spans="3:16" ht="28" customHeight="1">
      <c r="D538" s="557"/>
      <c r="E538" s="557"/>
      <c r="F538" s="1495"/>
      <c r="G538" s="1495"/>
      <c r="H538" s="1495"/>
      <c r="I538" s="1492"/>
      <c r="J538" s="1492"/>
      <c r="K538" s="1492"/>
      <c r="L538" s="1492"/>
      <c r="M538" s="1492"/>
      <c r="N538" s="1492"/>
      <c r="O538" s="399"/>
      <c r="P538" s="18"/>
    </row>
    <row r="539" spans="3:16" ht="28" customHeight="1">
      <c r="D539" s="557"/>
      <c r="E539" s="557"/>
      <c r="F539" s="1495"/>
      <c r="G539" s="1495"/>
      <c r="H539" s="1495"/>
      <c r="I539" s="1492"/>
      <c r="J539" s="1492"/>
      <c r="K539" s="1492"/>
      <c r="L539" s="1492"/>
      <c r="M539" s="1492"/>
      <c r="N539" s="1492"/>
      <c r="O539" s="399"/>
      <c r="P539" s="18"/>
    </row>
    <row r="540" spans="3:16" ht="28" customHeight="1">
      <c r="D540" s="557"/>
      <c r="E540" s="557"/>
      <c r="F540" s="1495"/>
      <c r="G540" s="1495"/>
      <c r="H540" s="1495"/>
      <c r="I540" s="1492"/>
      <c r="J540" s="1492"/>
      <c r="K540" s="1492"/>
      <c r="L540" s="1492"/>
      <c r="M540" s="1492"/>
      <c r="N540" s="1492"/>
      <c r="O540" s="399"/>
      <c r="P540" s="18"/>
    </row>
    <row r="541" spans="3:16" ht="28" customHeight="1">
      <c r="D541" s="557"/>
      <c r="E541" s="557"/>
      <c r="F541" s="1495"/>
      <c r="G541" s="1495"/>
      <c r="H541" s="1495"/>
      <c r="I541" s="1492"/>
      <c r="J541" s="1492"/>
      <c r="K541" s="1492"/>
      <c r="L541" s="1492"/>
      <c r="M541" s="1492"/>
      <c r="N541" s="1492"/>
      <c r="O541" s="399"/>
      <c r="P541" s="18"/>
    </row>
    <row r="542" spans="3:16" ht="28" customHeight="1">
      <c r="D542" s="557"/>
      <c r="E542" s="557"/>
      <c r="F542" s="1495"/>
      <c r="G542" s="1495"/>
      <c r="H542" s="1495"/>
      <c r="I542" s="1492"/>
      <c r="J542" s="1492"/>
      <c r="K542" s="1492"/>
      <c r="L542" s="1492"/>
      <c r="M542" s="1492"/>
      <c r="N542" s="1492"/>
      <c r="O542" s="399"/>
      <c r="P542" s="18"/>
    </row>
    <row r="543" spans="3:16" ht="28" customHeight="1">
      <c r="D543" s="557"/>
      <c r="E543" s="557"/>
      <c r="F543" s="1495"/>
      <c r="G543" s="1495"/>
      <c r="H543" s="1495"/>
      <c r="I543" s="1492"/>
      <c r="J543" s="1492"/>
      <c r="K543" s="1492"/>
      <c r="L543" s="1492"/>
      <c r="M543" s="1492"/>
      <c r="N543" s="1492"/>
      <c r="O543" s="399"/>
      <c r="P543" s="18"/>
    </row>
    <row r="544" spans="3:16" ht="28" customHeight="1">
      <c r="D544" s="557"/>
      <c r="E544" s="557"/>
      <c r="F544" s="1495"/>
      <c r="G544" s="1495"/>
      <c r="H544" s="1495"/>
      <c r="I544" s="1492"/>
      <c r="J544" s="1492"/>
      <c r="K544" s="1492"/>
      <c r="L544" s="1492"/>
      <c r="M544" s="1492"/>
      <c r="N544" s="1492"/>
      <c r="O544" s="399"/>
      <c r="P544" s="18"/>
    </row>
    <row r="545" spans="4:16" ht="28" customHeight="1">
      <c r="D545" s="557"/>
      <c r="E545" s="557"/>
      <c r="F545" s="1495"/>
      <c r="G545" s="1495"/>
      <c r="H545" s="1495"/>
      <c r="I545" s="1492"/>
      <c r="J545" s="1492"/>
      <c r="K545" s="1492"/>
      <c r="L545" s="1492"/>
      <c r="M545" s="1492"/>
      <c r="N545" s="1492"/>
      <c r="O545" s="399"/>
      <c r="P545" s="18"/>
    </row>
    <row r="546" spans="4:16" ht="28" customHeight="1">
      <c r="D546" s="557"/>
      <c r="E546" s="557"/>
      <c r="F546" s="1495"/>
      <c r="G546" s="1495"/>
      <c r="H546" s="1495"/>
      <c r="I546" s="1492"/>
      <c r="J546" s="1492"/>
      <c r="K546" s="1492"/>
      <c r="L546" s="1492"/>
      <c r="M546" s="1492"/>
      <c r="N546" s="1492"/>
      <c r="O546" s="399"/>
      <c r="P546" s="18"/>
    </row>
    <row r="547" spans="4:16" ht="28" customHeight="1">
      <c r="D547" s="557"/>
      <c r="E547" s="557"/>
      <c r="F547" s="1495"/>
      <c r="G547" s="1495"/>
      <c r="H547" s="1495"/>
      <c r="I547" s="1492"/>
      <c r="J547" s="1492"/>
      <c r="K547" s="1492"/>
      <c r="L547" s="1492"/>
      <c r="M547" s="1492"/>
      <c r="N547" s="1492"/>
      <c r="O547" s="399"/>
      <c r="P547" s="18"/>
    </row>
    <row r="548" spans="4:16" ht="28" customHeight="1">
      <c r="D548" s="557"/>
      <c r="E548" s="557"/>
      <c r="F548" s="1495"/>
      <c r="G548" s="1495"/>
      <c r="H548" s="1495"/>
      <c r="I548" s="1492"/>
      <c r="J548" s="1492"/>
      <c r="K548" s="1492"/>
      <c r="L548" s="1492"/>
      <c r="M548" s="1492"/>
      <c r="N548" s="1492"/>
      <c r="O548" s="399"/>
      <c r="P548" s="18"/>
    </row>
    <row r="549" spans="4:16" ht="28" customHeight="1">
      <c r="D549" s="557"/>
      <c r="E549" s="557"/>
      <c r="F549" s="1495"/>
      <c r="G549" s="1495"/>
      <c r="H549" s="1495"/>
      <c r="I549" s="1492"/>
      <c r="J549" s="1492"/>
      <c r="K549" s="1492"/>
      <c r="L549" s="1492"/>
      <c r="M549" s="1492"/>
      <c r="N549" s="1492"/>
      <c r="O549" s="399"/>
      <c r="P549" s="18"/>
    </row>
    <row r="550" spans="4:16" ht="28" customHeight="1">
      <c r="D550" s="557"/>
      <c r="E550" s="557"/>
      <c r="F550" s="1495"/>
      <c r="G550" s="1495"/>
      <c r="H550" s="1495"/>
      <c r="I550" s="1492"/>
      <c r="J550" s="1492"/>
      <c r="K550" s="1492"/>
      <c r="L550" s="1492"/>
      <c r="M550" s="1492"/>
      <c r="N550" s="1492"/>
      <c r="O550" s="399"/>
      <c r="P550" s="18"/>
    </row>
    <row r="551" spans="4:16" ht="28" customHeight="1">
      <c r="D551" s="557"/>
      <c r="E551" s="557"/>
      <c r="F551" s="1495"/>
      <c r="G551" s="1495"/>
      <c r="H551" s="1495"/>
      <c r="I551" s="1492"/>
      <c r="J551" s="1492"/>
      <c r="K551" s="1492"/>
      <c r="L551" s="1492"/>
      <c r="M551" s="1492"/>
      <c r="N551" s="1492"/>
      <c r="O551" s="399"/>
      <c r="P551" s="18"/>
    </row>
    <row r="552" spans="4:16" ht="28" customHeight="1">
      <c r="D552" s="557"/>
      <c r="E552" s="557"/>
      <c r="F552" s="1495"/>
      <c r="G552" s="1495"/>
      <c r="H552" s="1495"/>
      <c r="I552" s="1492"/>
      <c r="J552" s="1492"/>
      <c r="K552" s="1492"/>
      <c r="L552" s="1492"/>
      <c r="M552" s="1492"/>
      <c r="N552" s="1492"/>
      <c r="O552" s="399"/>
      <c r="P552" s="18"/>
    </row>
    <row r="553" spans="4:16" ht="28" customHeight="1">
      <c r="D553" s="557"/>
      <c r="E553" s="557"/>
      <c r="F553" s="1495"/>
      <c r="G553" s="1495"/>
      <c r="H553" s="1495"/>
      <c r="I553" s="1492"/>
      <c r="J553" s="1492"/>
      <c r="K553" s="1492"/>
      <c r="L553" s="1492"/>
      <c r="M553" s="1492"/>
      <c r="N553" s="1492"/>
      <c r="O553" s="399"/>
      <c r="P553" s="18"/>
    </row>
    <row r="554" spans="4:16" ht="28" customHeight="1">
      <c r="D554" s="557"/>
      <c r="E554" s="557"/>
      <c r="F554" s="1495"/>
      <c r="G554" s="1495"/>
      <c r="H554" s="1495"/>
      <c r="I554" s="1492"/>
      <c r="J554" s="1492"/>
      <c r="K554" s="1492"/>
      <c r="L554" s="1492"/>
      <c r="M554" s="1492"/>
      <c r="N554" s="1492"/>
      <c r="O554" s="399"/>
      <c r="P554" s="18"/>
    </row>
    <row r="555" spans="4:16" ht="28" customHeight="1">
      <c r="D555" s="557"/>
      <c r="E555" s="557"/>
      <c r="F555" s="1495"/>
      <c r="G555" s="1495"/>
      <c r="H555" s="1495"/>
      <c r="I555" s="1492"/>
      <c r="J555" s="1492"/>
      <c r="K555" s="1492"/>
      <c r="L555" s="1492"/>
      <c r="M555" s="1492"/>
      <c r="N555" s="1492"/>
      <c r="O555" s="399"/>
      <c r="P555" s="18"/>
    </row>
    <row r="556" spans="4:16" ht="28" customHeight="1">
      <c r="D556" s="557"/>
      <c r="E556" s="557"/>
      <c r="F556" s="1495"/>
      <c r="G556" s="1495"/>
      <c r="H556" s="1495"/>
      <c r="I556" s="1492"/>
      <c r="J556" s="1492"/>
      <c r="K556" s="1492"/>
      <c r="L556" s="1492"/>
      <c r="M556" s="1492"/>
      <c r="N556" s="1492"/>
      <c r="O556" s="399"/>
      <c r="P556" s="18"/>
    </row>
    <row r="557" spans="4:16" ht="28" customHeight="1">
      <c r="D557" s="557"/>
      <c r="E557" s="557"/>
      <c r="F557" s="1495"/>
      <c r="G557" s="1495"/>
      <c r="H557" s="1495"/>
      <c r="I557" s="1492"/>
      <c r="J557" s="1492"/>
      <c r="K557" s="1492"/>
      <c r="L557" s="1492"/>
      <c r="M557" s="1492"/>
      <c r="N557" s="1492"/>
      <c r="O557" s="399"/>
      <c r="P557" s="18"/>
    </row>
    <row r="558" spans="4:16" ht="28" customHeight="1">
      <c r="D558" s="557"/>
      <c r="E558" s="557"/>
      <c r="F558" s="1495"/>
      <c r="G558" s="1495"/>
      <c r="H558" s="1495"/>
      <c r="I558" s="1492"/>
      <c r="J558" s="1492"/>
      <c r="K558" s="1492"/>
      <c r="L558" s="1492"/>
      <c r="M558" s="1492"/>
      <c r="N558" s="1492"/>
      <c r="O558" s="399"/>
      <c r="P558" s="18"/>
    </row>
    <row r="559" spans="4:16" ht="28" customHeight="1">
      <c r="D559" s="557"/>
      <c r="E559" s="557"/>
      <c r="F559" s="1495"/>
      <c r="G559" s="1495"/>
      <c r="H559" s="1495"/>
      <c r="I559" s="1492"/>
      <c r="J559" s="1492"/>
      <c r="K559" s="1492"/>
      <c r="L559" s="1492"/>
      <c r="M559" s="1492"/>
      <c r="N559" s="1492"/>
      <c r="O559" s="399"/>
      <c r="P559" s="18"/>
    </row>
    <row r="560" spans="4:16" ht="28" customHeight="1">
      <c r="D560" s="557"/>
      <c r="E560" s="557"/>
      <c r="F560" s="1495"/>
      <c r="G560" s="1495"/>
      <c r="H560" s="1495"/>
      <c r="I560" s="1492"/>
      <c r="J560" s="1492"/>
      <c r="K560" s="1492"/>
      <c r="L560" s="1492"/>
      <c r="M560" s="1492"/>
      <c r="N560" s="1492"/>
      <c r="O560" s="399"/>
      <c r="P560" s="18"/>
    </row>
    <row r="561" spans="3:16" ht="28" customHeight="1">
      <c r="D561" s="557"/>
      <c r="E561" s="557"/>
      <c r="F561" s="1495"/>
      <c r="G561" s="1495"/>
      <c r="H561" s="1495"/>
      <c r="I561" s="1492"/>
      <c r="J561" s="1492"/>
      <c r="K561" s="1492"/>
      <c r="L561" s="1492"/>
      <c r="M561" s="1492"/>
      <c r="N561" s="1492"/>
      <c r="O561" s="399"/>
      <c r="P561" s="18"/>
    </row>
    <row r="562" spans="3:16" ht="28" customHeight="1">
      <c r="D562" s="557"/>
      <c r="E562" s="557"/>
      <c r="F562" s="1495"/>
      <c r="G562" s="1495"/>
      <c r="H562" s="1495"/>
      <c r="I562" s="1492"/>
      <c r="J562" s="1492"/>
      <c r="K562" s="1492"/>
      <c r="L562" s="1492"/>
      <c r="M562" s="1492"/>
      <c r="N562" s="1492"/>
      <c r="O562" s="399"/>
      <c r="P562" s="18"/>
    </row>
    <row r="563" spans="3:16" ht="28" customHeight="1">
      <c r="D563" s="557"/>
      <c r="E563" s="557"/>
      <c r="F563" s="1495"/>
      <c r="G563" s="1495"/>
      <c r="H563" s="1495"/>
      <c r="I563" s="1492"/>
      <c r="J563" s="1492"/>
      <c r="K563" s="1492"/>
      <c r="L563" s="1492"/>
      <c r="M563" s="1492"/>
      <c r="N563" s="1492"/>
      <c r="O563" s="399"/>
      <c r="P563" s="18"/>
    </row>
    <row r="564" spans="3:16" ht="28" customHeight="1">
      <c r="D564" s="557"/>
      <c r="E564" s="557"/>
      <c r="F564" s="1495"/>
      <c r="G564" s="1495"/>
      <c r="H564" s="1495"/>
      <c r="I564" s="1492"/>
      <c r="J564" s="1492"/>
      <c r="K564" s="1492"/>
      <c r="L564" s="1492"/>
      <c r="M564" s="1492"/>
      <c r="N564" s="1492"/>
      <c r="O564" s="399"/>
      <c r="P564" s="18"/>
    </row>
    <row r="565" spans="3:16" ht="28" customHeight="1">
      <c r="D565" s="557"/>
      <c r="E565" s="557"/>
      <c r="F565" s="1495"/>
      <c r="G565" s="1495"/>
      <c r="H565" s="1495"/>
      <c r="I565" s="1492"/>
      <c r="J565" s="1492"/>
      <c r="K565" s="1492"/>
      <c r="L565" s="1492"/>
      <c r="M565" s="1492"/>
      <c r="N565" s="1492"/>
      <c r="O565" s="399"/>
      <c r="P565" s="18"/>
    </row>
    <row r="566" spans="3:16" ht="28" customHeight="1">
      <c r="D566" s="557"/>
      <c r="E566" s="557"/>
      <c r="F566" s="1495"/>
      <c r="G566" s="1495"/>
      <c r="H566" s="1495"/>
      <c r="I566" s="1492"/>
      <c r="J566" s="1492"/>
      <c r="K566" s="1492"/>
      <c r="L566" s="1492"/>
      <c r="M566" s="1492"/>
      <c r="N566" s="1492"/>
      <c r="O566" s="399"/>
      <c r="P566" s="18"/>
    </row>
    <row r="567" spans="3:16" ht="28" customHeight="1">
      <c r="D567" s="557"/>
      <c r="E567" s="557"/>
      <c r="F567" s="1495"/>
      <c r="G567" s="1495"/>
      <c r="H567" s="1495"/>
      <c r="I567" s="1492"/>
      <c r="J567" s="1492"/>
      <c r="K567" s="1492"/>
      <c r="L567" s="1492"/>
      <c r="M567" s="1492"/>
      <c r="N567" s="1492"/>
      <c r="O567" s="399"/>
      <c r="P567" s="18"/>
    </row>
    <row r="568" spans="3:16" ht="28" customHeight="1">
      <c r="D568" s="557"/>
      <c r="E568" s="557"/>
      <c r="F568" s="1495"/>
      <c r="G568" s="1495"/>
      <c r="H568" s="1495"/>
      <c r="I568" s="1492"/>
      <c r="J568" s="1492"/>
      <c r="K568" s="1492"/>
      <c r="L568" s="1492"/>
      <c r="M568" s="1492"/>
      <c r="N568" s="1492"/>
      <c r="O568" s="399"/>
      <c r="P568" s="18"/>
    </row>
    <row r="569" spans="3:16" ht="28" customHeight="1">
      <c r="D569" s="557"/>
      <c r="E569" s="557"/>
      <c r="F569" s="1495"/>
      <c r="G569" s="1495"/>
      <c r="H569" s="1495"/>
      <c r="I569" s="1492"/>
      <c r="J569" s="1492"/>
      <c r="K569" s="1492"/>
      <c r="L569" s="1492"/>
      <c r="M569" s="1492"/>
      <c r="N569" s="1492"/>
      <c r="O569" s="399"/>
      <c r="P569" s="18"/>
    </row>
    <row r="570" spans="3:16" ht="28" customHeight="1">
      <c r="D570" s="557"/>
      <c r="E570" s="557"/>
      <c r="F570" s="1495"/>
      <c r="G570" s="1495"/>
      <c r="H570" s="1495"/>
      <c r="I570" s="1492"/>
      <c r="J570" s="1492"/>
      <c r="K570" s="1492"/>
      <c r="L570" s="1492"/>
      <c r="M570" s="1492"/>
      <c r="N570" s="1492"/>
      <c r="O570" s="399"/>
      <c r="P570" s="18"/>
    </row>
    <row r="571" spans="3:16" ht="28" customHeight="1">
      <c r="C571" s="1493"/>
      <c r="D571" s="1493"/>
      <c r="E571" s="1493"/>
      <c r="F571" s="1493"/>
      <c r="G571" s="1493"/>
      <c r="H571" s="1493"/>
      <c r="I571" s="1494"/>
      <c r="J571" s="1494"/>
      <c r="K571" s="1494"/>
      <c r="L571" s="1494"/>
      <c r="M571" s="1494"/>
      <c r="N571" s="1494"/>
      <c r="O571" s="1494"/>
      <c r="P571" s="491"/>
    </row>
    <row r="572" spans="3:16" ht="18.75" customHeight="1">
      <c r="C572" s="1493"/>
      <c r="D572" s="1493"/>
      <c r="E572" s="1493"/>
      <c r="F572" s="1493"/>
      <c r="G572" s="1493"/>
      <c r="H572" s="1493"/>
      <c r="I572" s="1494"/>
      <c r="J572" s="1494"/>
      <c r="K572" s="1494"/>
      <c r="L572" s="1494"/>
      <c r="M572" s="1494"/>
      <c r="N572" s="1494"/>
      <c r="O572" s="1494"/>
      <c r="P572" s="491"/>
    </row>
    <row r="573" spans="3:16" ht="24" customHeight="1">
      <c r="C573" s="1489"/>
      <c r="D573" s="1489"/>
      <c r="E573" s="1489"/>
      <c r="F573" s="1489"/>
      <c r="G573" s="1489"/>
      <c r="H573" s="1489"/>
      <c r="I573" s="1489"/>
      <c r="J573" s="1489"/>
      <c r="K573" s="1490"/>
      <c r="L573" s="1490"/>
      <c r="M573" s="1490"/>
      <c r="N573" s="1490"/>
      <c r="O573" s="1490"/>
      <c r="P573" s="589"/>
    </row>
    <row r="574" spans="3:16" ht="15" customHeight="1">
      <c r="C574" s="1489"/>
      <c r="D574" s="1489"/>
      <c r="E574" s="1489"/>
      <c r="F574" s="1489"/>
      <c r="G574" s="1489"/>
      <c r="H574" s="1489"/>
      <c r="I574" s="1489"/>
      <c r="J574" s="1489"/>
      <c r="K574" s="1491"/>
      <c r="L574" s="1491"/>
      <c r="M574" s="1491"/>
      <c r="N574" s="1491"/>
      <c r="O574" s="1491"/>
      <c r="P574" s="590"/>
    </row>
    <row r="575" spans="3:16" ht="18" customHeight="1"/>
    <row r="582" spans="1:40" s="591" customFormat="1">
      <c r="A582" s="11"/>
      <c r="B582" s="523"/>
      <c r="C582" s="523"/>
      <c r="D582" s="523"/>
      <c r="E582" s="523"/>
      <c r="F582" s="523"/>
      <c r="G582" s="523"/>
      <c r="H582" s="523"/>
      <c r="I582" s="523"/>
      <c r="J582" s="578"/>
      <c r="K582" s="523"/>
      <c r="L582" s="523"/>
      <c r="M582" s="523"/>
      <c r="N582" s="523"/>
      <c r="O582" s="523" t="s">
        <v>16</v>
      </c>
      <c r="Q582" s="11"/>
      <c r="R582"/>
      <c r="S582"/>
      <c r="T582" s="11"/>
      <c r="U582" s="11"/>
      <c r="V582" s="11"/>
      <c r="W582" s="11"/>
      <c r="X582" s="11"/>
      <c r="Y582" s="11"/>
      <c r="Z582" s="11"/>
      <c r="AA582" s="11"/>
      <c r="AB582" s="11"/>
      <c r="AC582" s="11"/>
      <c r="AD582" s="11"/>
      <c r="AE582" s="11"/>
      <c r="AF582" s="11"/>
      <c r="AG582" s="11"/>
      <c r="AH582" s="11"/>
      <c r="AI582" s="11"/>
      <c r="AJ582" s="11"/>
      <c r="AK582" s="11"/>
      <c r="AL582" s="11"/>
      <c r="AM582" s="11"/>
      <c r="AN582" s="11"/>
    </row>
  </sheetData>
  <mergeCells count="1250">
    <mergeCell ref="A1:P1"/>
    <mergeCell ref="A2:P2"/>
    <mergeCell ref="A3:P3"/>
    <mergeCell ref="A4:A9"/>
    <mergeCell ref="B4:B9"/>
    <mergeCell ref="C4:E5"/>
    <mergeCell ref="F4:H5"/>
    <mergeCell ref="I4:K5"/>
    <mergeCell ref="L4:N5"/>
    <mergeCell ref="O4:O9"/>
    <mergeCell ref="N7:N8"/>
    <mergeCell ref="A30:B31"/>
    <mergeCell ref="O30:P30"/>
    <mergeCell ref="L31:P31"/>
    <mergeCell ref="A32:A37"/>
    <mergeCell ref="B32:B37"/>
    <mergeCell ref="C32:E33"/>
    <mergeCell ref="F32:H33"/>
    <mergeCell ref="I32:K33"/>
    <mergeCell ref="L32:N33"/>
    <mergeCell ref="H7:H8"/>
    <mergeCell ref="I7:I8"/>
    <mergeCell ref="J7:J8"/>
    <mergeCell ref="K7:K8"/>
    <mergeCell ref="L7:L8"/>
    <mergeCell ref="M7:M8"/>
    <mergeCell ref="P4:P9"/>
    <mergeCell ref="C6:E6"/>
    <mergeCell ref="F6:H6"/>
    <mergeCell ref="I6:K6"/>
    <mergeCell ref="L6:N6"/>
    <mergeCell ref="C7:C8"/>
    <mergeCell ref="D7:D8"/>
    <mergeCell ref="E7:E8"/>
    <mergeCell ref="F7:F8"/>
    <mergeCell ref="G7:G8"/>
    <mergeCell ref="M35:M36"/>
    <mergeCell ref="N35:N36"/>
    <mergeCell ref="A59:B60"/>
    <mergeCell ref="O59:P59"/>
    <mergeCell ref="L60:P60"/>
    <mergeCell ref="A61:A66"/>
    <mergeCell ref="B61:B66"/>
    <mergeCell ref="C61:E62"/>
    <mergeCell ref="F61:H62"/>
    <mergeCell ref="I61:K62"/>
    <mergeCell ref="G35:G36"/>
    <mergeCell ref="H35:H36"/>
    <mergeCell ref="I35:I36"/>
    <mergeCell ref="J35:J36"/>
    <mergeCell ref="K35:K36"/>
    <mergeCell ref="L35:L36"/>
    <mergeCell ref="O32:O37"/>
    <mergeCell ref="P32:P37"/>
    <mergeCell ref="C34:E34"/>
    <mergeCell ref="F34:H34"/>
    <mergeCell ref="I34:K34"/>
    <mergeCell ref="L34:N34"/>
    <mergeCell ref="C35:C36"/>
    <mergeCell ref="D35:D36"/>
    <mergeCell ref="E35:E36"/>
    <mergeCell ref="F35:F36"/>
    <mergeCell ref="L64:L65"/>
    <mergeCell ref="M64:M65"/>
    <mergeCell ref="N64:N65"/>
    <mergeCell ref="A88:B89"/>
    <mergeCell ref="O88:P88"/>
    <mergeCell ref="L89:P89"/>
    <mergeCell ref="F64:F65"/>
    <mergeCell ref="G64:G65"/>
    <mergeCell ref="H64:H65"/>
    <mergeCell ref="I64:I65"/>
    <mergeCell ref="J64:J65"/>
    <mergeCell ref="K64:K65"/>
    <mergeCell ref="L61:N62"/>
    <mergeCell ref="O61:O66"/>
    <mergeCell ref="P61:P66"/>
    <mergeCell ref="C63:E63"/>
    <mergeCell ref="F63:H63"/>
    <mergeCell ref="I63:K63"/>
    <mergeCell ref="L63:N63"/>
    <mergeCell ref="C64:C65"/>
    <mergeCell ref="D64:D65"/>
    <mergeCell ref="E64:E65"/>
    <mergeCell ref="K93:K94"/>
    <mergeCell ref="L93:L94"/>
    <mergeCell ref="M93:M94"/>
    <mergeCell ref="N93:N94"/>
    <mergeCell ref="A114:B115"/>
    <mergeCell ref="O114:P114"/>
    <mergeCell ref="L115:P115"/>
    <mergeCell ref="O90:O95"/>
    <mergeCell ref="P90:P95"/>
    <mergeCell ref="C92:E92"/>
    <mergeCell ref="F92:H92"/>
    <mergeCell ref="I92:K92"/>
    <mergeCell ref="L92:N92"/>
    <mergeCell ref="C93:C94"/>
    <mergeCell ref="D93:D94"/>
    <mergeCell ref="E93:E94"/>
    <mergeCell ref="F93:F94"/>
    <mergeCell ref="A90:A95"/>
    <mergeCell ref="B90:B95"/>
    <mergeCell ref="C90:E91"/>
    <mergeCell ref="F90:H91"/>
    <mergeCell ref="I90:K91"/>
    <mergeCell ref="L90:N91"/>
    <mergeCell ref="G93:G94"/>
    <mergeCell ref="H93:H94"/>
    <mergeCell ref="I93:I94"/>
    <mergeCell ref="J93:J94"/>
    <mergeCell ref="K119:K120"/>
    <mergeCell ref="L119:L120"/>
    <mergeCell ref="M119:M120"/>
    <mergeCell ref="N119:N120"/>
    <mergeCell ref="A141:B142"/>
    <mergeCell ref="O141:P141"/>
    <mergeCell ref="L142:P142"/>
    <mergeCell ref="O116:O121"/>
    <mergeCell ref="P116:P121"/>
    <mergeCell ref="C118:E118"/>
    <mergeCell ref="F118:H118"/>
    <mergeCell ref="I118:K118"/>
    <mergeCell ref="L118:N118"/>
    <mergeCell ref="C119:C120"/>
    <mergeCell ref="D119:D120"/>
    <mergeCell ref="E119:E120"/>
    <mergeCell ref="F119:F120"/>
    <mergeCell ref="A116:A121"/>
    <mergeCell ref="B116:B121"/>
    <mergeCell ref="C116:E117"/>
    <mergeCell ref="F116:H117"/>
    <mergeCell ref="I116:K117"/>
    <mergeCell ref="L116:N117"/>
    <mergeCell ref="G119:G120"/>
    <mergeCell ref="H119:H120"/>
    <mergeCell ref="I119:I120"/>
    <mergeCell ref="J119:J120"/>
    <mergeCell ref="K146:K147"/>
    <mergeCell ref="L146:L147"/>
    <mergeCell ref="M146:M147"/>
    <mergeCell ref="N146:N147"/>
    <mergeCell ref="A169:B170"/>
    <mergeCell ref="O169:P169"/>
    <mergeCell ref="L170:P170"/>
    <mergeCell ref="O143:O148"/>
    <mergeCell ref="P143:P148"/>
    <mergeCell ref="C145:E145"/>
    <mergeCell ref="F145:H145"/>
    <mergeCell ref="I145:K145"/>
    <mergeCell ref="L145:N145"/>
    <mergeCell ref="C146:C147"/>
    <mergeCell ref="D146:D147"/>
    <mergeCell ref="E146:E147"/>
    <mergeCell ref="F146:F147"/>
    <mergeCell ref="A143:A148"/>
    <mergeCell ref="B143:B148"/>
    <mergeCell ref="C143:E144"/>
    <mergeCell ref="F143:H144"/>
    <mergeCell ref="I143:K144"/>
    <mergeCell ref="L143:N144"/>
    <mergeCell ref="G146:G147"/>
    <mergeCell ref="H146:H147"/>
    <mergeCell ref="I146:I147"/>
    <mergeCell ref="J146:J147"/>
    <mergeCell ref="A195:B196"/>
    <mergeCell ref="O195:P195"/>
    <mergeCell ref="L196:P196"/>
    <mergeCell ref="A197:A202"/>
    <mergeCell ref="B197:B202"/>
    <mergeCell ref="C197:E198"/>
    <mergeCell ref="F197:H198"/>
    <mergeCell ref="I197:K198"/>
    <mergeCell ref="L197:N198"/>
    <mergeCell ref="O197:O202"/>
    <mergeCell ref="O171:O175"/>
    <mergeCell ref="P171:P175"/>
    <mergeCell ref="C173:E173"/>
    <mergeCell ref="F173:H173"/>
    <mergeCell ref="I173:K173"/>
    <mergeCell ref="L173:N173"/>
    <mergeCell ref="A171:A175"/>
    <mergeCell ref="B171:B175"/>
    <mergeCell ref="C171:E172"/>
    <mergeCell ref="F171:H172"/>
    <mergeCell ref="I171:K172"/>
    <mergeCell ref="L171:N172"/>
    <mergeCell ref="N200:N201"/>
    <mergeCell ref="A221:B222"/>
    <mergeCell ref="O221:P221"/>
    <mergeCell ref="L222:P222"/>
    <mergeCell ref="A223:A228"/>
    <mergeCell ref="B223:B228"/>
    <mergeCell ref="C223:E224"/>
    <mergeCell ref="F223:H224"/>
    <mergeCell ref="I223:K224"/>
    <mergeCell ref="L223:N224"/>
    <mergeCell ref="H200:H201"/>
    <mergeCell ref="I200:I201"/>
    <mergeCell ref="J200:J201"/>
    <mergeCell ref="K200:K201"/>
    <mergeCell ref="L200:L201"/>
    <mergeCell ref="M200:M201"/>
    <mergeCell ref="P197:P202"/>
    <mergeCell ref="C199:E199"/>
    <mergeCell ref="F199:H199"/>
    <mergeCell ref="I199:K199"/>
    <mergeCell ref="L199:N199"/>
    <mergeCell ref="C200:C201"/>
    <mergeCell ref="D200:D201"/>
    <mergeCell ref="E200:E201"/>
    <mergeCell ref="F200:F201"/>
    <mergeCell ref="G200:G201"/>
    <mergeCell ref="M226:M227"/>
    <mergeCell ref="N226:N227"/>
    <mergeCell ref="A245:B246"/>
    <mergeCell ref="O245:P245"/>
    <mergeCell ref="L246:P246"/>
    <mergeCell ref="A247:A252"/>
    <mergeCell ref="B247:B252"/>
    <mergeCell ref="C247:E248"/>
    <mergeCell ref="F247:H248"/>
    <mergeCell ref="I247:K248"/>
    <mergeCell ref="G226:G227"/>
    <mergeCell ref="H226:H227"/>
    <mergeCell ref="I226:I227"/>
    <mergeCell ref="J226:J227"/>
    <mergeCell ref="K226:K227"/>
    <mergeCell ref="L226:L227"/>
    <mergeCell ref="O223:O228"/>
    <mergeCell ref="P223:P228"/>
    <mergeCell ref="C225:E225"/>
    <mergeCell ref="F225:H225"/>
    <mergeCell ref="I225:K225"/>
    <mergeCell ref="L225:N225"/>
    <mergeCell ref="C226:C227"/>
    <mergeCell ref="D226:D227"/>
    <mergeCell ref="E226:E227"/>
    <mergeCell ref="F226:F227"/>
    <mergeCell ref="L250:L251"/>
    <mergeCell ref="M250:M251"/>
    <mergeCell ref="N250:N251"/>
    <mergeCell ref="A272:B273"/>
    <mergeCell ref="O272:P272"/>
    <mergeCell ref="L273:P273"/>
    <mergeCell ref="F250:F251"/>
    <mergeCell ref="G250:G251"/>
    <mergeCell ref="H250:H251"/>
    <mergeCell ref="I250:I251"/>
    <mergeCell ref="J250:J251"/>
    <mergeCell ref="K250:K251"/>
    <mergeCell ref="L247:N248"/>
    <mergeCell ref="O247:O252"/>
    <mergeCell ref="P247:P252"/>
    <mergeCell ref="C249:E249"/>
    <mergeCell ref="F249:H249"/>
    <mergeCell ref="I249:K249"/>
    <mergeCell ref="L249:N249"/>
    <mergeCell ref="C250:C251"/>
    <mergeCell ref="D250:D251"/>
    <mergeCell ref="E250:E251"/>
    <mergeCell ref="K277:K278"/>
    <mergeCell ref="L277:L278"/>
    <mergeCell ref="M277:M278"/>
    <mergeCell ref="N277:N278"/>
    <mergeCell ref="A299:I299"/>
    <mergeCell ref="J299:P299"/>
    <mergeCell ref="O274:O279"/>
    <mergeCell ref="P274:P279"/>
    <mergeCell ref="C276:E276"/>
    <mergeCell ref="F276:H276"/>
    <mergeCell ref="I276:K276"/>
    <mergeCell ref="L276:N276"/>
    <mergeCell ref="C277:C278"/>
    <mergeCell ref="D277:D278"/>
    <mergeCell ref="E277:E278"/>
    <mergeCell ref="F277:F278"/>
    <mergeCell ref="A274:A279"/>
    <mergeCell ref="B274:B279"/>
    <mergeCell ref="C274:E275"/>
    <mergeCell ref="F274:H275"/>
    <mergeCell ref="I274:K275"/>
    <mergeCell ref="L274:N275"/>
    <mergeCell ref="G277:G278"/>
    <mergeCell ref="H277:H278"/>
    <mergeCell ref="I277:I278"/>
    <mergeCell ref="J277:J278"/>
    <mergeCell ref="L335:L336"/>
    <mergeCell ref="M335:M336"/>
    <mergeCell ref="N335:N336"/>
    <mergeCell ref="F337:F338"/>
    <mergeCell ref="G337:G338"/>
    <mergeCell ref="H337:H338"/>
    <mergeCell ref="I337:I338"/>
    <mergeCell ref="J337:J338"/>
    <mergeCell ref="K337:K338"/>
    <mergeCell ref="L337:L338"/>
    <mergeCell ref="F335:F336"/>
    <mergeCell ref="G335:G336"/>
    <mergeCell ref="H335:H336"/>
    <mergeCell ref="I335:I336"/>
    <mergeCell ref="J335:J336"/>
    <mergeCell ref="K335:K336"/>
    <mergeCell ref="O318:P318"/>
    <mergeCell ref="F333:F334"/>
    <mergeCell ref="G333:G334"/>
    <mergeCell ref="H333:H334"/>
    <mergeCell ref="I333:I334"/>
    <mergeCell ref="J333:J334"/>
    <mergeCell ref="K333:K334"/>
    <mergeCell ref="L333:L334"/>
    <mergeCell ref="M333:M334"/>
    <mergeCell ref="N333:N334"/>
    <mergeCell ref="N339:N340"/>
    <mergeCell ref="F341:F342"/>
    <mergeCell ref="G341:G342"/>
    <mergeCell ref="H341:H342"/>
    <mergeCell ref="I341:I342"/>
    <mergeCell ref="J341:J342"/>
    <mergeCell ref="K341:K342"/>
    <mergeCell ref="L341:L342"/>
    <mergeCell ref="M341:M342"/>
    <mergeCell ref="N341:N342"/>
    <mergeCell ref="M337:M338"/>
    <mergeCell ref="N337:N338"/>
    <mergeCell ref="F339:F340"/>
    <mergeCell ref="G339:G340"/>
    <mergeCell ref="H339:H340"/>
    <mergeCell ref="I339:I340"/>
    <mergeCell ref="J339:J340"/>
    <mergeCell ref="K339:K340"/>
    <mergeCell ref="L339:L340"/>
    <mergeCell ref="M339:M340"/>
    <mergeCell ref="M345:M346"/>
    <mergeCell ref="N345:N346"/>
    <mergeCell ref="F347:F348"/>
    <mergeCell ref="G347:G348"/>
    <mergeCell ref="H347:H348"/>
    <mergeCell ref="I347:I348"/>
    <mergeCell ref="J347:J348"/>
    <mergeCell ref="K347:K348"/>
    <mergeCell ref="L347:L348"/>
    <mergeCell ref="M347:M348"/>
    <mergeCell ref="L343:L344"/>
    <mergeCell ref="M343:M344"/>
    <mergeCell ref="N343:N344"/>
    <mergeCell ref="F345:F346"/>
    <mergeCell ref="G345:G346"/>
    <mergeCell ref="H345:H346"/>
    <mergeCell ref="I345:I346"/>
    <mergeCell ref="J345:J346"/>
    <mergeCell ref="K345:K346"/>
    <mergeCell ref="L345:L346"/>
    <mergeCell ref="F343:F344"/>
    <mergeCell ref="G343:G344"/>
    <mergeCell ref="H343:H344"/>
    <mergeCell ref="I343:I344"/>
    <mergeCell ref="J343:J344"/>
    <mergeCell ref="K343:K344"/>
    <mergeCell ref="L351:L352"/>
    <mergeCell ref="M351:M352"/>
    <mergeCell ref="N351:N352"/>
    <mergeCell ref="C353:I354"/>
    <mergeCell ref="J353:O353"/>
    <mergeCell ref="J354:O354"/>
    <mergeCell ref="F351:F352"/>
    <mergeCell ref="G351:G352"/>
    <mergeCell ref="H351:H352"/>
    <mergeCell ref="I351:I352"/>
    <mergeCell ref="J351:J352"/>
    <mergeCell ref="K351:K352"/>
    <mergeCell ref="N347:N348"/>
    <mergeCell ref="F349:F350"/>
    <mergeCell ref="G349:G350"/>
    <mergeCell ref="H349:H350"/>
    <mergeCell ref="I349:I350"/>
    <mergeCell ref="J349:J350"/>
    <mergeCell ref="K349:K350"/>
    <mergeCell ref="L349:L350"/>
    <mergeCell ref="M349:M350"/>
    <mergeCell ref="N349:N350"/>
    <mergeCell ref="L359:L360"/>
    <mergeCell ref="M359:M360"/>
    <mergeCell ref="N359:N360"/>
    <mergeCell ref="F361:F362"/>
    <mergeCell ref="G361:G362"/>
    <mergeCell ref="H361:H362"/>
    <mergeCell ref="I361:I362"/>
    <mergeCell ref="J361:J362"/>
    <mergeCell ref="K361:K362"/>
    <mergeCell ref="L361:L362"/>
    <mergeCell ref="C355:H355"/>
    <mergeCell ref="I355:K355"/>
    <mergeCell ref="L355:N355"/>
    <mergeCell ref="O355:O358"/>
    <mergeCell ref="F359:F360"/>
    <mergeCell ref="G359:G360"/>
    <mergeCell ref="H359:H360"/>
    <mergeCell ref="I359:I360"/>
    <mergeCell ref="J359:J360"/>
    <mergeCell ref="K359:K360"/>
    <mergeCell ref="N363:N364"/>
    <mergeCell ref="F365:F366"/>
    <mergeCell ref="G365:G366"/>
    <mergeCell ref="H365:H366"/>
    <mergeCell ref="I365:I366"/>
    <mergeCell ref="J365:J366"/>
    <mergeCell ref="K365:K366"/>
    <mergeCell ref="L365:L366"/>
    <mergeCell ref="M365:M366"/>
    <mergeCell ref="N365:N366"/>
    <mergeCell ref="M361:M362"/>
    <mergeCell ref="N361:N362"/>
    <mergeCell ref="F363:F364"/>
    <mergeCell ref="G363:G364"/>
    <mergeCell ref="H363:H364"/>
    <mergeCell ref="I363:I364"/>
    <mergeCell ref="J363:J364"/>
    <mergeCell ref="K363:K364"/>
    <mergeCell ref="L363:L364"/>
    <mergeCell ref="M363:M364"/>
    <mergeCell ref="M369:M370"/>
    <mergeCell ref="N369:N370"/>
    <mergeCell ref="F371:F372"/>
    <mergeCell ref="G371:G372"/>
    <mergeCell ref="H371:H372"/>
    <mergeCell ref="I371:I372"/>
    <mergeCell ref="J371:J372"/>
    <mergeCell ref="K371:K372"/>
    <mergeCell ref="L371:L372"/>
    <mergeCell ref="M371:M372"/>
    <mergeCell ref="L367:L368"/>
    <mergeCell ref="M367:M368"/>
    <mergeCell ref="N367:N368"/>
    <mergeCell ref="F369:F370"/>
    <mergeCell ref="G369:G370"/>
    <mergeCell ref="H369:H370"/>
    <mergeCell ref="I369:I370"/>
    <mergeCell ref="J369:J370"/>
    <mergeCell ref="K369:K370"/>
    <mergeCell ref="L369:L370"/>
    <mergeCell ref="F367:F368"/>
    <mergeCell ref="G367:G368"/>
    <mergeCell ref="H367:H368"/>
    <mergeCell ref="I367:I368"/>
    <mergeCell ref="J367:J368"/>
    <mergeCell ref="K367:K368"/>
    <mergeCell ref="L375:L376"/>
    <mergeCell ref="M375:M376"/>
    <mergeCell ref="N375:N376"/>
    <mergeCell ref="F377:F378"/>
    <mergeCell ref="G377:G378"/>
    <mergeCell ref="H377:H378"/>
    <mergeCell ref="I377:I378"/>
    <mergeCell ref="J377:J378"/>
    <mergeCell ref="K377:K378"/>
    <mergeCell ref="L377:L378"/>
    <mergeCell ref="F375:F376"/>
    <mergeCell ref="G375:G376"/>
    <mergeCell ref="H375:H376"/>
    <mergeCell ref="I375:I376"/>
    <mergeCell ref="J375:J376"/>
    <mergeCell ref="K375:K376"/>
    <mergeCell ref="N371:N372"/>
    <mergeCell ref="F373:F374"/>
    <mergeCell ref="G373:G374"/>
    <mergeCell ref="H373:H374"/>
    <mergeCell ref="I373:I374"/>
    <mergeCell ref="J373:J374"/>
    <mergeCell ref="K373:K374"/>
    <mergeCell ref="L373:L374"/>
    <mergeCell ref="M373:M374"/>
    <mergeCell ref="N373:N374"/>
    <mergeCell ref="N379:N380"/>
    <mergeCell ref="F381:F382"/>
    <mergeCell ref="G381:G382"/>
    <mergeCell ref="H381:H382"/>
    <mergeCell ref="I381:I382"/>
    <mergeCell ref="J381:J382"/>
    <mergeCell ref="K381:K382"/>
    <mergeCell ref="L381:L382"/>
    <mergeCell ref="M381:M382"/>
    <mergeCell ref="N381:N382"/>
    <mergeCell ref="M377:M378"/>
    <mergeCell ref="N377:N378"/>
    <mergeCell ref="F379:F380"/>
    <mergeCell ref="G379:G380"/>
    <mergeCell ref="H379:H380"/>
    <mergeCell ref="I379:I380"/>
    <mergeCell ref="J379:J380"/>
    <mergeCell ref="K379:K380"/>
    <mergeCell ref="L379:L380"/>
    <mergeCell ref="M379:M380"/>
    <mergeCell ref="M385:M386"/>
    <mergeCell ref="N385:N386"/>
    <mergeCell ref="F387:F388"/>
    <mergeCell ref="G387:G388"/>
    <mergeCell ref="H387:H388"/>
    <mergeCell ref="I387:I388"/>
    <mergeCell ref="J387:J388"/>
    <mergeCell ref="K387:K388"/>
    <mergeCell ref="L387:L388"/>
    <mergeCell ref="M387:M388"/>
    <mergeCell ref="L383:L384"/>
    <mergeCell ref="M383:M384"/>
    <mergeCell ref="N383:N384"/>
    <mergeCell ref="F385:F386"/>
    <mergeCell ref="G385:G386"/>
    <mergeCell ref="H385:H386"/>
    <mergeCell ref="I385:I386"/>
    <mergeCell ref="J385:J386"/>
    <mergeCell ref="K385:K386"/>
    <mergeCell ref="L385:L386"/>
    <mergeCell ref="F383:F384"/>
    <mergeCell ref="G383:G384"/>
    <mergeCell ref="H383:H384"/>
    <mergeCell ref="I383:I384"/>
    <mergeCell ref="J383:J384"/>
    <mergeCell ref="K383:K384"/>
    <mergeCell ref="C396:H396"/>
    <mergeCell ref="I396:K396"/>
    <mergeCell ref="L396:N396"/>
    <mergeCell ref="O396:O399"/>
    <mergeCell ref="F401:F402"/>
    <mergeCell ref="G401:G402"/>
    <mergeCell ref="H401:H402"/>
    <mergeCell ref="I401:I402"/>
    <mergeCell ref="J401:J402"/>
    <mergeCell ref="K401:K402"/>
    <mergeCell ref="C391:H392"/>
    <mergeCell ref="I391:O391"/>
    <mergeCell ref="I392:O392"/>
    <mergeCell ref="C393:O393"/>
    <mergeCell ref="C394:O394"/>
    <mergeCell ref="C395:O395"/>
    <mergeCell ref="N387:N388"/>
    <mergeCell ref="F389:F390"/>
    <mergeCell ref="G389:G390"/>
    <mergeCell ref="H389:H390"/>
    <mergeCell ref="I389:I390"/>
    <mergeCell ref="J389:J390"/>
    <mergeCell ref="K389:K390"/>
    <mergeCell ref="L389:L390"/>
    <mergeCell ref="M389:M390"/>
    <mergeCell ref="N389:N390"/>
    <mergeCell ref="M403:M404"/>
    <mergeCell ref="N403:N404"/>
    <mergeCell ref="F405:F406"/>
    <mergeCell ref="G405:G406"/>
    <mergeCell ref="H405:H406"/>
    <mergeCell ref="I405:I406"/>
    <mergeCell ref="J405:J406"/>
    <mergeCell ref="K405:K406"/>
    <mergeCell ref="L405:L406"/>
    <mergeCell ref="M405:M406"/>
    <mergeCell ref="L401:L402"/>
    <mergeCell ref="M401:M402"/>
    <mergeCell ref="N401:N402"/>
    <mergeCell ref="F403:F404"/>
    <mergeCell ref="G403:G404"/>
    <mergeCell ref="H403:H404"/>
    <mergeCell ref="I403:I404"/>
    <mergeCell ref="J403:J404"/>
    <mergeCell ref="K403:K404"/>
    <mergeCell ref="L403:L404"/>
    <mergeCell ref="L409:L410"/>
    <mergeCell ref="M409:M410"/>
    <mergeCell ref="N409:N410"/>
    <mergeCell ref="F411:F412"/>
    <mergeCell ref="G411:G412"/>
    <mergeCell ref="H411:H412"/>
    <mergeCell ref="I411:I412"/>
    <mergeCell ref="J411:J412"/>
    <mergeCell ref="K411:K412"/>
    <mergeCell ref="L411:L412"/>
    <mergeCell ref="F409:F410"/>
    <mergeCell ref="G409:G410"/>
    <mergeCell ref="H409:H410"/>
    <mergeCell ref="I409:I410"/>
    <mergeCell ref="J409:J410"/>
    <mergeCell ref="K409:K410"/>
    <mergeCell ref="N405:N406"/>
    <mergeCell ref="F407:F408"/>
    <mergeCell ref="G407:G408"/>
    <mergeCell ref="H407:H408"/>
    <mergeCell ref="I407:I408"/>
    <mergeCell ref="J407:J408"/>
    <mergeCell ref="K407:K408"/>
    <mergeCell ref="L407:L408"/>
    <mergeCell ref="M407:M408"/>
    <mergeCell ref="N407:N408"/>
    <mergeCell ref="N413:N414"/>
    <mergeCell ref="F415:F416"/>
    <mergeCell ref="G415:G416"/>
    <mergeCell ref="H415:H416"/>
    <mergeCell ref="I415:I416"/>
    <mergeCell ref="J415:J416"/>
    <mergeCell ref="K415:K416"/>
    <mergeCell ref="L415:L416"/>
    <mergeCell ref="M415:M416"/>
    <mergeCell ref="N415:N416"/>
    <mergeCell ref="M411:M412"/>
    <mergeCell ref="N411:N412"/>
    <mergeCell ref="F413:F414"/>
    <mergeCell ref="G413:G414"/>
    <mergeCell ref="H413:H414"/>
    <mergeCell ref="I413:I414"/>
    <mergeCell ref="J413:J414"/>
    <mergeCell ref="K413:K414"/>
    <mergeCell ref="L413:L414"/>
    <mergeCell ref="M413:M414"/>
    <mergeCell ref="M419:M420"/>
    <mergeCell ref="N419:N420"/>
    <mergeCell ref="F421:F422"/>
    <mergeCell ref="G421:G422"/>
    <mergeCell ref="H421:H422"/>
    <mergeCell ref="I421:I422"/>
    <mergeCell ref="J421:J422"/>
    <mergeCell ref="K421:K422"/>
    <mergeCell ref="L421:L422"/>
    <mergeCell ref="M421:M422"/>
    <mergeCell ref="L417:L418"/>
    <mergeCell ref="M417:M418"/>
    <mergeCell ref="N417:N418"/>
    <mergeCell ref="F419:F420"/>
    <mergeCell ref="G419:G420"/>
    <mergeCell ref="H419:H420"/>
    <mergeCell ref="I419:I420"/>
    <mergeCell ref="J419:J420"/>
    <mergeCell ref="K419:K420"/>
    <mergeCell ref="L419:L420"/>
    <mergeCell ref="F417:F418"/>
    <mergeCell ref="G417:G418"/>
    <mergeCell ref="H417:H418"/>
    <mergeCell ref="I417:I418"/>
    <mergeCell ref="J417:J418"/>
    <mergeCell ref="K417:K418"/>
    <mergeCell ref="L425:L426"/>
    <mergeCell ref="M425:M426"/>
    <mergeCell ref="N425:N426"/>
    <mergeCell ref="F427:F428"/>
    <mergeCell ref="G427:G428"/>
    <mergeCell ref="H427:H428"/>
    <mergeCell ref="I427:I428"/>
    <mergeCell ref="J427:J428"/>
    <mergeCell ref="K427:K428"/>
    <mergeCell ref="L427:L428"/>
    <mergeCell ref="F425:F426"/>
    <mergeCell ref="G425:G426"/>
    <mergeCell ref="H425:H426"/>
    <mergeCell ref="I425:I426"/>
    <mergeCell ref="J425:J426"/>
    <mergeCell ref="K425:K426"/>
    <mergeCell ref="N421:N422"/>
    <mergeCell ref="F423:F424"/>
    <mergeCell ref="G423:G424"/>
    <mergeCell ref="H423:H424"/>
    <mergeCell ref="I423:I424"/>
    <mergeCell ref="J423:J424"/>
    <mergeCell ref="K423:K424"/>
    <mergeCell ref="L423:L424"/>
    <mergeCell ref="M423:M424"/>
    <mergeCell ref="N423:N424"/>
    <mergeCell ref="N429:N430"/>
    <mergeCell ref="F431:F432"/>
    <mergeCell ref="G431:G432"/>
    <mergeCell ref="H431:H432"/>
    <mergeCell ref="I431:I432"/>
    <mergeCell ref="J431:J432"/>
    <mergeCell ref="K431:K432"/>
    <mergeCell ref="L431:L432"/>
    <mergeCell ref="M431:M432"/>
    <mergeCell ref="N431:N432"/>
    <mergeCell ref="M427:M428"/>
    <mergeCell ref="N427:N428"/>
    <mergeCell ref="F429:F430"/>
    <mergeCell ref="G429:G430"/>
    <mergeCell ref="H429:H430"/>
    <mergeCell ref="I429:I430"/>
    <mergeCell ref="J429:J430"/>
    <mergeCell ref="K429:K430"/>
    <mergeCell ref="L429:L430"/>
    <mergeCell ref="M429:M430"/>
    <mergeCell ref="M435:M436"/>
    <mergeCell ref="N435:N436"/>
    <mergeCell ref="F437:F438"/>
    <mergeCell ref="G437:G438"/>
    <mergeCell ref="H437:H438"/>
    <mergeCell ref="I437:I438"/>
    <mergeCell ref="J437:J438"/>
    <mergeCell ref="K437:K438"/>
    <mergeCell ref="L437:L438"/>
    <mergeCell ref="M437:M438"/>
    <mergeCell ref="L433:L434"/>
    <mergeCell ref="M433:M434"/>
    <mergeCell ref="N433:N434"/>
    <mergeCell ref="F435:F436"/>
    <mergeCell ref="G435:G436"/>
    <mergeCell ref="H435:H436"/>
    <mergeCell ref="I435:I436"/>
    <mergeCell ref="J435:J436"/>
    <mergeCell ref="K435:K436"/>
    <mergeCell ref="L435:L436"/>
    <mergeCell ref="F433:F434"/>
    <mergeCell ref="G433:G434"/>
    <mergeCell ref="H433:H434"/>
    <mergeCell ref="I433:I434"/>
    <mergeCell ref="J433:J434"/>
    <mergeCell ref="K433:K434"/>
    <mergeCell ref="C441:J442"/>
    <mergeCell ref="K441:O441"/>
    <mergeCell ref="K442:O442"/>
    <mergeCell ref="C443:H443"/>
    <mergeCell ref="I443:K443"/>
    <mergeCell ref="L443:N443"/>
    <mergeCell ref="O443:O446"/>
    <mergeCell ref="N437:N438"/>
    <mergeCell ref="F439:F440"/>
    <mergeCell ref="G439:G440"/>
    <mergeCell ref="H439:H440"/>
    <mergeCell ref="I439:I440"/>
    <mergeCell ref="J439:J440"/>
    <mergeCell ref="K439:K440"/>
    <mergeCell ref="L439:L440"/>
    <mergeCell ref="M439:M440"/>
    <mergeCell ref="N439:N440"/>
    <mergeCell ref="M449:M450"/>
    <mergeCell ref="N449:N450"/>
    <mergeCell ref="F451:F452"/>
    <mergeCell ref="G451:G452"/>
    <mergeCell ref="H451:H452"/>
    <mergeCell ref="I451:I452"/>
    <mergeCell ref="J451:J452"/>
    <mergeCell ref="K451:K452"/>
    <mergeCell ref="L451:L452"/>
    <mergeCell ref="M451:M452"/>
    <mergeCell ref="L447:L448"/>
    <mergeCell ref="M447:M448"/>
    <mergeCell ref="N447:N448"/>
    <mergeCell ref="F449:F450"/>
    <mergeCell ref="G449:G450"/>
    <mergeCell ref="H449:H450"/>
    <mergeCell ref="I449:I450"/>
    <mergeCell ref="J449:J450"/>
    <mergeCell ref="K449:K450"/>
    <mergeCell ref="L449:L450"/>
    <mergeCell ref="F447:F448"/>
    <mergeCell ref="G447:G448"/>
    <mergeCell ref="H447:H448"/>
    <mergeCell ref="I447:I448"/>
    <mergeCell ref="J447:J448"/>
    <mergeCell ref="K447:K448"/>
    <mergeCell ref="L455:L456"/>
    <mergeCell ref="M455:M456"/>
    <mergeCell ref="N455:N456"/>
    <mergeCell ref="F457:F458"/>
    <mergeCell ref="G457:G458"/>
    <mergeCell ref="H457:H458"/>
    <mergeCell ref="I457:I458"/>
    <mergeCell ref="J457:J458"/>
    <mergeCell ref="K457:K458"/>
    <mergeCell ref="L457:L458"/>
    <mergeCell ref="F455:F456"/>
    <mergeCell ref="G455:G456"/>
    <mergeCell ref="H455:H456"/>
    <mergeCell ref="I455:I456"/>
    <mergeCell ref="J455:J456"/>
    <mergeCell ref="K455:K456"/>
    <mergeCell ref="N451:N452"/>
    <mergeCell ref="F453:F454"/>
    <mergeCell ref="G453:G454"/>
    <mergeCell ref="H453:H454"/>
    <mergeCell ref="I453:I454"/>
    <mergeCell ref="J453:J454"/>
    <mergeCell ref="K453:K454"/>
    <mergeCell ref="L453:L454"/>
    <mergeCell ref="M453:M454"/>
    <mergeCell ref="N453:N454"/>
    <mergeCell ref="N459:N460"/>
    <mergeCell ref="F461:F462"/>
    <mergeCell ref="G461:G462"/>
    <mergeCell ref="H461:H462"/>
    <mergeCell ref="I461:I462"/>
    <mergeCell ref="J461:J462"/>
    <mergeCell ref="K461:K462"/>
    <mergeCell ref="L461:L462"/>
    <mergeCell ref="M461:M462"/>
    <mergeCell ref="N461:N462"/>
    <mergeCell ref="M457:M458"/>
    <mergeCell ref="N457:N458"/>
    <mergeCell ref="F459:F460"/>
    <mergeCell ref="G459:G460"/>
    <mergeCell ref="H459:H460"/>
    <mergeCell ref="I459:I460"/>
    <mergeCell ref="J459:J460"/>
    <mergeCell ref="K459:K460"/>
    <mergeCell ref="L459:L460"/>
    <mergeCell ref="M459:M460"/>
    <mergeCell ref="M465:M466"/>
    <mergeCell ref="N465:N466"/>
    <mergeCell ref="F467:F468"/>
    <mergeCell ref="G467:G468"/>
    <mergeCell ref="H467:H468"/>
    <mergeCell ref="I467:I468"/>
    <mergeCell ref="J467:J468"/>
    <mergeCell ref="K467:K468"/>
    <mergeCell ref="L467:L468"/>
    <mergeCell ref="M467:M468"/>
    <mergeCell ref="L463:L464"/>
    <mergeCell ref="M463:M464"/>
    <mergeCell ref="N463:N464"/>
    <mergeCell ref="F465:F466"/>
    <mergeCell ref="G465:G466"/>
    <mergeCell ref="H465:H466"/>
    <mergeCell ref="I465:I466"/>
    <mergeCell ref="J465:J466"/>
    <mergeCell ref="K465:K466"/>
    <mergeCell ref="L465:L466"/>
    <mergeCell ref="F463:F464"/>
    <mergeCell ref="G463:G464"/>
    <mergeCell ref="H463:H464"/>
    <mergeCell ref="I463:I464"/>
    <mergeCell ref="J463:J464"/>
    <mergeCell ref="K463:K464"/>
    <mergeCell ref="L471:L472"/>
    <mergeCell ref="M471:M472"/>
    <mergeCell ref="N471:N472"/>
    <mergeCell ref="F473:F474"/>
    <mergeCell ref="G473:G474"/>
    <mergeCell ref="H473:H474"/>
    <mergeCell ref="I473:I474"/>
    <mergeCell ref="J473:J474"/>
    <mergeCell ref="K473:K474"/>
    <mergeCell ref="L473:L474"/>
    <mergeCell ref="F471:F472"/>
    <mergeCell ref="G471:G472"/>
    <mergeCell ref="H471:H472"/>
    <mergeCell ref="I471:I472"/>
    <mergeCell ref="J471:J472"/>
    <mergeCell ref="K471:K472"/>
    <mergeCell ref="N467:N468"/>
    <mergeCell ref="F469:F470"/>
    <mergeCell ref="G469:G470"/>
    <mergeCell ref="H469:H470"/>
    <mergeCell ref="I469:I470"/>
    <mergeCell ref="J469:J470"/>
    <mergeCell ref="K469:K470"/>
    <mergeCell ref="L469:L470"/>
    <mergeCell ref="M469:M470"/>
    <mergeCell ref="N469:N470"/>
    <mergeCell ref="N475:N476"/>
    <mergeCell ref="F477:F478"/>
    <mergeCell ref="G477:G478"/>
    <mergeCell ref="H477:H478"/>
    <mergeCell ref="I477:I478"/>
    <mergeCell ref="J477:J478"/>
    <mergeCell ref="K477:K478"/>
    <mergeCell ref="L477:L478"/>
    <mergeCell ref="M477:M478"/>
    <mergeCell ref="N477:N478"/>
    <mergeCell ref="M473:M474"/>
    <mergeCell ref="N473:N474"/>
    <mergeCell ref="F475:F476"/>
    <mergeCell ref="G475:G476"/>
    <mergeCell ref="H475:H476"/>
    <mergeCell ref="I475:I476"/>
    <mergeCell ref="J475:J476"/>
    <mergeCell ref="K475:K476"/>
    <mergeCell ref="L475:L476"/>
    <mergeCell ref="M475:M476"/>
    <mergeCell ref="M481:M482"/>
    <mergeCell ref="N481:N482"/>
    <mergeCell ref="F483:F484"/>
    <mergeCell ref="G483:G484"/>
    <mergeCell ref="H483:H484"/>
    <mergeCell ref="I483:I484"/>
    <mergeCell ref="J483:J484"/>
    <mergeCell ref="K483:K484"/>
    <mergeCell ref="L483:L484"/>
    <mergeCell ref="M483:M484"/>
    <mergeCell ref="L479:L480"/>
    <mergeCell ref="M479:M480"/>
    <mergeCell ref="N479:N480"/>
    <mergeCell ref="F481:F482"/>
    <mergeCell ref="G481:G482"/>
    <mergeCell ref="H481:H482"/>
    <mergeCell ref="I481:I482"/>
    <mergeCell ref="J481:J482"/>
    <mergeCell ref="K481:K482"/>
    <mergeCell ref="L481:L482"/>
    <mergeCell ref="F479:F480"/>
    <mergeCell ref="G479:G480"/>
    <mergeCell ref="H479:H480"/>
    <mergeCell ref="I479:I480"/>
    <mergeCell ref="J479:J480"/>
    <mergeCell ref="K479:K480"/>
    <mergeCell ref="L491:L492"/>
    <mergeCell ref="M491:M492"/>
    <mergeCell ref="N491:N492"/>
    <mergeCell ref="F493:F494"/>
    <mergeCell ref="G493:G494"/>
    <mergeCell ref="H493:H494"/>
    <mergeCell ref="I493:I494"/>
    <mergeCell ref="J493:J494"/>
    <mergeCell ref="K493:K494"/>
    <mergeCell ref="L493:L494"/>
    <mergeCell ref="F491:F492"/>
    <mergeCell ref="G491:G492"/>
    <mergeCell ref="H491:H492"/>
    <mergeCell ref="I491:I492"/>
    <mergeCell ref="J491:J492"/>
    <mergeCell ref="K491:K492"/>
    <mergeCell ref="N483:N484"/>
    <mergeCell ref="C485:J486"/>
    <mergeCell ref="K485:O485"/>
    <mergeCell ref="K486:O486"/>
    <mergeCell ref="C487:H487"/>
    <mergeCell ref="I487:K487"/>
    <mergeCell ref="L487:N487"/>
    <mergeCell ref="O487:O490"/>
    <mergeCell ref="N495:N496"/>
    <mergeCell ref="F497:F498"/>
    <mergeCell ref="G497:G498"/>
    <mergeCell ref="H497:H498"/>
    <mergeCell ref="I497:I498"/>
    <mergeCell ref="J497:J498"/>
    <mergeCell ref="K497:K498"/>
    <mergeCell ref="L497:L498"/>
    <mergeCell ref="M497:M498"/>
    <mergeCell ref="N497:N498"/>
    <mergeCell ref="M493:M494"/>
    <mergeCell ref="N493:N494"/>
    <mergeCell ref="F495:F496"/>
    <mergeCell ref="G495:G496"/>
    <mergeCell ref="H495:H496"/>
    <mergeCell ref="I495:I496"/>
    <mergeCell ref="J495:J496"/>
    <mergeCell ref="K495:K496"/>
    <mergeCell ref="L495:L496"/>
    <mergeCell ref="M495:M496"/>
    <mergeCell ref="M501:M502"/>
    <mergeCell ref="N501:N502"/>
    <mergeCell ref="F503:F504"/>
    <mergeCell ref="G503:G504"/>
    <mergeCell ref="H503:H504"/>
    <mergeCell ref="I503:I504"/>
    <mergeCell ref="J503:J504"/>
    <mergeCell ref="K503:K504"/>
    <mergeCell ref="L503:L504"/>
    <mergeCell ref="M503:M504"/>
    <mergeCell ref="L499:L500"/>
    <mergeCell ref="M499:M500"/>
    <mergeCell ref="N499:N500"/>
    <mergeCell ref="F501:F502"/>
    <mergeCell ref="G501:G502"/>
    <mergeCell ref="H501:H502"/>
    <mergeCell ref="I501:I502"/>
    <mergeCell ref="J501:J502"/>
    <mergeCell ref="K501:K502"/>
    <mergeCell ref="L501:L502"/>
    <mergeCell ref="F499:F500"/>
    <mergeCell ref="G499:G500"/>
    <mergeCell ref="H499:H500"/>
    <mergeCell ref="I499:I500"/>
    <mergeCell ref="J499:J500"/>
    <mergeCell ref="K499:K500"/>
    <mergeCell ref="L507:L508"/>
    <mergeCell ref="M507:M508"/>
    <mergeCell ref="N507:N508"/>
    <mergeCell ref="F509:F510"/>
    <mergeCell ref="G509:G510"/>
    <mergeCell ref="H509:H510"/>
    <mergeCell ref="I509:I510"/>
    <mergeCell ref="J509:J510"/>
    <mergeCell ref="K509:K510"/>
    <mergeCell ref="L509:L510"/>
    <mergeCell ref="F507:F508"/>
    <mergeCell ref="G507:G508"/>
    <mergeCell ref="H507:H508"/>
    <mergeCell ref="I507:I508"/>
    <mergeCell ref="J507:J508"/>
    <mergeCell ref="K507:K508"/>
    <mergeCell ref="N503:N504"/>
    <mergeCell ref="F505:F506"/>
    <mergeCell ref="G505:G506"/>
    <mergeCell ref="H505:H506"/>
    <mergeCell ref="I505:I506"/>
    <mergeCell ref="J505:J506"/>
    <mergeCell ref="K505:K506"/>
    <mergeCell ref="L505:L506"/>
    <mergeCell ref="M505:M506"/>
    <mergeCell ref="N505:N506"/>
    <mergeCell ref="N511:N512"/>
    <mergeCell ref="F513:F514"/>
    <mergeCell ref="G513:G514"/>
    <mergeCell ref="H513:H514"/>
    <mergeCell ref="I513:I514"/>
    <mergeCell ref="J513:J514"/>
    <mergeCell ref="K513:K514"/>
    <mergeCell ref="L513:L514"/>
    <mergeCell ref="M513:M514"/>
    <mergeCell ref="N513:N514"/>
    <mergeCell ref="M509:M510"/>
    <mergeCell ref="N509:N510"/>
    <mergeCell ref="F511:F512"/>
    <mergeCell ref="G511:G512"/>
    <mergeCell ref="H511:H512"/>
    <mergeCell ref="I511:I512"/>
    <mergeCell ref="J511:J512"/>
    <mergeCell ref="K511:K512"/>
    <mergeCell ref="L511:L512"/>
    <mergeCell ref="M511:M512"/>
    <mergeCell ref="M517:M518"/>
    <mergeCell ref="N517:N518"/>
    <mergeCell ref="F519:F520"/>
    <mergeCell ref="G519:G520"/>
    <mergeCell ref="H519:H520"/>
    <mergeCell ref="I519:I520"/>
    <mergeCell ref="J519:J520"/>
    <mergeCell ref="K519:K520"/>
    <mergeCell ref="L519:L520"/>
    <mergeCell ref="M519:M520"/>
    <mergeCell ref="L515:L516"/>
    <mergeCell ref="M515:M516"/>
    <mergeCell ref="N515:N516"/>
    <mergeCell ref="F517:F518"/>
    <mergeCell ref="G517:G518"/>
    <mergeCell ref="H517:H518"/>
    <mergeCell ref="I517:I518"/>
    <mergeCell ref="J517:J518"/>
    <mergeCell ref="K517:K518"/>
    <mergeCell ref="L517:L518"/>
    <mergeCell ref="F515:F516"/>
    <mergeCell ref="G515:G516"/>
    <mergeCell ref="H515:H516"/>
    <mergeCell ref="I515:I516"/>
    <mergeCell ref="J515:J516"/>
    <mergeCell ref="K515:K516"/>
    <mergeCell ref="L523:L524"/>
    <mergeCell ref="M523:M524"/>
    <mergeCell ref="N523:N524"/>
    <mergeCell ref="F525:F526"/>
    <mergeCell ref="G525:G526"/>
    <mergeCell ref="H525:H526"/>
    <mergeCell ref="I525:I526"/>
    <mergeCell ref="J525:J526"/>
    <mergeCell ref="K525:K526"/>
    <mergeCell ref="L525:L526"/>
    <mergeCell ref="F523:F524"/>
    <mergeCell ref="G523:G524"/>
    <mergeCell ref="H523:H524"/>
    <mergeCell ref="I523:I524"/>
    <mergeCell ref="J523:J524"/>
    <mergeCell ref="K523:K524"/>
    <mergeCell ref="N519:N520"/>
    <mergeCell ref="F521:F522"/>
    <mergeCell ref="G521:G522"/>
    <mergeCell ref="H521:H522"/>
    <mergeCell ref="I521:I522"/>
    <mergeCell ref="J521:J522"/>
    <mergeCell ref="K521:K522"/>
    <mergeCell ref="L521:L522"/>
    <mergeCell ref="M521:M522"/>
    <mergeCell ref="N521:N522"/>
    <mergeCell ref="N527:N528"/>
    <mergeCell ref="F529:F530"/>
    <mergeCell ref="G529:G530"/>
    <mergeCell ref="H529:H530"/>
    <mergeCell ref="I529:I530"/>
    <mergeCell ref="J529:J530"/>
    <mergeCell ref="K529:K530"/>
    <mergeCell ref="L529:L530"/>
    <mergeCell ref="M529:M530"/>
    <mergeCell ref="N529:N530"/>
    <mergeCell ref="M525:M526"/>
    <mergeCell ref="N525:N526"/>
    <mergeCell ref="F527:F528"/>
    <mergeCell ref="G527:G528"/>
    <mergeCell ref="H527:H528"/>
    <mergeCell ref="I527:I528"/>
    <mergeCell ref="J527:J528"/>
    <mergeCell ref="K527:K528"/>
    <mergeCell ref="L527:L528"/>
    <mergeCell ref="M527:M528"/>
    <mergeCell ref="L537:L538"/>
    <mergeCell ref="M537:M538"/>
    <mergeCell ref="N537:N538"/>
    <mergeCell ref="F539:F540"/>
    <mergeCell ref="G539:G540"/>
    <mergeCell ref="H539:H540"/>
    <mergeCell ref="I539:I540"/>
    <mergeCell ref="J539:J540"/>
    <mergeCell ref="K539:K540"/>
    <mergeCell ref="L539:L540"/>
    <mergeCell ref="F537:F538"/>
    <mergeCell ref="G537:G538"/>
    <mergeCell ref="H537:H538"/>
    <mergeCell ref="I537:I538"/>
    <mergeCell ref="J537:J538"/>
    <mergeCell ref="K537:K538"/>
    <mergeCell ref="C531:J532"/>
    <mergeCell ref="K531:O531"/>
    <mergeCell ref="K532:O532"/>
    <mergeCell ref="C533:H533"/>
    <mergeCell ref="I533:K533"/>
    <mergeCell ref="L533:N533"/>
    <mergeCell ref="O533:O536"/>
    <mergeCell ref="N541:N542"/>
    <mergeCell ref="F543:F544"/>
    <mergeCell ref="G543:G544"/>
    <mergeCell ref="H543:H544"/>
    <mergeCell ref="I543:I544"/>
    <mergeCell ref="J543:J544"/>
    <mergeCell ref="K543:K544"/>
    <mergeCell ref="L543:L544"/>
    <mergeCell ref="M543:M544"/>
    <mergeCell ref="N543:N544"/>
    <mergeCell ref="M539:M540"/>
    <mergeCell ref="N539:N540"/>
    <mergeCell ref="F541:F542"/>
    <mergeCell ref="G541:G542"/>
    <mergeCell ref="H541:H542"/>
    <mergeCell ref="I541:I542"/>
    <mergeCell ref="J541:J542"/>
    <mergeCell ref="K541:K542"/>
    <mergeCell ref="L541:L542"/>
    <mergeCell ref="M541:M542"/>
    <mergeCell ref="M547:M548"/>
    <mergeCell ref="N547:N548"/>
    <mergeCell ref="F549:F550"/>
    <mergeCell ref="G549:G550"/>
    <mergeCell ref="H549:H550"/>
    <mergeCell ref="I549:I550"/>
    <mergeCell ref="J549:J550"/>
    <mergeCell ref="K549:K550"/>
    <mergeCell ref="L549:L550"/>
    <mergeCell ref="M549:M550"/>
    <mergeCell ref="L545:L546"/>
    <mergeCell ref="M545:M546"/>
    <mergeCell ref="N545:N546"/>
    <mergeCell ref="F547:F548"/>
    <mergeCell ref="G547:G548"/>
    <mergeCell ref="H547:H548"/>
    <mergeCell ref="I547:I548"/>
    <mergeCell ref="J547:J548"/>
    <mergeCell ref="K547:K548"/>
    <mergeCell ref="L547:L548"/>
    <mergeCell ref="F545:F546"/>
    <mergeCell ref="G545:G546"/>
    <mergeCell ref="H545:H546"/>
    <mergeCell ref="I545:I546"/>
    <mergeCell ref="J545:J546"/>
    <mergeCell ref="K545:K546"/>
    <mergeCell ref="L553:L554"/>
    <mergeCell ref="M553:M554"/>
    <mergeCell ref="N553:N554"/>
    <mergeCell ref="F555:F556"/>
    <mergeCell ref="G555:G556"/>
    <mergeCell ref="H555:H556"/>
    <mergeCell ref="I555:I556"/>
    <mergeCell ref="J555:J556"/>
    <mergeCell ref="K555:K556"/>
    <mergeCell ref="L555:L556"/>
    <mergeCell ref="F553:F554"/>
    <mergeCell ref="G553:G554"/>
    <mergeCell ref="H553:H554"/>
    <mergeCell ref="I553:I554"/>
    <mergeCell ref="J553:J554"/>
    <mergeCell ref="K553:K554"/>
    <mergeCell ref="N549:N550"/>
    <mergeCell ref="F551:F552"/>
    <mergeCell ref="G551:G552"/>
    <mergeCell ref="H551:H552"/>
    <mergeCell ref="I551:I552"/>
    <mergeCell ref="J551:J552"/>
    <mergeCell ref="K551:K552"/>
    <mergeCell ref="L551:L552"/>
    <mergeCell ref="M551:M552"/>
    <mergeCell ref="N551:N552"/>
    <mergeCell ref="N557:N558"/>
    <mergeCell ref="F559:F560"/>
    <mergeCell ref="G559:G560"/>
    <mergeCell ref="H559:H560"/>
    <mergeCell ref="I559:I560"/>
    <mergeCell ref="J559:J560"/>
    <mergeCell ref="K559:K560"/>
    <mergeCell ref="L559:L560"/>
    <mergeCell ref="M559:M560"/>
    <mergeCell ref="N559:N560"/>
    <mergeCell ref="M555:M556"/>
    <mergeCell ref="N555:N556"/>
    <mergeCell ref="F557:F558"/>
    <mergeCell ref="G557:G558"/>
    <mergeCell ref="H557:H558"/>
    <mergeCell ref="I557:I558"/>
    <mergeCell ref="J557:J558"/>
    <mergeCell ref="K557:K558"/>
    <mergeCell ref="L557:L558"/>
    <mergeCell ref="M557:M558"/>
    <mergeCell ref="M563:M564"/>
    <mergeCell ref="N563:N564"/>
    <mergeCell ref="F565:F566"/>
    <mergeCell ref="G565:G566"/>
    <mergeCell ref="H565:H566"/>
    <mergeCell ref="I565:I566"/>
    <mergeCell ref="J565:J566"/>
    <mergeCell ref="K565:K566"/>
    <mergeCell ref="L565:L566"/>
    <mergeCell ref="M565:M566"/>
    <mergeCell ref="L561:L562"/>
    <mergeCell ref="M561:M562"/>
    <mergeCell ref="N561:N562"/>
    <mergeCell ref="F563:F564"/>
    <mergeCell ref="G563:G564"/>
    <mergeCell ref="H563:H564"/>
    <mergeCell ref="I563:I564"/>
    <mergeCell ref="J563:J564"/>
    <mergeCell ref="K563:K564"/>
    <mergeCell ref="L563:L564"/>
    <mergeCell ref="F561:F562"/>
    <mergeCell ref="G561:G562"/>
    <mergeCell ref="H561:H562"/>
    <mergeCell ref="I561:I562"/>
    <mergeCell ref="J561:J562"/>
    <mergeCell ref="K561:K562"/>
    <mergeCell ref="C573:J574"/>
    <mergeCell ref="K573:O573"/>
    <mergeCell ref="K574:O574"/>
    <mergeCell ref="L569:L570"/>
    <mergeCell ref="M569:M570"/>
    <mergeCell ref="N569:N570"/>
    <mergeCell ref="C571:H572"/>
    <mergeCell ref="I571:O571"/>
    <mergeCell ref="I572:O572"/>
    <mergeCell ref="F569:F570"/>
    <mergeCell ref="G569:G570"/>
    <mergeCell ref="H569:H570"/>
    <mergeCell ref="I569:I570"/>
    <mergeCell ref="J569:J570"/>
    <mergeCell ref="K569:K570"/>
    <mergeCell ref="N565:N566"/>
    <mergeCell ref="F567:F568"/>
    <mergeCell ref="G567:G568"/>
    <mergeCell ref="H567:H568"/>
    <mergeCell ref="I567:I568"/>
    <mergeCell ref="J567:J568"/>
    <mergeCell ref="K567:K568"/>
    <mergeCell ref="L567:L568"/>
    <mergeCell ref="M567:M568"/>
    <mergeCell ref="N567:N568"/>
  </mergeCells>
  <printOptions horizontalCentered="1"/>
  <pageMargins left="0" right="0" top="0" bottom="0.35" header="0" footer="0"/>
  <pageSetup paperSize="9" scale="81" orientation="landscape" r:id="rId1"/>
  <headerFooter>
    <oddFooter>&amp;L&amp;"Times New Roman,Regular"&amp;10    Afghanistan Statistical Yearbook 2023-24&amp;R&amp;"Times New Roman,Regular"&amp;10          د ۱۴۰۲ احصایيوي کالنۍ  /سالنامه احصائیوی ۱۴۰۲</oddFooter>
  </headerFooter>
  <rowBreaks count="3" manualBreakCount="3">
    <brk id="113" max="15" man="1"/>
    <brk id="194" max="15" man="1"/>
    <brk id="220" max="15" man="1"/>
  </row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theme="0"/>
  </sheetPr>
  <dimension ref="A1:P24"/>
  <sheetViews>
    <sheetView view="pageBreakPreview" topLeftCell="A3" zoomScale="136" zoomScaleSheetLayoutView="136" workbookViewId="0">
      <selection activeCell="A3" sqref="A3:G3"/>
    </sheetView>
  </sheetViews>
  <sheetFormatPr baseColWidth="10" defaultColWidth="8.83203125" defaultRowHeight="15"/>
  <cols>
    <col min="1" max="1" width="4.6640625" style="100" customWidth="1"/>
    <col min="2" max="2" width="20" style="100" customWidth="1"/>
    <col min="3" max="5" width="12.6640625" style="100" customWidth="1"/>
    <col min="6" max="6" width="25.83203125" style="100" customWidth="1"/>
    <col min="7" max="7" width="4.6640625" style="100" customWidth="1"/>
    <col min="8" max="11" width="9.1640625" style="100"/>
    <col min="12" max="12" width="27.33203125" style="100" customWidth="1"/>
    <col min="14" max="14" width="13.6640625" customWidth="1"/>
    <col min="15" max="15" width="13.1640625" customWidth="1"/>
    <col min="16" max="16" width="15.33203125" customWidth="1"/>
  </cols>
  <sheetData>
    <row r="1" spans="1:16" ht="16" hidden="1">
      <c r="A1" s="1443" t="s">
        <v>2224</v>
      </c>
      <c r="B1" s="1443"/>
      <c r="C1" s="1443"/>
      <c r="D1" s="1443"/>
      <c r="E1" s="1443"/>
      <c r="F1" s="1443"/>
      <c r="G1" s="1443"/>
    </row>
    <row r="2" spans="1:16" ht="16" hidden="1">
      <c r="A2" s="1521" t="s">
        <v>2225</v>
      </c>
      <c r="B2" s="1521"/>
      <c r="C2" s="1521"/>
      <c r="D2" s="1521"/>
      <c r="E2" s="1521"/>
      <c r="F2" s="1521"/>
      <c r="G2" s="1521"/>
    </row>
    <row r="3" spans="1:16" ht="36.75" customHeight="1">
      <c r="A3" s="1478" t="s">
        <v>2226</v>
      </c>
      <c r="B3" s="1478"/>
      <c r="C3" s="1478"/>
      <c r="D3" s="1478"/>
      <c r="E3" s="1478"/>
      <c r="F3" s="1478"/>
      <c r="G3" s="1478"/>
      <c r="H3" s="579"/>
      <c r="I3" s="579"/>
      <c r="J3" s="579"/>
    </row>
    <row r="4" spans="1:16" ht="38" customHeight="1">
      <c r="A4" s="1455" t="s">
        <v>621</v>
      </c>
      <c r="B4" s="1522" t="s">
        <v>90</v>
      </c>
      <c r="C4" s="934">
        <v>1402</v>
      </c>
      <c r="D4" s="935">
        <v>1401</v>
      </c>
      <c r="E4" s="936">
        <v>1400</v>
      </c>
      <c r="F4" s="1524" t="s">
        <v>11</v>
      </c>
      <c r="G4" s="1456" t="s">
        <v>727</v>
      </c>
      <c r="H4" s="579"/>
      <c r="I4" s="579"/>
      <c r="J4" s="579"/>
    </row>
    <row r="5" spans="1:16" ht="38" customHeight="1">
      <c r="A5" s="1455"/>
      <c r="B5" s="1523"/>
      <c r="C5" s="867" t="s">
        <v>772</v>
      </c>
      <c r="D5" s="896" t="s">
        <v>725</v>
      </c>
      <c r="E5" s="897" t="s">
        <v>726</v>
      </c>
      <c r="F5" s="1525"/>
      <c r="G5" s="1457"/>
      <c r="H5" s="579"/>
      <c r="I5" s="579"/>
      <c r="J5" s="579"/>
    </row>
    <row r="6" spans="1:16" ht="40" customHeight="1">
      <c r="A6" s="327">
        <v>1</v>
      </c>
      <c r="B6" s="566" t="s">
        <v>272</v>
      </c>
      <c r="C6" s="614">
        <f>C7+C8</f>
        <v>206</v>
      </c>
      <c r="D6" s="615">
        <f>D7+D8</f>
        <v>218</v>
      </c>
      <c r="E6" s="616">
        <f>E7+E8</f>
        <v>192</v>
      </c>
      <c r="F6" s="444" t="s">
        <v>1562</v>
      </c>
      <c r="G6" s="920">
        <v>1</v>
      </c>
    </row>
    <row r="7" spans="1:16" s="639" customFormat="1" ht="40" customHeight="1">
      <c r="A7" s="148">
        <v>1.1000000000000001</v>
      </c>
      <c r="B7" s="826" t="s">
        <v>1239</v>
      </c>
      <c r="C7" s="785">
        <v>197</v>
      </c>
      <c r="D7" s="827">
        <v>201</v>
      </c>
      <c r="E7" s="828">
        <v>176</v>
      </c>
      <c r="F7" s="829" t="s">
        <v>1559</v>
      </c>
      <c r="G7" s="921" t="s">
        <v>87</v>
      </c>
    </row>
    <row r="8" spans="1:16" ht="40" customHeight="1">
      <c r="A8" s="147">
        <v>1.2</v>
      </c>
      <c r="B8" s="282" t="s">
        <v>273</v>
      </c>
      <c r="C8" s="230">
        <v>9</v>
      </c>
      <c r="D8" s="231">
        <v>17</v>
      </c>
      <c r="E8" s="232">
        <v>16</v>
      </c>
      <c r="F8" s="470" t="s">
        <v>1560</v>
      </c>
      <c r="G8" s="922" t="s">
        <v>88</v>
      </c>
    </row>
    <row r="9" spans="1:16" s="639" customFormat="1" ht="40" customHeight="1">
      <c r="A9" s="257">
        <v>2</v>
      </c>
      <c r="B9" s="830" t="s">
        <v>368</v>
      </c>
      <c r="C9" s="831">
        <f>C10+C11</f>
        <v>40614</v>
      </c>
      <c r="D9" s="832">
        <f>D10+D11</f>
        <v>49478</v>
      </c>
      <c r="E9" s="833">
        <f>E10+E11</f>
        <v>52500</v>
      </c>
      <c r="F9" s="834" t="s">
        <v>1561</v>
      </c>
      <c r="G9" s="923">
        <v>2</v>
      </c>
    </row>
    <row r="10" spans="1:16" ht="40" customHeight="1">
      <c r="A10" s="147">
        <v>2.1</v>
      </c>
      <c r="B10" s="282" t="s">
        <v>1239</v>
      </c>
      <c r="C10" s="558">
        <v>40438</v>
      </c>
      <c r="D10" s="231">
        <v>49252</v>
      </c>
      <c r="E10" s="232">
        <v>50914</v>
      </c>
      <c r="F10" s="470" t="s">
        <v>1559</v>
      </c>
      <c r="G10" s="922" t="s">
        <v>3</v>
      </c>
      <c r="J10" s="450"/>
    </row>
    <row r="11" spans="1:16" s="639" customFormat="1" ht="40" customHeight="1">
      <c r="A11" s="148">
        <v>2.2000000000000002</v>
      </c>
      <c r="B11" s="826" t="s">
        <v>273</v>
      </c>
      <c r="C11" s="835">
        <v>176</v>
      </c>
      <c r="D11" s="827">
        <v>226</v>
      </c>
      <c r="E11" s="828">
        <v>1586</v>
      </c>
      <c r="F11" s="829" t="s">
        <v>1560</v>
      </c>
      <c r="G11" s="921" t="s">
        <v>5</v>
      </c>
      <c r="J11" s="642"/>
      <c r="K11" s="692"/>
      <c r="M11" s="641"/>
      <c r="N11" s="674"/>
      <c r="O11" s="674"/>
    </row>
    <row r="12" spans="1:16" ht="55" customHeight="1">
      <c r="A12" s="400">
        <v>3</v>
      </c>
      <c r="B12" s="566" t="s">
        <v>594</v>
      </c>
      <c r="C12" s="614">
        <f>C13+C14</f>
        <v>26303</v>
      </c>
      <c r="D12" s="615">
        <f>D13+D14</f>
        <v>28859</v>
      </c>
      <c r="E12" s="616">
        <f>E13+E14</f>
        <v>31453</v>
      </c>
      <c r="F12" s="617" t="s">
        <v>1563</v>
      </c>
      <c r="G12" s="924">
        <v>3</v>
      </c>
      <c r="M12" s="35"/>
      <c r="N12" s="35"/>
      <c r="O12" s="35"/>
    </row>
    <row r="13" spans="1:16" s="639" customFormat="1" ht="40" customHeight="1">
      <c r="A13" s="148">
        <v>3.1</v>
      </c>
      <c r="B13" s="826" t="s">
        <v>1239</v>
      </c>
      <c r="C13" s="835">
        <v>26184</v>
      </c>
      <c r="D13" s="827">
        <v>28764</v>
      </c>
      <c r="E13" s="828">
        <v>30839</v>
      </c>
      <c r="F13" s="829" t="s">
        <v>1559</v>
      </c>
      <c r="G13" s="921" t="s">
        <v>604</v>
      </c>
      <c r="M13" s="674"/>
      <c r="N13" s="674"/>
      <c r="O13" s="674"/>
    </row>
    <row r="14" spans="1:16" ht="40" customHeight="1">
      <c r="A14" s="147">
        <v>3.2</v>
      </c>
      <c r="B14" s="282" t="s">
        <v>273</v>
      </c>
      <c r="C14" s="230">
        <v>119</v>
      </c>
      <c r="D14" s="231">
        <v>95</v>
      </c>
      <c r="E14" s="232">
        <v>614</v>
      </c>
      <c r="F14" s="470" t="s">
        <v>1560</v>
      </c>
      <c r="G14" s="922" t="s">
        <v>617</v>
      </c>
      <c r="M14" s="35"/>
      <c r="N14" s="35"/>
      <c r="O14" s="35"/>
      <c r="P14" s="9"/>
    </row>
    <row r="15" spans="1:16" s="639" customFormat="1" ht="40" customHeight="1">
      <c r="A15" s="257">
        <v>4</v>
      </c>
      <c r="B15" s="836" t="s">
        <v>274</v>
      </c>
      <c r="C15" s="831">
        <f>C16+C17</f>
        <v>11816</v>
      </c>
      <c r="D15" s="832">
        <f>D16+D17</f>
        <v>4173</v>
      </c>
      <c r="E15" s="833">
        <f>E16+E17</f>
        <v>18640</v>
      </c>
      <c r="F15" s="834" t="s">
        <v>1564</v>
      </c>
      <c r="G15" s="923">
        <v>4</v>
      </c>
      <c r="M15" s="837"/>
      <c r="N15" s="837"/>
      <c r="O15" s="837"/>
      <c r="P15" s="837"/>
    </row>
    <row r="16" spans="1:16" ht="40" customHeight="1">
      <c r="A16" s="147">
        <v>4.0999999999999996</v>
      </c>
      <c r="B16" s="282" t="s">
        <v>1239</v>
      </c>
      <c r="C16" s="230">
        <v>11759</v>
      </c>
      <c r="D16" s="231">
        <v>4090</v>
      </c>
      <c r="E16" s="232">
        <v>18319</v>
      </c>
      <c r="F16" s="470" t="s">
        <v>1559</v>
      </c>
      <c r="G16" s="922" t="s">
        <v>739</v>
      </c>
    </row>
    <row r="17" spans="1:16" s="639" customFormat="1" ht="40" customHeight="1">
      <c r="A17" s="148">
        <v>4.2</v>
      </c>
      <c r="B17" s="826" t="s">
        <v>273</v>
      </c>
      <c r="C17" s="835">
        <v>57</v>
      </c>
      <c r="D17" s="827">
        <v>83</v>
      </c>
      <c r="E17" s="828">
        <v>321</v>
      </c>
      <c r="F17" s="829" t="s">
        <v>1560</v>
      </c>
      <c r="G17" s="921" t="s">
        <v>740</v>
      </c>
      <c r="M17" s="838"/>
      <c r="N17" s="838"/>
      <c r="O17" s="838"/>
      <c r="P17" s="674"/>
    </row>
    <row r="18" spans="1:16" ht="40" customHeight="1">
      <c r="A18" s="400">
        <v>5</v>
      </c>
      <c r="B18" s="618" t="s">
        <v>275</v>
      </c>
      <c r="C18" s="614">
        <f>C19+C20</f>
        <v>2414</v>
      </c>
      <c r="D18" s="619">
        <f>D19+D20</f>
        <v>2685</v>
      </c>
      <c r="E18" s="620">
        <f>E19+E20</f>
        <v>2565</v>
      </c>
      <c r="F18" s="617" t="s">
        <v>1593</v>
      </c>
      <c r="G18" s="924">
        <v>5</v>
      </c>
      <c r="N18" s="10"/>
      <c r="O18" s="10"/>
      <c r="P18" s="35"/>
    </row>
    <row r="19" spans="1:16" s="639" customFormat="1" ht="34" customHeight="1">
      <c r="A19" s="148">
        <v>5.0999999999999996</v>
      </c>
      <c r="B19" s="826" t="s">
        <v>1239</v>
      </c>
      <c r="C19" s="835">
        <v>2394</v>
      </c>
      <c r="D19" s="839">
        <v>2620</v>
      </c>
      <c r="E19" s="840">
        <v>2421</v>
      </c>
      <c r="F19" s="829" t="s">
        <v>1559</v>
      </c>
      <c r="G19" s="921" t="s">
        <v>737</v>
      </c>
      <c r="J19" s="642"/>
    </row>
    <row r="20" spans="1:16" ht="34" customHeight="1">
      <c r="A20" s="160">
        <v>5.2</v>
      </c>
      <c r="B20" s="621" t="s">
        <v>273</v>
      </c>
      <c r="C20" s="559">
        <v>20</v>
      </c>
      <c r="D20" s="560">
        <v>65</v>
      </c>
      <c r="E20" s="471">
        <v>144</v>
      </c>
      <c r="F20" s="472" t="s">
        <v>1560</v>
      </c>
      <c r="G20" s="925" t="s">
        <v>738</v>
      </c>
    </row>
    <row r="21" spans="1:16" ht="19.5" customHeight="1">
      <c r="A21" s="1458" t="s">
        <v>762</v>
      </c>
      <c r="B21" s="1458"/>
      <c r="C21" s="1458"/>
      <c r="D21" s="1458"/>
      <c r="E21" s="1270" t="s">
        <v>1228</v>
      </c>
      <c r="F21" s="1270"/>
      <c r="G21" s="1270"/>
    </row>
    <row r="22" spans="1:16" ht="15" customHeight="1"/>
    <row r="24" spans="1:16">
      <c r="B24" s="100" t="s">
        <v>593</v>
      </c>
    </row>
  </sheetData>
  <mergeCells count="9">
    <mergeCell ref="A21:D21"/>
    <mergeCell ref="E21:G21"/>
    <mergeCell ref="A1:G1"/>
    <mergeCell ref="A2:G2"/>
    <mergeCell ref="A3:G3"/>
    <mergeCell ref="A4:A5"/>
    <mergeCell ref="B4:B5"/>
    <mergeCell ref="F4:F5"/>
    <mergeCell ref="G4:G5"/>
  </mergeCells>
  <printOptions horizontalCentered="1"/>
  <pageMargins left="0" right="0" top="0.06" bottom="0.6" header="0.03" footer="0.39370078740157499"/>
  <pageSetup paperSize="9" scale="105" orientation="portrait" r:id="rId1"/>
  <headerFooter>
    <oddFooter>&amp;L&amp;"Times New Roman,Regular"&amp;10    Afghanistan Statistical Yearbook 2023-24&amp;R&amp;"Times New Roman,Regular"&amp;10          د ۱۴۰۲ احصایيوي کالنۍ  /سالنامه احصائیوی ۱۴۰۲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theme="0" tint="-4.9989318521683403E-2"/>
  </sheetPr>
  <dimension ref="A1:AN604"/>
  <sheetViews>
    <sheetView view="pageBreakPreview" topLeftCell="A3" zoomScale="142" zoomScaleNormal="70" zoomScaleSheetLayoutView="142" workbookViewId="0">
      <selection activeCell="A3" sqref="A3:P3"/>
    </sheetView>
  </sheetViews>
  <sheetFormatPr baseColWidth="10" defaultColWidth="9.1640625" defaultRowHeight="15"/>
  <cols>
    <col min="1" max="1" width="3.83203125" style="11" customWidth="1"/>
    <col min="2" max="2" width="26.33203125" style="523" customWidth="1"/>
    <col min="3" max="3" width="7.5" style="523" customWidth="1"/>
    <col min="4" max="4" width="7.5" style="523" bestFit="1" customWidth="1"/>
    <col min="5" max="5" width="8.5" style="523" customWidth="1"/>
    <col min="6" max="6" width="6.6640625" style="523" customWidth="1"/>
    <col min="7" max="7" width="7.5" style="523" customWidth="1"/>
    <col min="8" max="8" width="9.83203125" style="523" customWidth="1"/>
    <col min="9" max="9" width="6.6640625" style="523" customWidth="1"/>
    <col min="10" max="10" width="9.83203125" style="523" bestFit="1" customWidth="1"/>
    <col min="11" max="11" width="9.83203125" style="523" customWidth="1"/>
    <col min="12" max="12" width="7.5" style="523" customWidth="1"/>
    <col min="13" max="13" width="8.33203125" style="523" customWidth="1"/>
    <col min="14" max="14" width="8.6640625" style="523" customWidth="1"/>
    <col min="15" max="15" width="38.5" style="523" customWidth="1"/>
    <col min="16" max="16" width="4.33203125" style="591" customWidth="1"/>
    <col min="17" max="18" width="11" style="11" customWidth="1"/>
    <col min="19" max="19" width="9.1640625" style="11"/>
    <col min="20" max="20" width="16.5" style="11" bestFit="1" customWidth="1"/>
    <col min="21" max="21" width="13" style="11" bestFit="1" customWidth="1"/>
    <col min="22" max="16384" width="9.1640625" style="11"/>
  </cols>
  <sheetData>
    <row r="1" spans="1:24" ht="18" hidden="1" customHeight="1">
      <c r="A1" s="1418" t="s">
        <v>2221</v>
      </c>
      <c r="B1" s="1418"/>
      <c r="C1" s="1418"/>
      <c r="D1" s="1418"/>
      <c r="E1" s="1418"/>
      <c r="F1" s="1418"/>
      <c r="G1" s="1418"/>
      <c r="H1" s="1418"/>
      <c r="I1" s="1418"/>
      <c r="J1" s="1418"/>
      <c r="K1" s="1418"/>
      <c r="L1" s="1418"/>
      <c r="M1" s="1418"/>
      <c r="N1" s="1418"/>
      <c r="O1" s="1418"/>
      <c r="P1" s="1418"/>
    </row>
    <row r="2" spans="1:24" ht="18" hidden="1" customHeight="1">
      <c r="A2" s="1477" t="s">
        <v>2222</v>
      </c>
      <c r="B2" s="1477"/>
      <c r="C2" s="1477"/>
      <c r="D2" s="1477"/>
      <c r="E2" s="1477"/>
      <c r="F2" s="1477"/>
      <c r="G2" s="1477"/>
      <c r="H2" s="1477"/>
      <c r="I2" s="1477"/>
      <c r="J2" s="1477"/>
      <c r="K2" s="1477"/>
      <c r="L2" s="1477"/>
      <c r="M2" s="1477"/>
      <c r="N2" s="1477"/>
      <c r="O2" s="1477"/>
      <c r="P2" s="1477"/>
      <c r="Q2"/>
      <c r="R2"/>
      <c r="S2"/>
      <c r="T2"/>
      <c r="U2"/>
      <c r="V2"/>
      <c r="W2"/>
      <c r="X2"/>
    </row>
    <row r="3" spans="1:24" ht="18" customHeight="1">
      <c r="A3" s="1518" t="s">
        <v>2223</v>
      </c>
      <c r="B3" s="1518"/>
      <c r="C3" s="1518"/>
      <c r="D3" s="1518"/>
      <c r="E3" s="1518"/>
      <c r="F3" s="1518"/>
      <c r="G3" s="1518"/>
      <c r="H3" s="1518"/>
      <c r="I3" s="1518"/>
      <c r="J3" s="1518"/>
      <c r="K3" s="1518"/>
      <c r="L3" s="1518"/>
      <c r="M3" s="1518"/>
      <c r="N3" s="1518"/>
      <c r="O3" s="1518"/>
      <c r="P3" s="1518"/>
      <c r="Q3"/>
      <c r="R3"/>
      <c r="S3"/>
      <c r="T3"/>
      <c r="U3"/>
      <c r="V3"/>
      <c r="W3"/>
      <c r="X3"/>
    </row>
    <row r="4" spans="1:24" ht="18" customHeight="1">
      <c r="A4" s="1465" t="s">
        <v>621</v>
      </c>
      <c r="B4" s="1468" t="s">
        <v>286</v>
      </c>
      <c r="C4" s="1320" t="s">
        <v>1307</v>
      </c>
      <c r="D4" s="1470"/>
      <c r="E4" s="1449"/>
      <c r="F4" s="1320" t="s">
        <v>1219</v>
      </c>
      <c r="G4" s="1470"/>
      <c r="H4" s="1449"/>
      <c r="I4" s="1320" t="s">
        <v>1218</v>
      </c>
      <c r="J4" s="1470"/>
      <c r="K4" s="1449"/>
      <c r="L4" s="1320" t="s">
        <v>79</v>
      </c>
      <c r="M4" s="1470"/>
      <c r="N4" s="1449"/>
      <c r="O4" s="1438" t="s">
        <v>1575</v>
      </c>
      <c r="P4" s="1471" t="s">
        <v>727</v>
      </c>
      <c r="Q4"/>
      <c r="R4"/>
      <c r="S4"/>
      <c r="T4"/>
      <c r="U4"/>
      <c r="V4"/>
      <c r="W4"/>
      <c r="X4"/>
    </row>
    <row r="5" spans="1:24" ht="18" customHeight="1">
      <c r="A5" s="1466"/>
      <c r="B5" s="1468"/>
      <c r="C5" s="1280"/>
      <c r="D5" s="1474"/>
      <c r="E5" s="1475"/>
      <c r="F5" s="1280"/>
      <c r="G5" s="1474"/>
      <c r="H5" s="1475"/>
      <c r="I5" s="1280"/>
      <c r="J5" s="1474"/>
      <c r="K5" s="1475"/>
      <c r="L5" s="1280"/>
      <c r="M5" s="1474"/>
      <c r="N5" s="1475"/>
      <c r="O5" s="1439"/>
      <c r="P5" s="1472"/>
      <c r="Q5"/>
      <c r="R5"/>
      <c r="S5"/>
      <c r="T5"/>
      <c r="U5"/>
      <c r="V5"/>
      <c r="W5"/>
      <c r="X5"/>
    </row>
    <row r="6" spans="1:24" ht="18" customHeight="1">
      <c r="A6" s="1466"/>
      <c r="B6" s="1468"/>
      <c r="C6" s="1280" t="s">
        <v>138</v>
      </c>
      <c r="D6" s="1474"/>
      <c r="E6" s="1475"/>
      <c r="F6" s="1280" t="s">
        <v>1186</v>
      </c>
      <c r="G6" s="1474"/>
      <c r="H6" s="1475"/>
      <c r="I6" s="1280" t="s">
        <v>587</v>
      </c>
      <c r="J6" s="1474"/>
      <c r="K6" s="1475"/>
      <c r="L6" s="1280" t="s">
        <v>137</v>
      </c>
      <c r="M6" s="1474"/>
      <c r="N6" s="1475"/>
      <c r="O6" s="1439"/>
      <c r="P6" s="1472"/>
      <c r="Q6"/>
      <c r="R6"/>
      <c r="S6"/>
      <c r="T6"/>
      <c r="U6"/>
      <c r="V6"/>
      <c r="W6"/>
      <c r="X6"/>
    </row>
    <row r="7" spans="1:24" ht="18" customHeight="1">
      <c r="A7" s="1466"/>
      <c r="B7" s="1469"/>
      <c r="C7" s="1280" t="s">
        <v>583</v>
      </c>
      <c r="D7" s="1474" t="s">
        <v>581</v>
      </c>
      <c r="E7" s="1475" t="s">
        <v>489</v>
      </c>
      <c r="F7" s="1280" t="s">
        <v>583</v>
      </c>
      <c r="G7" s="1474" t="s">
        <v>589</v>
      </c>
      <c r="H7" s="1475" t="s">
        <v>489</v>
      </c>
      <c r="I7" s="1280" t="s">
        <v>583</v>
      </c>
      <c r="J7" s="1474" t="s">
        <v>589</v>
      </c>
      <c r="K7" s="1475" t="s">
        <v>489</v>
      </c>
      <c r="L7" s="1280" t="s">
        <v>583</v>
      </c>
      <c r="M7" s="1474" t="s">
        <v>588</v>
      </c>
      <c r="N7" s="1475" t="s">
        <v>489</v>
      </c>
      <c r="O7" s="1439"/>
      <c r="P7" s="1472"/>
      <c r="Q7"/>
      <c r="R7"/>
      <c r="S7"/>
      <c r="T7"/>
      <c r="U7"/>
      <c r="V7"/>
      <c r="W7"/>
      <c r="X7"/>
    </row>
    <row r="8" spans="1:24" ht="18" customHeight="1">
      <c r="A8" s="1466"/>
      <c r="B8" s="1469"/>
      <c r="C8" s="1280"/>
      <c r="D8" s="1474"/>
      <c r="E8" s="1475"/>
      <c r="F8" s="1280"/>
      <c r="G8" s="1474"/>
      <c r="H8" s="1475"/>
      <c r="I8" s="1280"/>
      <c r="J8" s="1474"/>
      <c r="K8" s="1475"/>
      <c r="L8" s="1280"/>
      <c r="M8" s="1474"/>
      <c r="N8" s="1475"/>
      <c r="O8" s="1439"/>
      <c r="P8" s="1472"/>
      <c r="Q8"/>
      <c r="R8"/>
      <c r="S8"/>
      <c r="T8"/>
      <c r="U8"/>
      <c r="V8"/>
      <c r="W8"/>
      <c r="X8"/>
    </row>
    <row r="9" spans="1:24" ht="18" customHeight="1">
      <c r="A9" s="1467"/>
      <c r="B9" s="1469"/>
      <c r="C9" s="872" t="s">
        <v>133</v>
      </c>
      <c r="D9" s="873" t="s">
        <v>134</v>
      </c>
      <c r="E9" s="893" t="s">
        <v>100</v>
      </c>
      <c r="F9" s="872" t="s">
        <v>133</v>
      </c>
      <c r="G9" s="873" t="s">
        <v>134</v>
      </c>
      <c r="H9" s="893" t="s">
        <v>100</v>
      </c>
      <c r="I9" s="872" t="s">
        <v>133</v>
      </c>
      <c r="J9" s="873" t="s">
        <v>134</v>
      </c>
      <c r="K9" s="869" t="s">
        <v>100</v>
      </c>
      <c r="L9" s="872" t="s">
        <v>133</v>
      </c>
      <c r="M9" s="873" t="s">
        <v>134</v>
      </c>
      <c r="N9" s="893" t="s">
        <v>100</v>
      </c>
      <c r="O9" s="1462"/>
      <c r="P9" s="1473"/>
      <c r="Q9"/>
      <c r="R9"/>
      <c r="S9"/>
      <c r="T9"/>
      <c r="U9"/>
      <c r="V9"/>
      <c r="W9"/>
      <c r="X9"/>
    </row>
    <row r="10" spans="1:24" ht="23" customHeight="1">
      <c r="A10" s="585"/>
      <c r="B10" s="576" t="s">
        <v>287</v>
      </c>
      <c r="C10" s="435">
        <f>SUM(C12:C28,C37:C55,C64:C82,C91:C111,C120:C137,C146:C164,C172:C191,C200:C219,C228:C245,C253:C271,C280:C296,C305:C318,C327:C335)</f>
        <v>463</v>
      </c>
      <c r="D10" s="436">
        <f>SUM(D12:D28,D37:D55,D64:D82,D91:D111,D120:D137,D146:D164,D172:D191,D200:D219,D228:D245,D253:D271,D280:D296,D305:D318,D327:D335)</f>
        <v>1931</v>
      </c>
      <c r="E10" s="529">
        <f>SUM(E12:E28,E37:E55,E64:E82,E91:E111,E120:E137,E146:E164,E172:E191,E200:E219,E228:E245,E253:E271,E280:E296,E305:E318,E327:E335)</f>
        <v>2394</v>
      </c>
      <c r="F10" s="436">
        <f>SUM(F12:F24,F25:F51,F53:F79,F80:F108,F109:F135,F136:F160,F161:F186,F187:F213,F214:F237,F238:F261,F263:F287,F288:F312,F313:F335)</f>
        <v>0</v>
      </c>
      <c r="G10" s="436">
        <f>SUM(G12:G28,G37:G55,G64:G82,G91:G111,G120:G137,G146:G164,G172:G191,G200:G219,G228:G245,G253:G271,G280:G296,G305:G318,G327:G335)</f>
        <v>11759</v>
      </c>
      <c r="H10" s="436">
        <f>SUM(H12:H28,H37:H55,H64:H82,H91:H111,H120:H137,H146:H164,H172:H191,H200:H219,H228:H245,H253:H271,H280:H296,H305:H318,H327:H335)</f>
        <v>11759</v>
      </c>
      <c r="I10" s="435">
        <f>SUM(I12:I28,I37:I55,I64:I82,I91:I111,I120:I137,I146:I164,I172:I191,I200:I219,I228:I245,I253:I271,I280:I296,I305:I318,I327:I335)</f>
        <v>177</v>
      </c>
      <c r="J10" s="436">
        <f>SUM(J12:J28,J37:J55,J64:J82,J91:J111,J120:J137,J146:J164,J172:J191,J200:J219,J228:J245,J253:J271,J280:J296,J305:J318,J327:J335)</f>
        <v>26007</v>
      </c>
      <c r="K10" s="436">
        <f>J10+I10</f>
        <v>26184</v>
      </c>
      <c r="L10" s="435">
        <f>SUM(L12:L28,L37:L55,L64:L82,L91:L111,L120:L137,L146:L164,L172:L191,L200:L219,L228:L245,L253:L271,L280:L296,L305:L318,L327:L335)</f>
        <v>337</v>
      </c>
      <c r="M10" s="436">
        <f>SUM(M12:M28,M37:M55,M64:M82,M91:M111,M120:M137,M146:M164,M172:M191,M200:M219,M228:M245,M253:M271,M280:M296,M305:M318,M327:M335)</f>
        <v>40101</v>
      </c>
      <c r="N10" s="436">
        <f>M10+L10</f>
        <v>40438</v>
      </c>
      <c r="O10" s="422" t="s">
        <v>680</v>
      </c>
      <c r="P10" s="926"/>
      <c r="Q10"/>
      <c r="R10" s="3"/>
      <c r="S10" s="3"/>
      <c r="T10" s="3"/>
      <c r="U10"/>
      <c r="V10"/>
      <c r="W10"/>
      <c r="X10"/>
    </row>
    <row r="11" spans="1:24" s="676" customFormat="1" ht="23" customHeight="1">
      <c r="A11" s="797"/>
      <c r="B11" s="989" t="s">
        <v>101</v>
      </c>
      <c r="C11" s="844"/>
      <c r="D11" s="845"/>
      <c r="E11" s="846"/>
      <c r="F11" s="845"/>
      <c r="G11" s="845"/>
      <c r="H11" s="845"/>
      <c r="I11" s="844"/>
      <c r="J11" s="845"/>
      <c r="K11" s="845"/>
      <c r="L11" s="844"/>
      <c r="M11" s="845"/>
      <c r="N11" s="845"/>
      <c r="O11" s="743" t="s">
        <v>18</v>
      </c>
      <c r="P11" s="927"/>
      <c r="Q11" s="642"/>
      <c r="R11" s="642"/>
      <c r="S11" s="642"/>
      <c r="T11" s="642"/>
      <c r="U11" s="639"/>
      <c r="V11" s="639"/>
      <c r="W11" s="639"/>
      <c r="X11" s="639"/>
    </row>
    <row r="12" spans="1:24" s="676" customFormat="1" ht="28" customHeight="1">
      <c r="A12" s="192">
        <v>1</v>
      </c>
      <c r="B12" s="240" t="s">
        <v>775</v>
      </c>
      <c r="C12" s="167">
        <v>7</v>
      </c>
      <c r="D12" s="168">
        <v>27</v>
      </c>
      <c r="E12" s="158">
        <f>D12+C12</f>
        <v>34</v>
      </c>
      <c r="F12" s="167">
        <v>0</v>
      </c>
      <c r="G12" s="168">
        <v>152</v>
      </c>
      <c r="H12" s="168">
        <v>152</v>
      </c>
      <c r="I12" s="167">
        <v>0</v>
      </c>
      <c r="J12" s="168">
        <f>14+30+159</f>
        <v>203</v>
      </c>
      <c r="K12" s="202">
        <f t="shared" ref="K12:K19" si="0">J12</f>
        <v>203</v>
      </c>
      <c r="L12" s="168" t="s">
        <v>56</v>
      </c>
      <c r="M12" s="168">
        <v>355</v>
      </c>
      <c r="N12" s="202">
        <v>355</v>
      </c>
      <c r="O12" s="247" t="s">
        <v>1819</v>
      </c>
      <c r="P12" s="928">
        <v>1</v>
      </c>
      <c r="Q12" s="642"/>
      <c r="R12" s="642"/>
      <c r="S12" s="639"/>
      <c r="T12" s="642"/>
      <c r="U12" s="639"/>
      <c r="V12" s="639"/>
      <c r="W12" s="639"/>
      <c r="X12" s="639"/>
    </row>
    <row r="13" spans="1:24" s="676" customFormat="1" ht="23" customHeight="1">
      <c r="A13" s="797">
        <v>2</v>
      </c>
      <c r="B13" s="798" t="s">
        <v>288</v>
      </c>
      <c r="C13" s="682" t="s">
        <v>56</v>
      </c>
      <c r="D13" s="683">
        <v>11</v>
      </c>
      <c r="E13" s="634">
        <f>D13</f>
        <v>11</v>
      </c>
      <c r="F13" s="682">
        <v>0</v>
      </c>
      <c r="G13" s="683">
        <v>122</v>
      </c>
      <c r="H13" s="683">
        <v>122</v>
      </c>
      <c r="I13" s="682">
        <v>0</v>
      </c>
      <c r="J13" s="683">
        <v>0</v>
      </c>
      <c r="K13" s="693">
        <f t="shared" si="0"/>
        <v>0</v>
      </c>
      <c r="L13" s="683" t="s">
        <v>56</v>
      </c>
      <c r="M13" s="683">
        <v>122</v>
      </c>
      <c r="N13" s="693">
        <v>122</v>
      </c>
      <c r="O13" s="248" t="s">
        <v>1820</v>
      </c>
      <c r="P13" s="927">
        <v>2</v>
      </c>
      <c r="Q13" s="639"/>
      <c r="R13" s="642"/>
      <c r="S13" s="639"/>
      <c r="T13" s="642"/>
      <c r="U13" s="639"/>
      <c r="V13" s="639"/>
      <c r="W13" s="639"/>
      <c r="X13" s="639"/>
    </row>
    <row r="14" spans="1:24" s="676" customFormat="1" ht="23" customHeight="1">
      <c r="A14" s="192">
        <v>3</v>
      </c>
      <c r="B14" s="240" t="s">
        <v>795</v>
      </c>
      <c r="C14" s="167">
        <v>17</v>
      </c>
      <c r="D14" s="168">
        <v>27</v>
      </c>
      <c r="E14" s="158">
        <f t="shared" ref="E14:E28" si="1">D14+C14</f>
        <v>44</v>
      </c>
      <c r="F14" s="167">
        <v>0</v>
      </c>
      <c r="G14" s="168">
        <v>124</v>
      </c>
      <c r="H14" s="168">
        <v>124</v>
      </c>
      <c r="I14" s="167">
        <v>0</v>
      </c>
      <c r="J14" s="168">
        <v>297</v>
      </c>
      <c r="K14" s="202">
        <f t="shared" si="0"/>
        <v>297</v>
      </c>
      <c r="L14" s="168" t="s">
        <v>56</v>
      </c>
      <c r="M14" s="168">
        <v>482</v>
      </c>
      <c r="N14" s="202">
        <v>482</v>
      </c>
      <c r="O14" s="247" t="s">
        <v>1821</v>
      </c>
      <c r="P14" s="928">
        <v>3</v>
      </c>
      <c r="Q14" s="683"/>
      <c r="R14" s="642"/>
      <c r="S14" s="642"/>
      <c r="T14" s="639"/>
      <c r="U14" s="639"/>
      <c r="V14" s="639"/>
      <c r="W14" s="639"/>
      <c r="X14" s="639"/>
    </row>
    <row r="15" spans="1:24" s="676" customFormat="1" ht="23" customHeight="1">
      <c r="A15" s="797">
        <v>4</v>
      </c>
      <c r="B15" s="239" t="s">
        <v>290</v>
      </c>
      <c r="C15" s="682">
        <v>15</v>
      </c>
      <c r="D15" s="683">
        <v>65</v>
      </c>
      <c r="E15" s="634">
        <f t="shared" si="1"/>
        <v>80</v>
      </c>
      <c r="F15" s="682">
        <v>0</v>
      </c>
      <c r="G15" s="683">
        <v>225</v>
      </c>
      <c r="H15" s="683">
        <v>225</v>
      </c>
      <c r="I15" s="682">
        <v>0</v>
      </c>
      <c r="J15" s="683">
        <v>446</v>
      </c>
      <c r="K15" s="693">
        <f t="shared" si="0"/>
        <v>446</v>
      </c>
      <c r="L15" s="683" t="s">
        <v>56</v>
      </c>
      <c r="M15" s="683">
        <v>822</v>
      </c>
      <c r="N15" s="693">
        <v>822</v>
      </c>
      <c r="O15" s="248" t="s">
        <v>1822</v>
      </c>
      <c r="P15" s="927">
        <v>4</v>
      </c>
      <c r="Q15" s="639"/>
      <c r="R15" s="642"/>
      <c r="S15" s="639"/>
      <c r="T15" s="639"/>
      <c r="U15" s="639"/>
      <c r="V15" s="639"/>
      <c r="W15" s="639"/>
      <c r="X15" s="639"/>
    </row>
    <row r="16" spans="1:24" ht="23" customHeight="1">
      <c r="A16" s="192">
        <v>5</v>
      </c>
      <c r="B16" s="240" t="s">
        <v>291</v>
      </c>
      <c r="C16" s="167">
        <v>29</v>
      </c>
      <c r="D16" s="168">
        <v>79</v>
      </c>
      <c r="E16" s="158">
        <f t="shared" si="1"/>
        <v>108</v>
      </c>
      <c r="F16" s="167">
        <v>0</v>
      </c>
      <c r="G16" s="168">
        <v>160</v>
      </c>
      <c r="H16" s="168">
        <v>160</v>
      </c>
      <c r="I16" s="167">
        <v>162</v>
      </c>
      <c r="J16" s="168">
        <v>543</v>
      </c>
      <c r="K16" s="202">
        <f t="shared" si="0"/>
        <v>543</v>
      </c>
      <c r="L16" s="168">
        <v>162</v>
      </c>
      <c r="M16" s="168">
        <v>703</v>
      </c>
      <c r="N16" s="202">
        <v>865</v>
      </c>
      <c r="O16" s="247" t="s">
        <v>1823</v>
      </c>
      <c r="P16" s="928">
        <v>5</v>
      </c>
      <c r="Q16"/>
      <c r="R16" s="642"/>
      <c r="S16" s="3"/>
      <c r="T16" s="642"/>
      <c r="U16" s="639"/>
      <c r="V16"/>
      <c r="W16"/>
      <c r="X16"/>
    </row>
    <row r="17" spans="1:24" s="676" customFormat="1" ht="28" customHeight="1">
      <c r="A17" s="797">
        <v>6</v>
      </c>
      <c r="B17" s="239" t="s">
        <v>292</v>
      </c>
      <c r="C17" s="682">
        <v>28</v>
      </c>
      <c r="D17" s="683">
        <v>52</v>
      </c>
      <c r="E17" s="634">
        <f t="shared" si="1"/>
        <v>80</v>
      </c>
      <c r="F17" s="682">
        <v>0</v>
      </c>
      <c r="G17" s="683">
        <v>232</v>
      </c>
      <c r="H17" s="683">
        <v>232</v>
      </c>
      <c r="I17" s="682">
        <v>7</v>
      </c>
      <c r="J17" s="683">
        <f>138+46+55+99+139+216+13+57+45</f>
        <v>808</v>
      </c>
      <c r="K17" s="693">
        <f t="shared" si="0"/>
        <v>808</v>
      </c>
      <c r="L17" s="683">
        <v>7</v>
      </c>
      <c r="M17" s="683">
        <v>1192</v>
      </c>
      <c r="N17" s="693">
        <v>1199</v>
      </c>
      <c r="O17" s="248" t="s">
        <v>1824</v>
      </c>
      <c r="P17" s="927">
        <v>6</v>
      </c>
      <c r="Q17" s="639"/>
      <c r="R17" s="1207"/>
      <c r="S17" s="1207"/>
      <c r="T17" s="1207"/>
      <c r="U17" s="639"/>
      <c r="V17" s="639"/>
      <c r="W17" s="639"/>
      <c r="X17" s="639"/>
    </row>
    <row r="18" spans="1:24" s="676" customFormat="1" ht="28" customHeight="1">
      <c r="A18" s="192">
        <v>7</v>
      </c>
      <c r="B18" s="240" t="s">
        <v>836</v>
      </c>
      <c r="C18" s="167">
        <v>4</v>
      </c>
      <c r="D18" s="168">
        <v>29</v>
      </c>
      <c r="E18" s="158">
        <f t="shared" si="1"/>
        <v>33</v>
      </c>
      <c r="F18" s="167">
        <v>0</v>
      </c>
      <c r="G18" s="168">
        <v>85</v>
      </c>
      <c r="H18" s="168">
        <v>85</v>
      </c>
      <c r="I18" s="167">
        <v>0</v>
      </c>
      <c r="J18" s="168">
        <f>119+13+24+16+35</f>
        <v>207</v>
      </c>
      <c r="K18" s="202">
        <f t="shared" si="0"/>
        <v>207</v>
      </c>
      <c r="L18" s="168" t="s">
        <v>56</v>
      </c>
      <c r="M18" s="168">
        <v>300</v>
      </c>
      <c r="N18" s="202">
        <v>300</v>
      </c>
      <c r="O18" s="247" t="s">
        <v>1825</v>
      </c>
      <c r="P18" s="928">
        <v>7</v>
      </c>
      <c r="Q18" s="639"/>
      <c r="R18" s="639"/>
      <c r="S18" s="639"/>
      <c r="T18" s="639"/>
      <c r="U18" s="639"/>
      <c r="V18" s="639"/>
      <c r="W18" s="639"/>
      <c r="X18" s="639"/>
    </row>
    <row r="19" spans="1:24" s="676" customFormat="1" ht="28" customHeight="1">
      <c r="A19" s="797">
        <v>8</v>
      </c>
      <c r="B19" s="798" t="s">
        <v>777</v>
      </c>
      <c r="C19" s="682">
        <v>9</v>
      </c>
      <c r="D19" s="683">
        <v>27</v>
      </c>
      <c r="E19" s="634">
        <f t="shared" si="1"/>
        <v>36</v>
      </c>
      <c r="F19" s="682">
        <v>0</v>
      </c>
      <c r="G19" s="683">
        <v>28</v>
      </c>
      <c r="H19" s="683">
        <v>28</v>
      </c>
      <c r="I19" s="682">
        <v>0</v>
      </c>
      <c r="J19" s="683">
        <v>70</v>
      </c>
      <c r="K19" s="693">
        <f t="shared" si="0"/>
        <v>70</v>
      </c>
      <c r="L19" s="683" t="s">
        <v>56</v>
      </c>
      <c r="M19" s="683">
        <v>109</v>
      </c>
      <c r="N19" s="693">
        <v>109</v>
      </c>
      <c r="O19" s="248" t="s">
        <v>1826</v>
      </c>
      <c r="P19" s="927">
        <v>8</v>
      </c>
      <c r="Q19" s="639"/>
      <c r="R19" s="639"/>
      <c r="S19" s="639"/>
      <c r="T19" s="642"/>
      <c r="U19" s="639"/>
      <c r="V19" s="639"/>
      <c r="W19" s="639"/>
      <c r="X19" s="639"/>
    </row>
    <row r="20" spans="1:24" s="676" customFormat="1" ht="28" customHeight="1">
      <c r="A20" s="192">
        <v>9</v>
      </c>
      <c r="B20" s="240" t="s">
        <v>293</v>
      </c>
      <c r="C20" s="167">
        <v>4</v>
      </c>
      <c r="D20" s="168">
        <v>10</v>
      </c>
      <c r="E20" s="158">
        <f t="shared" si="1"/>
        <v>14</v>
      </c>
      <c r="F20" s="167">
        <v>0</v>
      </c>
      <c r="G20" s="168">
        <v>18</v>
      </c>
      <c r="H20" s="168">
        <v>18</v>
      </c>
      <c r="I20" s="167">
        <v>0</v>
      </c>
      <c r="J20" s="168">
        <v>43</v>
      </c>
      <c r="K20" s="202">
        <v>43</v>
      </c>
      <c r="L20" s="168" t="s">
        <v>56</v>
      </c>
      <c r="M20" s="168">
        <v>76</v>
      </c>
      <c r="N20" s="202">
        <v>76</v>
      </c>
      <c r="O20" s="247" t="s">
        <v>1827</v>
      </c>
      <c r="P20" s="928">
        <v>9</v>
      </c>
      <c r="Q20" s="639"/>
      <c r="R20" s="639"/>
      <c r="S20" s="639"/>
      <c r="T20" s="639"/>
      <c r="U20" s="639"/>
      <c r="V20" s="639"/>
      <c r="W20" s="639"/>
      <c r="X20" s="639"/>
    </row>
    <row r="21" spans="1:24" s="676" customFormat="1" ht="24" customHeight="1">
      <c r="A21" s="797">
        <v>10</v>
      </c>
      <c r="B21" s="239" t="s">
        <v>294</v>
      </c>
      <c r="C21" s="682">
        <v>7</v>
      </c>
      <c r="D21" s="683">
        <v>29</v>
      </c>
      <c r="E21" s="634">
        <f t="shared" si="1"/>
        <v>36</v>
      </c>
      <c r="F21" s="682">
        <v>0</v>
      </c>
      <c r="G21" s="683">
        <v>147</v>
      </c>
      <c r="H21" s="683">
        <v>147</v>
      </c>
      <c r="I21" s="682">
        <v>0</v>
      </c>
      <c r="J21" s="683">
        <v>224</v>
      </c>
      <c r="K21" s="693">
        <f>J21</f>
        <v>224</v>
      </c>
      <c r="L21" s="683" t="s">
        <v>56</v>
      </c>
      <c r="M21" s="683">
        <v>371</v>
      </c>
      <c r="N21" s="693">
        <v>371</v>
      </c>
      <c r="O21" s="248" t="s">
        <v>1828</v>
      </c>
      <c r="P21" s="927">
        <v>10</v>
      </c>
      <c r="Q21" s="639"/>
      <c r="R21" s="639"/>
      <c r="S21" s="639"/>
      <c r="T21" s="639"/>
      <c r="U21" s="639"/>
      <c r="V21" s="639"/>
      <c r="W21" s="639"/>
      <c r="X21" s="639"/>
    </row>
    <row r="22" spans="1:24" ht="28" customHeight="1">
      <c r="A22" s="192">
        <v>11</v>
      </c>
      <c r="B22" s="240" t="s">
        <v>295</v>
      </c>
      <c r="C22" s="167" t="s">
        <v>56</v>
      </c>
      <c r="D22" s="168" t="s">
        <v>56</v>
      </c>
      <c r="E22" s="158" t="s">
        <v>56</v>
      </c>
      <c r="F22" s="167">
        <v>0</v>
      </c>
      <c r="G22" s="168" t="s">
        <v>56</v>
      </c>
      <c r="H22" s="168" t="s">
        <v>56</v>
      </c>
      <c r="I22" s="167">
        <v>0</v>
      </c>
      <c r="J22" s="168" t="s">
        <v>56</v>
      </c>
      <c r="K22" s="202" t="s">
        <v>56</v>
      </c>
      <c r="L22" s="168" t="s">
        <v>56</v>
      </c>
      <c r="M22" s="168" t="s">
        <v>56</v>
      </c>
      <c r="N22" s="202" t="s">
        <v>56</v>
      </c>
      <c r="O22" s="247" t="s">
        <v>1829</v>
      </c>
      <c r="P22" s="928">
        <v>11</v>
      </c>
      <c r="Q22"/>
      <c r="R22"/>
      <c r="S22"/>
      <c r="T22"/>
      <c r="U22"/>
      <c r="V22"/>
      <c r="W22"/>
      <c r="X22"/>
    </row>
    <row r="23" spans="1:24" s="676" customFormat="1" ht="30" customHeight="1">
      <c r="A23" s="797">
        <v>12</v>
      </c>
      <c r="B23" s="239" t="s">
        <v>778</v>
      </c>
      <c r="C23" s="682">
        <v>14</v>
      </c>
      <c r="D23" s="683">
        <v>51</v>
      </c>
      <c r="E23" s="634">
        <f t="shared" si="1"/>
        <v>65</v>
      </c>
      <c r="F23" s="682">
        <v>0</v>
      </c>
      <c r="G23" s="683">
        <v>152</v>
      </c>
      <c r="H23" s="683">
        <v>152</v>
      </c>
      <c r="I23" s="682">
        <v>0</v>
      </c>
      <c r="J23" s="683">
        <v>384</v>
      </c>
      <c r="K23" s="693">
        <f>J23</f>
        <v>384</v>
      </c>
      <c r="L23" s="683" t="s">
        <v>56</v>
      </c>
      <c r="M23" s="683">
        <v>536</v>
      </c>
      <c r="N23" s="693">
        <v>536</v>
      </c>
      <c r="O23" s="248" t="s">
        <v>1830</v>
      </c>
      <c r="P23" s="927">
        <v>12</v>
      </c>
      <c r="Q23" s="639"/>
      <c r="R23" s="639"/>
      <c r="S23" s="639"/>
      <c r="T23" s="639"/>
      <c r="U23" s="639"/>
      <c r="V23" s="639"/>
      <c r="W23" s="639"/>
      <c r="X23" s="639"/>
    </row>
    <row r="24" spans="1:24" ht="41.25" customHeight="1">
      <c r="A24" s="192">
        <v>13</v>
      </c>
      <c r="B24" s="240" t="s">
        <v>1261</v>
      </c>
      <c r="C24" s="167">
        <v>10</v>
      </c>
      <c r="D24" s="168">
        <v>40</v>
      </c>
      <c r="E24" s="158">
        <f t="shared" si="1"/>
        <v>50</v>
      </c>
      <c r="F24" s="167">
        <v>0</v>
      </c>
      <c r="G24" s="168">
        <v>44</v>
      </c>
      <c r="H24" s="168">
        <v>44</v>
      </c>
      <c r="I24" s="167">
        <v>0</v>
      </c>
      <c r="J24" s="168">
        <f>66+52+39</f>
        <v>157</v>
      </c>
      <c r="K24" s="202">
        <f>J24</f>
        <v>157</v>
      </c>
      <c r="L24" s="167" t="s">
        <v>56</v>
      </c>
      <c r="M24" s="168">
        <v>201</v>
      </c>
      <c r="N24" s="202">
        <v>201</v>
      </c>
      <c r="O24" s="247" t="s">
        <v>1970</v>
      </c>
      <c r="P24" s="928">
        <v>13</v>
      </c>
      <c r="Q24"/>
      <c r="R24"/>
      <c r="S24"/>
      <c r="T24"/>
      <c r="U24"/>
      <c r="V24"/>
      <c r="W24"/>
      <c r="X24"/>
    </row>
    <row r="25" spans="1:24" ht="23" customHeight="1">
      <c r="A25" s="797">
        <v>14</v>
      </c>
      <c r="B25" s="239" t="s">
        <v>779</v>
      </c>
      <c r="C25" s="682">
        <v>18</v>
      </c>
      <c r="D25" s="683">
        <v>47</v>
      </c>
      <c r="E25" s="634">
        <f t="shared" si="1"/>
        <v>65</v>
      </c>
      <c r="F25" s="682">
        <v>0</v>
      </c>
      <c r="G25" s="683">
        <v>148</v>
      </c>
      <c r="H25" s="693">
        <v>148</v>
      </c>
      <c r="I25" s="682">
        <v>0</v>
      </c>
      <c r="J25" s="683">
        <v>205</v>
      </c>
      <c r="K25" s="693">
        <v>205</v>
      </c>
      <c r="L25" s="683" t="s">
        <v>56</v>
      </c>
      <c r="M25" s="683">
        <v>396</v>
      </c>
      <c r="N25" s="693">
        <v>396</v>
      </c>
      <c r="O25" s="643" t="s">
        <v>1831</v>
      </c>
      <c r="P25" s="931">
        <v>14</v>
      </c>
      <c r="Q25"/>
      <c r="R25"/>
      <c r="S25"/>
      <c r="T25"/>
      <c r="U25"/>
      <c r="V25"/>
      <c r="W25"/>
      <c r="X25"/>
    </row>
    <row r="26" spans="1:24" ht="23" customHeight="1">
      <c r="A26" s="192">
        <v>15</v>
      </c>
      <c r="B26" s="577" t="s">
        <v>1262</v>
      </c>
      <c r="C26" s="167" t="s">
        <v>56</v>
      </c>
      <c r="D26" s="168">
        <v>19</v>
      </c>
      <c r="E26" s="158">
        <f>D26</f>
        <v>19</v>
      </c>
      <c r="F26" s="167">
        <v>0</v>
      </c>
      <c r="G26" s="168">
        <v>43</v>
      </c>
      <c r="H26" s="202">
        <v>43</v>
      </c>
      <c r="I26" s="167">
        <v>0</v>
      </c>
      <c r="J26" s="168">
        <v>389</v>
      </c>
      <c r="K26" s="202">
        <f>J26</f>
        <v>389</v>
      </c>
      <c r="L26" s="168" t="s">
        <v>56</v>
      </c>
      <c r="M26" s="168">
        <v>432</v>
      </c>
      <c r="N26" s="168">
        <v>432</v>
      </c>
      <c r="O26" s="238" t="s">
        <v>1832</v>
      </c>
      <c r="P26" s="928">
        <v>15</v>
      </c>
      <c r="Q26"/>
      <c r="R26"/>
      <c r="S26"/>
      <c r="T26"/>
      <c r="U26"/>
      <c r="V26"/>
      <c r="W26"/>
      <c r="X26"/>
    </row>
    <row r="27" spans="1:24" ht="28" customHeight="1">
      <c r="A27" s="797">
        <v>16</v>
      </c>
      <c r="B27" s="271" t="s">
        <v>1243</v>
      </c>
      <c r="C27" s="682">
        <v>38</v>
      </c>
      <c r="D27" s="683">
        <v>1</v>
      </c>
      <c r="E27" s="634">
        <f t="shared" si="1"/>
        <v>39</v>
      </c>
      <c r="F27" s="682">
        <v>0</v>
      </c>
      <c r="G27" s="683" t="s">
        <v>56</v>
      </c>
      <c r="H27" s="693" t="s">
        <v>56</v>
      </c>
      <c r="I27" s="682">
        <v>0</v>
      </c>
      <c r="J27" s="683" t="s">
        <v>56</v>
      </c>
      <c r="K27" s="693" t="s">
        <v>56</v>
      </c>
      <c r="L27" s="683" t="s">
        <v>56</v>
      </c>
      <c r="M27" s="683" t="s">
        <v>56</v>
      </c>
      <c r="N27" s="683" t="s">
        <v>56</v>
      </c>
      <c r="O27" s="643" t="s">
        <v>1833</v>
      </c>
      <c r="P27" s="927">
        <v>16</v>
      </c>
      <c r="Q27"/>
      <c r="R27"/>
      <c r="S27"/>
      <c r="T27"/>
      <c r="U27"/>
      <c r="V27"/>
      <c r="W27"/>
      <c r="X27"/>
    </row>
    <row r="28" spans="1:24" ht="23" customHeight="1">
      <c r="A28" s="586">
        <v>17</v>
      </c>
      <c r="B28" s="297" t="s">
        <v>296</v>
      </c>
      <c r="C28" s="171">
        <v>1</v>
      </c>
      <c r="D28" s="172">
        <v>3</v>
      </c>
      <c r="E28" s="207">
        <f t="shared" si="1"/>
        <v>4</v>
      </c>
      <c r="F28" s="171">
        <v>0</v>
      </c>
      <c r="G28" s="172">
        <v>38</v>
      </c>
      <c r="H28" s="372">
        <v>38</v>
      </c>
      <c r="I28" s="171">
        <v>0</v>
      </c>
      <c r="J28" s="172">
        <v>149</v>
      </c>
      <c r="K28" s="372">
        <f>J28</f>
        <v>149</v>
      </c>
      <c r="L28" s="172" t="s">
        <v>56</v>
      </c>
      <c r="M28" s="172">
        <v>187</v>
      </c>
      <c r="N28" s="172">
        <v>187</v>
      </c>
      <c r="O28" s="293" t="s">
        <v>1834</v>
      </c>
      <c r="P28" s="929">
        <v>17</v>
      </c>
      <c r="Q28"/>
      <c r="R28"/>
      <c r="S28"/>
      <c r="T28"/>
      <c r="U28"/>
      <c r="V28"/>
      <c r="W28"/>
      <c r="X28"/>
    </row>
    <row r="29" spans="1:24" ht="18" hidden="1" customHeight="1">
      <c r="A29" s="1508" t="s">
        <v>1188</v>
      </c>
      <c r="B29" s="1508"/>
      <c r="C29" s="168"/>
      <c r="D29" s="168"/>
      <c r="E29" s="157"/>
      <c r="F29" s="168"/>
      <c r="G29" s="168"/>
      <c r="H29" s="168"/>
      <c r="I29" s="168"/>
      <c r="J29" s="168"/>
      <c r="K29" s="168"/>
      <c r="L29" s="168"/>
      <c r="M29" s="168"/>
      <c r="N29" s="168"/>
      <c r="O29" s="1509" t="s">
        <v>1297</v>
      </c>
      <c r="P29" s="1509"/>
      <c r="Q29"/>
      <c r="R29"/>
      <c r="S29"/>
      <c r="T29"/>
      <c r="U29"/>
      <c r="V29"/>
      <c r="W29"/>
      <c r="X29"/>
    </row>
    <row r="30" spans="1:24" ht="14.25" hidden="1" customHeight="1">
      <c r="A30" s="1520"/>
      <c r="B30" s="1520"/>
      <c r="C30" s="157"/>
      <c r="D30" s="157"/>
      <c r="E30" s="157"/>
      <c r="F30" s="168"/>
      <c r="G30" s="168"/>
      <c r="H30" s="168"/>
      <c r="I30" s="168"/>
      <c r="J30" s="168"/>
      <c r="K30" s="168"/>
      <c r="L30" s="1526" t="s">
        <v>1298</v>
      </c>
      <c r="M30" s="1526"/>
      <c r="N30" s="1526"/>
      <c r="O30" s="1526"/>
      <c r="P30" s="1526"/>
      <c r="Q30"/>
      <c r="R30"/>
      <c r="S30"/>
      <c r="T30"/>
      <c r="U30"/>
      <c r="V30"/>
      <c r="W30"/>
      <c r="X30"/>
    </row>
    <row r="31" spans="1:24" ht="18" hidden="1" customHeight="1">
      <c r="A31" s="1438" t="s">
        <v>621</v>
      </c>
      <c r="B31" s="1468" t="s">
        <v>286</v>
      </c>
      <c r="C31" s="1320" t="s">
        <v>1307</v>
      </c>
      <c r="D31" s="1470"/>
      <c r="E31" s="1449"/>
      <c r="F31" s="1320" t="s">
        <v>1219</v>
      </c>
      <c r="G31" s="1470"/>
      <c r="H31" s="1449"/>
      <c r="I31" s="1320" t="s">
        <v>1218</v>
      </c>
      <c r="J31" s="1470"/>
      <c r="K31" s="1449"/>
      <c r="L31" s="1320" t="s">
        <v>79</v>
      </c>
      <c r="M31" s="1470"/>
      <c r="N31" s="1449"/>
      <c r="O31" s="1438" t="s">
        <v>1575</v>
      </c>
      <c r="P31" s="1471" t="s">
        <v>727</v>
      </c>
      <c r="Q31"/>
      <c r="R31"/>
      <c r="S31"/>
      <c r="T31"/>
      <c r="U31"/>
      <c r="V31"/>
      <c r="W31"/>
      <c r="X31"/>
    </row>
    <row r="32" spans="1:24" ht="18" hidden="1" customHeight="1">
      <c r="A32" s="1439"/>
      <c r="B32" s="1468"/>
      <c r="C32" s="1280"/>
      <c r="D32" s="1474"/>
      <c r="E32" s="1475"/>
      <c r="F32" s="1280"/>
      <c r="G32" s="1474"/>
      <c r="H32" s="1475"/>
      <c r="I32" s="1280"/>
      <c r="J32" s="1474"/>
      <c r="K32" s="1475"/>
      <c r="L32" s="1280"/>
      <c r="M32" s="1474"/>
      <c r="N32" s="1475"/>
      <c r="O32" s="1439"/>
      <c r="P32" s="1472"/>
      <c r="Q32"/>
      <c r="R32"/>
      <c r="S32"/>
      <c r="T32"/>
      <c r="U32"/>
      <c r="V32"/>
      <c r="W32"/>
      <c r="X32"/>
    </row>
    <row r="33" spans="1:24" ht="18" hidden="1" customHeight="1">
      <c r="A33" s="1439"/>
      <c r="B33" s="1468"/>
      <c r="C33" s="1280" t="s">
        <v>138</v>
      </c>
      <c r="D33" s="1474"/>
      <c r="E33" s="1475"/>
      <c r="F33" s="1280" t="s">
        <v>1186</v>
      </c>
      <c r="G33" s="1474"/>
      <c r="H33" s="1475"/>
      <c r="I33" s="1280" t="s">
        <v>587</v>
      </c>
      <c r="J33" s="1474"/>
      <c r="K33" s="1475"/>
      <c r="L33" s="1280" t="s">
        <v>137</v>
      </c>
      <c r="M33" s="1474"/>
      <c r="N33" s="1475"/>
      <c r="O33" s="1439"/>
      <c r="P33" s="1472"/>
      <c r="Q33"/>
      <c r="R33"/>
      <c r="S33"/>
      <c r="T33"/>
      <c r="U33"/>
      <c r="V33"/>
      <c r="W33"/>
      <c r="X33"/>
    </row>
    <row r="34" spans="1:24" ht="18" hidden="1" customHeight="1">
      <c r="A34" s="1439"/>
      <c r="B34" s="1469"/>
      <c r="C34" s="1280" t="s">
        <v>583</v>
      </c>
      <c r="D34" s="1474" t="s">
        <v>581</v>
      </c>
      <c r="E34" s="1475" t="s">
        <v>489</v>
      </c>
      <c r="F34" s="1280" t="s">
        <v>583</v>
      </c>
      <c r="G34" s="1474" t="s">
        <v>589</v>
      </c>
      <c r="H34" s="1475" t="s">
        <v>489</v>
      </c>
      <c r="I34" s="1280" t="s">
        <v>583</v>
      </c>
      <c r="J34" s="1474" t="s">
        <v>589</v>
      </c>
      <c r="K34" s="1475" t="s">
        <v>489</v>
      </c>
      <c r="L34" s="1280" t="s">
        <v>583</v>
      </c>
      <c r="M34" s="1474" t="s">
        <v>588</v>
      </c>
      <c r="N34" s="1475" t="s">
        <v>489</v>
      </c>
      <c r="O34" s="1439"/>
      <c r="P34" s="1472"/>
      <c r="Q34"/>
      <c r="R34"/>
      <c r="S34"/>
      <c r="T34"/>
      <c r="U34"/>
      <c r="V34"/>
      <c r="W34"/>
      <c r="X34"/>
    </row>
    <row r="35" spans="1:24" ht="18" hidden="1" customHeight="1">
      <c r="A35" s="1439"/>
      <c r="B35" s="1469"/>
      <c r="C35" s="1280"/>
      <c r="D35" s="1474"/>
      <c r="E35" s="1475"/>
      <c r="F35" s="1280"/>
      <c r="G35" s="1474"/>
      <c r="H35" s="1475"/>
      <c r="I35" s="1280"/>
      <c r="J35" s="1474"/>
      <c r="K35" s="1475"/>
      <c r="L35" s="1280"/>
      <c r="M35" s="1474"/>
      <c r="N35" s="1475"/>
      <c r="O35" s="1439"/>
      <c r="P35" s="1472"/>
      <c r="Q35"/>
      <c r="R35"/>
      <c r="S35"/>
      <c r="T35"/>
      <c r="U35"/>
      <c r="V35"/>
      <c r="W35"/>
      <c r="X35"/>
    </row>
    <row r="36" spans="1:24" ht="19.5" hidden="1" customHeight="1">
      <c r="A36" s="1462"/>
      <c r="B36" s="1469"/>
      <c r="C36" s="872" t="s">
        <v>133</v>
      </c>
      <c r="D36" s="873" t="s">
        <v>134</v>
      </c>
      <c r="E36" s="893" t="s">
        <v>100</v>
      </c>
      <c r="F36" s="872" t="s">
        <v>133</v>
      </c>
      <c r="G36" s="873" t="s">
        <v>134</v>
      </c>
      <c r="H36" s="893" t="s">
        <v>100</v>
      </c>
      <c r="I36" s="872" t="s">
        <v>133</v>
      </c>
      <c r="J36" s="873" t="s">
        <v>134</v>
      </c>
      <c r="K36" s="869" t="s">
        <v>100</v>
      </c>
      <c r="L36" s="872" t="s">
        <v>133</v>
      </c>
      <c r="M36" s="873" t="s">
        <v>134</v>
      </c>
      <c r="N36" s="893" t="s">
        <v>100</v>
      </c>
      <c r="O36" s="1462"/>
      <c r="P36" s="1473"/>
      <c r="Q36"/>
      <c r="R36"/>
      <c r="S36"/>
      <c r="T36"/>
      <c r="U36"/>
      <c r="V36"/>
      <c r="W36"/>
      <c r="X36"/>
    </row>
    <row r="37" spans="1:24" s="676" customFormat="1" ht="27.5" customHeight="1">
      <c r="A37" s="192">
        <v>18</v>
      </c>
      <c r="B37" s="241" t="s">
        <v>1260</v>
      </c>
      <c r="C37" s="167">
        <v>9</v>
      </c>
      <c r="D37" s="168">
        <v>33</v>
      </c>
      <c r="E37" s="158">
        <f>D37+C37</f>
        <v>42</v>
      </c>
      <c r="F37" s="167">
        <v>0</v>
      </c>
      <c r="G37" s="168">
        <v>7</v>
      </c>
      <c r="H37" s="202">
        <v>7</v>
      </c>
      <c r="I37" s="167">
        <v>0</v>
      </c>
      <c r="J37" s="168">
        <v>6</v>
      </c>
      <c r="K37" s="202">
        <f>J37</f>
        <v>6</v>
      </c>
      <c r="L37" s="168">
        <v>35</v>
      </c>
      <c r="M37" s="168">
        <v>104</v>
      </c>
      <c r="N37" s="168">
        <v>139</v>
      </c>
      <c r="O37" s="238" t="s">
        <v>1971</v>
      </c>
      <c r="P37" s="928">
        <v>18</v>
      </c>
      <c r="Q37" s="639"/>
      <c r="R37" s="639"/>
      <c r="S37" s="639"/>
      <c r="T37" s="639"/>
      <c r="U37" s="639"/>
      <c r="V37" s="639"/>
      <c r="W37" s="639"/>
      <c r="X37" s="639"/>
    </row>
    <row r="38" spans="1:24" s="676" customFormat="1" ht="27.5" customHeight="1">
      <c r="A38" s="797">
        <v>19</v>
      </c>
      <c r="B38" s="271" t="s">
        <v>1263</v>
      </c>
      <c r="C38" s="682">
        <v>4</v>
      </c>
      <c r="D38" s="683">
        <v>19</v>
      </c>
      <c r="E38" s="634">
        <f t="shared" ref="E38:E43" si="2">D38+C38</f>
        <v>23</v>
      </c>
      <c r="F38" s="682">
        <v>0</v>
      </c>
      <c r="G38" s="683">
        <v>41</v>
      </c>
      <c r="H38" s="693">
        <v>41</v>
      </c>
      <c r="I38" s="682">
        <v>0</v>
      </c>
      <c r="J38" s="683">
        <f>20+120+19+13+48</f>
        <v>220</v>
      </c>
      <c r="K38" s="693">
        <f>J38</f>
        <v>220</v>
      </c>
      <c r="L38" s="683" t="s">
        <v>56</v>
      </c>
      <c r="M38" s="683">
        <v>310</v>
      </c>
      <c r="N38" s="683">
        <v>310</v>
      </c>
      <c r="O38" s="643" t="s">
        <v>1835</v>
      </c>
      <c r="P38" s="927">
        <v>19</v>
      </c>
      <c r="Q38" s="639"/>
      <c r="R38" s="639"/>
      <c r="S38" s="639"/>
      <c r="T38" s="639"/>
      <c r="U38" s="639"/>
      <c r="V38" s="639"/>
      <c r="W38" s="639"/>
      <c r="X38" s="639"/>
    </row>
    <row r="39" spans="1:24" ht="24" customHeight="1">
      <c r="A39" s="192">
        <v>20</v>
      </c>
      <c r="B39" s="241" t="s">
        <v>711</v>
      </c>
      <c r="C39" s="167">
        <v>21</v>
      </c>
      <c r="D39" s="168">
        <v>13</v>
      </c>
      <c r="E39" s="158">
        <f t="shared" si="2"/>
        <v>34</v>
      </c>
      <c r="F39" s="167">
        <v>0</v>
      </c>
      <c r="G39" s="168">
        <v>11</v>
      </c>
      <c r="H39" s="202">
        <v>11</v>
      </c>
      <c r="I39" s="167">
        <v>8</v>
      </c>
      <c r="J39" s="168">
        <v>35</v>
      </c>
      <c r="K39" s="202">
        <f>J39</f>
        <v>35</v>
      </c>
      <c r="L39" s="168">
        <v>60</v>
      </c>
      <c r="M39" s="168">
        <v>169</v>
      </c>
      <c r="N39" s="168">
        <v>229</v>
      </c>
      <c r="O39" s="238" t="s">
        <v>1836</v>
      </c>
      <c r="P39" s="928">
        <v>20</v>
      </c>
      <c r="Q39"/>
      <c r="R39"/>
      <c r="S39"/>
      <c r="T39"/>
      <c r="U39"/>
      <c r="V39"/>
      <c r="W39"/>
      <c r="X39"/>
    </row>
    <row r="40" spans="1:24" ht="27.5" customHeight="1">
      <c r="A40" s="797">
        <v>21</v>
      </c>
      <c r="B40" s="271" t="s">
        <v>1264</v>
      </c>
      <c r="C40" s="682">
        <v>1</v>
      </c>
      <c r="D40" s="683">
        <v>18</v>
      </c>
      <c r="E40" s="634">
        <f t="shared" si="2"/>
        <v>19</v>
      </c>
      <c r="F40" s="682">
        <v>0</v>
      </c>
      <c r="G40" s="683">
        <v>93</v>
      </c>
      <c r="H40" s="693">
        <v>93</v>
      </c>
      <c r="I40" s="682">
        <v>0</v>
      </c>
      <c r="J40" s="683">
        <f>48+56+47+69+16</f>
        <v>236</v>
      </c>
      <c r="K40" s="693">
        <f>J40</f>
        <v>236</v>
      </c>
      <c r="L40" s="683" t="s">
        <v>56</v>
      </c>
      <c r="M40" s="683">
        <v>329</v>
      </c>
      <c r="N40" s="683">
        <v>329</v>
      </c>
      <c r="O40" s="643" t="s">
        <v>1837</v>
      </c>
      <c r="P40" s="927">
        <v>21</v>
      </c>
      <c r="Q40"/>
      <c r="R40"/>
      <c r="S40"/>
      <c r="T40"/>
      <c r="U40"/>
      <c r="V40"/>
      <c r="W40"/>
      <c r="X40"/>
    </row>
    <row r="41" spans="1:24" s="676" customFormat="1" ht="27.5" customHeight="1">
      <c r="A41" s="192">
        <v>22</v>
      </c>
      <c r="B41" s="241" t="s">
        <v>1265</v>
      </c>
      <c r="C41" s="167" t="s">
        <v>56</v>
      </c>
      <c r="D41" s="168">
        <v>6</v>
      </c>
      <c r="E41" s="158">
        <f>D41</f>
        <v>6</v>
      </c>
      <c r="F41" s="167">
        <v>0</v>
      </c>
      <c r="G41" s="168">
        <v>37</v>
      </c>
      <c r="H41" s="202">
        <v>37</v>
      </c>
      <c r="I41" s="167">
        <v>0</v>
      </c>
      <c r="J41" s="168">
        <f>53+17</f>
        <v>70</v>
      </c>
      <c r="K41" s="202">
        <f>J41</f>
        <v>70</v>
      </c>
      <c r="L41" s="168" t="s">
        <v>56</v>
      </c>
      <c r="M41" s="168">
        <v>128</v>
      </c>
      <c r="N41" s="168">
        <v>128</v>
      </c>
      <c r="O41" s="238" t="s">
        <v>1838</v>
      </c>
      <c r="P41" s="928">
        <v>22</v>
      </c>
      <c r="Q41" s="639"/>
      <c r="R41" s="639"/>
      <c r="S41" s="639"/>
      <c r="T41" s="639"/>
      <c r="U41" s="639"/>
      <c r="V41" s="639"/>
      <c r="W41" s="639"/>
      <c r="X41" s="639"/>
    </row>
    <row r="42" spans="1:24" ht="27.5" customHeight="1">
      <c r="A42" s="797">
        <v>23</v>
      </c>
      <c r="B42" s="271" t="s">
        <v>1242</v>
      </c>
      <c r="C42" s="682">
        <v>59</v>
      </c>
      <c r="D42" s="683">
        <v>0</v>
      </c>
      <c r="E42" s="634">
        <f t="shared" si="2"/>
        <v>59</v>
      </c>
      <c r="F42" s="682">
        <v>0</v>
      </c>
      <c r="G42" s="683" t="s">
        <v>56</v>
      </c>
      <c r="H42" s="693" t="s">
        <v>56</v>
      </c>
      <c r="I42" s="682">
        <v>0</v>
      </c>
      <c r="J42" s="1252" t="s">
        <v>56</v>
      </c>
      <c r="K42" s="693" t="s">
        <v>56</v>
      </c>
      <c r="L42" s="683">
        <v>73</v>
      </c>
      <c r="M42" s="683" t="s">
        <v>56</v>
      </c>
      <c r="N42" s="683">
        <v>73</v>
      </c>
      <c r="O42" s="643" t="s">
        <v>1839</v>
      </c>
      <c r="P42" s="927">
        <v>23</v>
      </c>
      <c r="Q42"/>
      <c r="R42"/>
      <c r="S42"/>
      <c r="T42"/>
      <c r="U42"/>
      <c r="V42"/>
      <c r="W42"/>
      <c r="X42"/>
    </row>
    <row r="43" spans="1:24" s="676" customFormat="1" ht="24" customHeight="1">
      <c r="A43" s="192">
        <v>24</v>
      </c>
      <c r="B43" s="241" t="s">
        <v>488</v>
      </c>
      <c r="C43" s="167">
        <v>2</v>
      </c>
      <c r="D43" s="168">
        <v>7</v>
      </c>
      <c r="E43" s="158">
        <f t="shared" si="2"/>
        <v>9</v>
      </c>
      <c r="F43" s="167">
        <v>0</v>
      </c>
      <c r="G43" s="168">
        <v>75</v>
      </c>
      <c r="H43" s="202">
        <v>75</v>
      </c>
      <c r="I43" s="167">
        <v>0</v>
      </c>
      <c r="J43" s="168">
        <f>79+64+115</f>
        <v>258</v>
      </c>
      <c r="K43" s="202">
        <f t="shared" ref="K43:K51" si="3">J43</f>
        <v>258</v>
      </c>
      <c r="L43" s="168" t="s">
        <v>56</v>
      </c>
      <c r="M43" s="168">
        <v>333</v>
      </c>
      <c r="N43" s="168">
        <v>333</v>
      </c>
      <c r="O43" s="238" t="s">
        <v>1840</v>
      </c>
      <c r="P43" s="928">
        <v>24</v>
      </c>
      <c r="Q43" s="639"/>
      <c r="R43" s="639"/>
      <c r="S43" s="639"/>
      <c r="T43" s="639"/>
      <c r="U43" s="639"/>
      <c r="V43" s="639"/>
      <c r="W43" s="639"/>
      <c r="X43" s="639"/>
    </row>
    <row r="44" spans="1:24" ht="27.5" customHeight="1">
      <c r="A44" s="797">
        <v>25</v>
      </c>
      <c r="B44" s="271" t="s">
        <v>1266</v>
      </c>
      <c r="C44" s="682" t="s">
        <v>56</v>
      </c>
      <c r="D44" s="683">
        <v>5</v>
      </c>
      <c r="E44" s="634">
        <f t="shared" ref="E44:E50" si="4">D44</f>
        <v>5</v>
      </c>
      <c r="F44" s="682">
        <v>0</v>
      </c>
      <c r="G44" s="683">
        <v>36</v>
      </c>
      <c r="H44" s="693">
        <v>36</v>
      </c>
      <c r="I44" s="682">
        <v>0</v>
      </c>
      <c r="J44" s="683">
        <f>23+28</f>
        <v>51</v>
      </c>
      <c r="K44" s="693">
        <f t="shared" si="3"/>
        <v>51</v>
      </c>
      <c r="L44" s="683" t="s">
        <v>56</v>
      </c>
      <c r="M44" s="683">
        <v>87</v>
      </c>
      <c r="N44" s="683">
        <v>87</v>
      </c>
      <c r="O44" s="643" t="s">
        <v>1841</v>
      </c>
      <c r="P44" s="927">
        <v>25</v>
      </c>
      <c r="Q44"/>
      <c r="R44"/>
      <c r="S44"/>
      <c r="T44"/>
      <c r="U44"/>
      <c r="V44"/>
      <c r="W44"/>
      <c r="X44"/>
    </row>
    <row r="45" spans="1:24" s="676" customFormat="1" ht="27.5" customHeight="1">
      <c r="A45" s="192">
        <v>26</v>
      </c>
      <c r="B45" s="241" t="s">
        <v>297</v>
      </c>
      <c r="C45" s="167" t="s">
        <v>56</v>
      </c>
      <c r="D45" s="168">
        <v>4</v>
      </c>
      <c r="E45" s="158">
        <f t="shared" si="4"/>
        <v>4</v>
      </c>
      <c r="F45" s="167">
        <v>0</v>
      </c>
      <c r="G45" s="168">
        <v>45</v>
      </c>
      <c r="H45" s="202">
        <v>45</v>
      </c>
      <c r="I45" s="167">
        <v>0</v>
      </c>
      <c r="J45" s="168">
        <v>99</v>
      </c>
      <c r="K45" s="202">
        <f t="shared" si="3"/>
        <v>99</v>
      </c>
      <c r="L45" s="168" t="s">
        <v>56</v>
      </c>
      <c r="M45" s="168">
        <v>164</v>
      </c>
      <c r="N45" s="168">
        <v>164</v>
      </c>
      <c r="O45" s="238" t="s">
        <v>1842</v>
      </c>
      <c r="P45" s="928">
        <v>26</v>
      </c>
      <c r="Q45" s="639"/>
      <c r="R45" s="639"/>
      <c r="S45" s="639"/>
      <c r="T45" s="639"/>
      <c r="U45" s="639"/>
      <c r="V45" s="639"/>
      <c r="W45" s="639"/>
      <c r="X45" s="639"/>
    </row>
    <row r="46" spans="1:24" ht="27.5" customHeight="1">
      <c r="A46" s="797">
        <v>27</v>
      </c>
      <c r="B46" s="799" t="s">
        <v>298</v>
      </c>
      <c r="C46" s="682" t="s">
        <v>56</v>
      </c>
      <c r="D46" s="683">
        <v>1</v>
      </c>
      <c r="E46" s="634">
        <f t="shared" si="4"/>
        <v>1</v>
      </c>
      <c r="F46" s="682">
        <v>0</v>
      </c>
      <c r="G46" s="683">
        <v>104</v>
      </c>
      <c r="H46" s="693">
        <v>104</v>
      </c>
      <c r="I46" s="682">
        <v>0</v>
      </c>
      <c r="J46" s="683">
        <f>37+48</f>
        <v>85</v>
      </c>
      <c r="K46" s="693">
        <f t="shared" si="3"/>
        <v>85</v>
      </c>
      <c r="L46" s="683" t="s">
        <v>56</v>
      </c>
      <c r="M46" s="683">
        <v>189</v>
      </c>
      <c r="N46" s="683">
        <v>189</v>
      </c>
      <c r="O46" s="643" t="s">
        <v>1843</v>
      </c>
      <c r="P46" s="927">
        <v>27</v>
      </c>
      <c r="Q46"/>
      <c r="R46"/>
      <c r="S46"/>
      <c r="T46"/>
      <c r="U46"/>
      <c r="V46"/>
      <c r="W46"/>
      <c r="X46"/>
    </row>
    <row r="47" spans="1:24" s="676" customFormat="1" ht="27.5" customHeight="1">
      <c r="A47" s="192">
        <v>28</v>
      </c>
      <c r="B47" s="241" t="s">
        <v>299</v>
      </c>
      <c r="C47" s="167" t="s">
        <v>56</v>
      </c>
      <c r="D47" s="168">
        <v>10</v>
      </c>
      <c r="E47" s="158">
        <f t="shared" si="4"/>
        <v>10</v>
      </c>
      <c r="F47" s="167">
        <v>0</v>
      </c>
      <c r="G47" s="168">
        <v>68</v>
      </c>
      <c r="H47" s="202">
        <v>68</v>
      </c>
      <c r="I47" s="167">
        <v>0</v>
      </c>
      <c r="J47" s="168">
        <v>76</v>
      </c>
      <c r="K47" s="202">
        <f t="shared" si="3"/>
        <v>76</v>
      </c>
      <c r="L47" s="168" t="s">
        <v>56</v>
      </c>
      <c r="M47" s="168">
        <v>144</v>
      </c>
      <c r="N47" s="168">
        <v>144</v>
      </c>
      <c r="O47" s="238" t="s">
        <v>1844</v>
      </c>
      <c r="P47" s="928">
        <v>28</v>
      </c>
      <c r="Q47" s="639"/>
      <c r="R47" s="639"/>
      <c r="S47" s="639"/>
      <c r="T47" s="639"/>
      <c r="U47" s="639"/>
      <c r="V47" s="639"/>
      <c r="W47" s="639"/>
      <c r="X47" s="639"/>
    </row>
    <row r="48" spans="1:24" ht="27.5" customHeight="1">
      <c r="A48" s="797">
        <v>29</v>
      </c>
      <c r="B48" s="271" t="s">
        <v>764</v>
      </c>
      <c r="C48" s="682" t="s">
        <v>56</v>
      </c>
      <c r="D48" s="683">
        <v>7</v>
      </c>
      <c r="E48" s="634">
        <f t="shared" si="4"/>
        <v>7</v>
      </c>
      <c r="F48" s="682">
        <v>0</v>
      </c>
      <c r="G48" s="683">
        <v>54</v>
      </c>
      <c r="H48" s="693">
        <v>54</v>
      </c>
      <c r="I48" s="682">
        <v>0</v>
      </c>
      <c r="J48" s="683">
        <f>41+33</f>
        <v>74</v>
      </c>
      <c r="K48" s="693">
        <f t="shared" si="3"/>
        <v>74</v>
      </c>
      <c r="L48" s="683" t="s">
        <v>56</v>
      </c>
      <c r="M48" s="683">
        <v>155</v>
      </c>
      <c r="N48" s="683">
        <v>155</v>
      </c>
      <c r="O48" s="643" t="s">
        <v>1845</v>
      </c>
      <c r="P48" s="927">
        <v>29</v>
      </c>
      <c r="Q48"/>
      <c r="R48"/>
      <c r="S48"/>
      <c r="T48"/>
      <c r="U48"/>
      <c r="V48"/>
      <c r="W48"/>
      <c r="X48"/>
    </row>
    <row r="49" spans="1:24" s="676" customFormat="1" ht="27.5" customHeight="1">
      <c r="A49" s="192">
        <v>30</v>
      </c>
      <c r="B49" s="241" t="s">
        <v>300</v>
      </c>
      <c r="C49" s="167" t="s">
        <v>56</v>
      </c>
      <c r="D49" s="168">
        <v>3</v>
      </c>
      <c r="E49" s="158">
        <f t="shared" si="4"/>
        <v>3</v>
      </c>
      <c r="F49" s="167">
        <v>0</v>
      </c>
      <c r="G49" s="168">
        <v>80</v>
      </c>
      <c r="H49" s="202">
        <v>80</v>
      </c>
      <c r="I49" s="167">
        <v>0</v>
      </c>
      <c r="J49" s="168">
        <v>75</v>
      </c>
      <c r="K49" s="202">
        <f t="shared" si="3"/>
        <v>75</v>
      </c>
      <c r="L49" s="168" t="s">
        <v>56</v>
      </c>
      <c r="M49" s="168">
        <v>199</v>
      </c>
      <c r="N49" s="168">
        <v>199</v>
      </c>
      <c r="O49" s="238" t="s">
        <v>1846</v>
      </c>
      <c r="P49" s="928">
        <v>30</v>
      </c>
      <c r="Q49" s="639"/>
      <c r="R49" s="639"/>
      <c r="S49" s="639"/>
      <c r="T49" s="639"/>
      <c r="U49" s="639"/>
      <c r="V49" s="639"/>
      <c r="W49" s="639"/>
      <c r="X49" s="639"/>
    </row>
    <row r="50" spans="1:24" ht="27.5" customHeight="1">
      <c r="A50" s="797">
        <v>31</v>
      </c>
      <c r="B50" s="271" t="s">
        <v>1268</v>
      </c>
      <c r="C50" s="682" t="s">
        <v>56</v>
      </c>
      <c r="D50" s="683">
        <v>11</v>
      </c>
      <c r="E50" s="634">
        <f t="shared" si="4"/>
        <v>11</v>
      </c>
      <c r="F50" s="682">
        <v>0</v>
      </c>
      <c r="G50" s="683">
        <v>109</v>
      </c>
      <c r="H50" s="693">
        <v>109</v>
      </c>
      <c r="I50" s="682">
        <v>0</v>
      </c>
      <c r="J50" s="683">
        <f>70+26</f>
        <v>96</v>
      </c>
      <c r="K50" s="693">
        <f t="shared" si="3"/>
        <v>96</v>
      </c>
      <c r="L50" s="683" t="s">
        <v>56</v>
      </c>
      <c r="M50" s="683">
        <v>277</v>
      </c>
      <c r="N50" s="683">
        <v>277</v>
      </c>
      <c r="O50" s="643" t="s">
        <v>1847</v>
      </c>
      <c r="P50" s="927">
        <v>31</v>
      </c>
      <c r="Q50"/>
      <c r="R50"/>
      <c r="S50"/>
      <c r="T50"/>
      <c r="U50"/>
      <c r="V50"/>
      <c r="W50"/>
      <c r="X50"/>
    </row>
    <row r="51" spans="1:24" s="676" customFormat="1" ht="27.5" customHeight="1">
      <c r="A51" s="192">
        <v>32</v>
      </c>
      <c r="B51" s="240" t="s">
        <v>301</v>
      </c>
      <c r="C51" s="167" t="s">
        <v>56</v>
      </c>
      <c r="D51" s="168">
        <v>2</v>
      </c>
      <c r="E51" s="158">
        <f>D51</f>
        <v>2</v>
      </c>
      <c r="F51" s="167">
        <v>0</v>
      </c>
      <c r="G51" s="168">
        <v>39</v>
      </c>
      <c r="H51" s="202">
        <v>39</v>
      </c>
      <c r="I51" s="167">
        <v>0</v>
      </c>
      <c r="J51" s="168">
        <v>71</v>
      </c>
      <c r="K51" s="202">
        <f t="shared" si="3"/>
        <v>71</v>
      </c>
      <c r="L51" s="168" t="s">
        <v>56</v>
      </c>
      <c r="M51" s="168">
        <v>110</v>
      </c>
      <c r="N51" s="168">
        <v>110</v>
      </c>
      <c r="O51" s="238" t="s">
        <v>1848</v>
      </c>
      <c r="P51" s="928">
        <v>32</v>
      </c>
      <c r="Q51" s="639"/>
      <c r="R51" s="639"/>
      <c r="S51" s="639"/>
      <c r="T51" s="639"/>
      <c r="U51" s="639"/>
      <c r="V51" s="639"/>
      <c r="W51" s="639"/>
      <c r="X51" s="639"/>
    </row>
    <row r="52" spans="1:24" ht="24" customHeight="1">
      <c r="A52" s="848"/>
      <c r="B52" s="989" t="s">
        <v>102</v>
      </c>
      <c r="C52" s="990"/>
      <c r="D52" s="991"/>
      <c r="E52" s="992"/>
      <c r="F52" s="990"/>
      <c r="G52" s="991"/>
      <c r="H52" s="992"/>
      <c r="I52" s="990"/>
      <c r="J52" s="991"/>
      <c r="K52" s="1015"/>
      <c r="L52" s="990"/>
      <c r="M52" s="991"/>
      <c r="N52" s="992"/>
      <c r="O52" s="994" t="s">
        <v>26</v>
      </c>
      <c r="P52" s="995"/>
      <c r="Q52"/>
      <c r="R52"/>
      <c r="S52"/>
      <c r="T52"/>
      <c r="U52"/>
      <c r="V52"/>
      <c r="W52"/>
      <c r="X52"/>
    </row>
    <row r="53" spans="1:24" s="676" customFormat="1" ht="24" customHeight="1">
      <c r="A53" s="192">
        <v>33</v>
      </c>
      <c r="B53" s="577" t="s">
        <v>780</v>
      </c>
      <c r="C53" s="167" t="s">
        <v>56</v>
      </c>
      <c r="D53" s="168">
        <v>2</v>
      </c>
      <c r="E53" s="158">
        <f t="shared" ref="E53:E55" si="5">D53</f>
        <v>2</v>
      </c>
      <c r="F53" s="167">
        <v>0</v>
      </c>
      <c r="G53" s="168">
        <v>90</v>
      </c>
      <c r="H53" s="202">
        <v>90</v>
      </c>
      <c r="I53" s="167">
        <v>0</v>
      </c>
      <c r="J53" s="168">
        <v>74</v>
      </c>
      <c r="K53" s="202">
        <f>J53</f>
        <v>74</v>
      </c>
      <c r="L53" s="168" t="s">
        <v>56</v>
      </c>
      <c r="M53" s="168">
        <v>180</v>
      </c>
      <c r="N53" s="168">
        <v>180</v>
      </c>
      <c r="O53" s="238" t="s">
        <v>1849</v>
      </c>
      <c r="P53" s="928">
        <v>33</v>
      </c>
      <c r="Q53" s="639"/>
      <c r="R53" s="639"/>
      <c r="S53" s="639"/>
      <c r="T53" s="639"/>
      <c r="U53" s="639"/>
      <c r="V53" s="639"/>
      <c r="W53" s="639"/>
      <c r="X53" s="639"/>
    </row>
    <row r="54" spans="1:24" ht="27.5" customHeight="1">
      <c r="A54" s="797">
        <v>34</v>
      </c>
      <c r="B54" s="239" t="s">
        <v>781</v>
      </c>
      <c r="C54" s="682" t="s">
        <v>56</v>
      </c>
      <c r="D54" s="683">
        <v>32</v>
      </c>
      <c r="E54" s="634">
        <f t="shared" si="5"/>
        <v>32</v>
      </c>
      <c r="F54" s="682">
        <v>0</v>
      </c>
      <c r="G54" s="683">
        <v>334</v>
      </c>
      <c r="H54" s="693">
        <v>334</v>
      </c>
      <c r="I54" s="682">
        <v>0</v>
      </c>
      <c r="J54" s="683">
        <v>240</v>
      </c>
      <c r="K54" s="693">
        <f>J54</f>
        <v>240</v>
      </c>
      <c r="L54" s="683" t="s">
        <v>56</v>
      </c>
      <c r="M54" s="683">
        <v>625</v>
      </c>
      <c r="N54" s="683">
        <v>625</v>
      </c>
      <c r="O54" s="643" t="s">
        <v>1850</v>
      </c>
      <c r="P54" s="927">
        <v>34</v>
      </c>
      <c r="Q54"/>
      <c r="R54"/>
      <c r="S54"/>
      <c r="T54"/>
      <c r="U54"/>
      <c r="V54"/>
      <c r="W54"/>
      <c r="X54"/>
    </row>
    <row r="55" spans="1:24" s="676" customFormat="1" ht="40" customHeight="1">
      <c r="A55" s="586">
        <v>35</v>
      </c>
      <c r="B55" s="363" t="s">
        <v>1269</v>
      </c>
      <c r="C55" s="171" t="s">
        <v>56</v>
      </c>
      <c r="D55" s="172">
        <v>9</v>
      </c>
      <c r="E55" s="207">
        <f t="shared" si="5"/>
        <v>9</v>
      </c>
      <c r="F55" s="171">
        <v>0</v>
      </c>
      <c r="G55" s="172">
        <v>76</v>
      </c>
      <c r="H55" s="372">
        <v>76</v>
      </c>
      <c r="I55" s="171">
        <v>0</v>
      </c>
      <c r="J55" s="172">
        <v>125</v>
      </c>
      <c r="K55" s="372">
        <f>J55</f>
        <v>125</v>
      </c>
      <c r="L55" s="168" t="s">
        <v>56</v>
      </c>
      <c r="M55" s="172">
        <v>220</v>
      </c>
      <c r="N55" s="372">
        <v>220</v>
      </c>
      <c r="O55" s="293" t="s">
        <v>1851</v>
      </c>
      <c r="P55" s="929">
        <v>35</v>
      </c>
      <c r="Q55" s="639"/>
      <c r="R55" s="639"/>
      <c r="S55" s="639"/>
      <c r="T55" s="639"/>
      <c r="U55" s="639"/>
      <c r="V55" s="639"/>
      <c r="W55" s="639"/>
      <c r="X55" s="639"/>
    </row>
    <row r="56" spans="1:24" ht="14.25" hidden="1" customHeight="1">
      <c r="A56" s="1508" t="s">
        <v>1188</v>
      </c>
      <c r="B56" s="1508"/>
      <c r="C56" s="168"/>
      <c r="D56" s="168"/>
      <c r="E56" s="157"/>
      <c r="F56" s="168"/>
      <c r="G56" s="168"/>
      <c r="H56" s="168"/>
      <c r="I56" s="168"/>
      <c r="J56" s="168"/>
      <c r="K56" s="168"/>
      <c r="L56" s="168"/>
      <c r="M56" s="168"/>
      <c r="N56" s="168"/>
      <c r="O56" s="1509" t="s">
        <v>1297</v>
      </c>
      <c r="P56" s="1509"/>
      <c r="Q56"/>
      <c r="R56"/>
      <c r="S56"/>
      <c r="T56"/>
      <c r="U56"/>
      <c r="V56"/>
      <c r="W56"/>
      <c r="X56"/>
    </row>
    <row r="57" spans="1:24" ht="14.25" hidden="1" customHeight="1">
      <c r="A57" s="1520"/>
      <c r="B57" s="1520"/>
      <c r="C57" s="157"/>
      <c r="D57" s="157"/>
      <c r="E57" s="157"/>
      <c r="F57" s="168"/>
      <c r="G57" s="168"/>
      <c r="H57" s="168"/>
      <c r="I57" s="168"/>
      <c r="J57" s="168"/>
      <c r="K57" s="168"/>
      <c r="L57" s="1526" t="s">
        <v>1298</v>
      </c>
      <c r="M57" s="1526"/>
      <c r="N57" s="1526"/>
      <c r="O57" s="1526"/>
      <c r="P57" s="1526"/>
      <c r="Q57"/>
      <c r="R57"/>
      <c r="S57"/>
      <c r="T57"/>
      <c r="U57"/>
      <c r="V57"/>
      <c r="W57"/>
      <c r="X57"/>
    </row>
    <row r="58" spans="1:24" ht="18" hidden="1" customHeight="1">
      <c r="A58" s="1438" t="s">
        <v>621</v>
      </c>
      <c r="B58" s="1468" t="s">
        <v>286</v>
      </c>
      <c r="C58" s="1320" t="s">
        <v>1307</v>
      </c>
      <c r="D58" s="1470"/>
      <c r="E58" s="1449"/>
      <c r="F58" s="1320" t="s">
        <v>1219</v>
      </c>
      <c r="G58" s="1470"/>
      <c r="H58" s="1449"/>
      <c r="I58" s="1320" t="s">
        <v>1218</v>
      </c>
      <c r="J58" s="1470"/>
      <c r="K58" s="1449"/>
      <c r="L58" s="1320" t="s">
        <v>79</v>
      </c>
      <c r="M58" s="1470"/>
      <c r="N58" s="1449"/>
      <c r="O58" s="1438" t="s">
        <v>1575</v>
      </c>
      <c r="P58" s="1471" t="s">
        <v>727</v>
      </c>
      <c r="R58" s="17"/>
      <c r="S58" s="44"/>
    </row>
    <row r="59" spans="1:24" ht="18" hidden="1" customHeight="1">
      <c r="A59" s="1439"/>
      <c r="B59" s="1468"/>
      <c r="C59" s="1280"/>
      <c r="D59" s="1474"/>
      <c r="E59" s="1475"/>
      <c r="F59" s="1280"/>
      <c r="G59" s="1474"/>
      <c r="H59" s="1475"/>
      <c r="I59" s="1280"/>
      <c r="J59" s="1474"/>
      <c r="K59" s="1475"/>
      <c r="L59" s="1280"/>
      <c r="M59" s="1474"/>
      <c r="N59" s="1475"/>
      <c r="O59" s="1439"/>
      <c r="P59" s="1472"/>
      <c r="R59" s="17"/>
      <c r="S59" s="44"/>
    </row>
    <row r="60" spans="1:24" ht="18" hidden="1" customHeight="1">
      <c r="A60" s="1439"/>
      <c r="B60" s="1468"/>
      <c r="C60" s="1280" t="s">
        <v>138</v>
      </c>
      <c r="D60" s="1474"/>
      <c r="E60" s="1475"/>
      <c r="F60" s="1280" t="s">
        <v>1186</v>
      </c>
      <c r="G60" s="1474"/>
      <c r="H60" s="1475"/>
      <c r="I60" s="1280" t="s">
        <v>587</v>
      </c>
      <c r="J60" s="1474"/>
      <c r="K60" s="1475"/>
      <c r="L60" s="1280" t="s">
        <v>137</v>
      </c>
      <c r="M60" s="1474"/>
      <c r="N60" s="1475"/>
      <c r="O60" s="1439"/>
      <c r="P60" s="1472"/>
    </row>
    <row r="61" spans="1:24" ht="18" hidden="1" customHeight="1">
      <c r="A61" s="1439"/>
      <c r="B61" s="1469"/>
      <c r="C61" s="1280" t="s">
        <v>583</v>
      </c>
      <c r="D61" s="1474" t="s">
        <v>581</v>
      </c>
      <c r="E61" s="1475" t="s">
        <v>489</v>
      </c>
      <c r="F61" s="1280" t="s">
        <v>583</v>
      </c>
      <c r="G61" s="1474" t="s">
        <v>589</v>
      </c>
      <c r="H61" s="1475" t="s">
        <v>489</v>
      </c>
      <c r="I61" s="1280" t="s">
        <v>583</v>
      </c>
      <c r="J61" s="1474" t="s">
        <v>589</v>
      </c>
      <c r="K61" s="1475" t="s">
        <v>489</v>
      </c>
      <c r="L61" s="1280" t="s">
        <v>583</v>
      </c>
      <c r="M61" s="1474" t="s">
        <v>588</v>
      </c>
      <c r="N61" s="1475" t="s">
        <v>489</v>
      </c>
      <c r="O61" s="1439"/>
      <c r="P61" s="1472"/>
    </row>
    <row r="62" spans="1:24" ht="18" hidden="1" customHeight="1">
      <c r="A62" s="1439"/>
      <c r="B62" s="1469"/>
      <c r="C62" s="1280"/>
      <c r="D62" s="1474"/>
      <c r="E62" s="1475"/>
      <c r="F62" s="1280"/>
      <c r="G62" s="1474"/>
      <c r="H62" s="1475"/>
      <c r="I62" s="1280"/>
      <c r="J62" s="1474"/>
      <c r="K62" s="1475"/>
      <c r="L62" s="1280"/>
      <c r="M62" s="1474"/>
      <c r="N62" s="1475"/>
      <c r="O62" s="1439"/>
      <c r="P62" s="1472"/>
    </row>
    <row r="63" spans="1:24" ht="18" hidden="1" customHeight="1">
      <c r="A63" s="1462"/>
      <c r="B63" s="1469"/>
      <c r="C63" s="872" t="s">
        <v>133</v>
      </c>
      <c r="D63" s="873" t="s">
        <v>134</v>
      </c>
      <c r="E63" s="893" t="s">
        <v>100</v>
      </c>
      <c r="F63" s="872" t="s">
        <v>133</v>
      </c>
      <c r="G63" s="873" t="s">
        <v>134</v>
      </c>
      <c r="H63" s="893" t="s">
        <v>100</v>
      </c>
      <c r="I63" s="872" t="s">
        <v>133</v>
      </c>
      <c r="J63" s="873" t="s">
        <v>134</v>
      </c>
      <c r="K63" s="869" t="s">
        <v>100</v>
      </c>
      <c r="L63" s="872" t="s">
        <v>133</v>
      </c>
      <c r="M63" s="873" t="s">
        <v>134</v>
      </c>
      <c r="N63" s="893" t="s">
        <v>100</v>
      </c>
      <c r="O63" s="1462"/>
      <c r="P63" s="1473"/>
    </row>
    <row r="64" spans="1:24" ht="28" customHeight="1">
      <c r="A64" s="797">
        <v>36</v>
      </c>
      <c r="B64" s="239" t="s">
        <v>1270</v>
      </c>
      <c r="C64" s="802" t="s">
        <v>56</v>
      </c>
      <c r="D64" s="711">
        <v>3</v>
      </c>
      <c r="E64" s="655">
        <f t="shared" ref="E64:E67" si="6">D64</f>
        <v>3</v>
      </c>
      <c r="F64" s="802">
        <v>0</v>
      </c>
      <c r="G64" s="711">
        <v>32</v>
      </c>
      <c r="H64" s="803">
        <v>32</v>
      </c>
      <c r="I64" s="802">
        <v>0</v>
      </c>
      <c r="J64" s="711">
        <v>150</v>
      </c>
      <c r="K64" s="722">
        <f>J64</f>
        <v>150</v>
      </c>
      <c r="L64" s="711" t="s">
        <v>56</v>
      </c>
      <c r="M64" s="711">
        <v>182</v>
      </c>
      <c r="N64" s="655">
        <v>182</v>
      </c>
      <c r="O64" s="248" t="s">
        <v>1852</v>
      </c>
      <c r="P64" s="927">
        <v>36</v>
      </c>
    </row>
    <row r="65" spans="1:20" ht="28" customHeight="1">
      <c r="A65" s="192">
        <v>37</v>
      </c>
      <c r="B65" s="241" t="s">
        <v>782</v>
      </c>
      <c r="C65" s="466" t="s">
        <v>56</v>
      </c>
      <c r="D65" s="139">
        <v>2</v>
      </c>
      <c r="E65" s="140">
        <f t="shared" si="6"/>
        <v>2</v>
      </c>
      <c r="F65" s="137">
        <v>0</v>
      </c>
      <c r="G65" s="138">
        <v>15</v>
      </c>
      <c r="H65" s="138">
        <v>15</v>
      </c>
      <c r="I65" s="137">
        <v>0</v>
      </c>
      <c r="J65" s="138">
        <v>78</v>
      </c>
      <c r="K65" s="142">
        <f>J65</f>
        <v>78</v>
      </c>
      <c r="L65" s="138" t="s">
        <v>56</v>
      </c>
      <c r="M65" s="138">
        <v>102</v>
      </c>
      <c r="N65" s="142">
        <v>102</v>
      </c>
      <c r="O65" s="247" t="s">
        <v>1853</v>
      </c>
      <c r="P65" s="928">
        <v>37</v>
      </c>
    </row>
    <row r="66" spans="1:20" s="676" customFormat="1" ht="28" customHeight="1">
      <c r="A66" s="797">
        <v>38</v>
      </c>
      <c r="B66" s="271" t="s">
        <v>302</v>
      </c>
      <c r="C66" s="802" t="s">
        <v>56</v>
      </c>
      <c r="D66" s="711">
        <v>11</v>
      </c>
      <c r="E66" s="655">
        <f t="shared" si="6"/>
        <v>11</v>
      </c>
      <c r="F66" s="802">
        <v>0</v>
      </c>
      <c r="G66" s="711">
        <v>47</v>
      </c>
      <c r="H66" s="803">
        <v>47</v>
      </c>
      <c r="I66" s="802">
        <v>0</v>
      </c>
      <c r="J66" s="711">
        <v>151</v>
      </c>
      <c r="K66" s="722">
        <f>J66</f>
        <v>151</v>
      </c>
      <c r="L66" s="711" t="s">
        <v>56</v>
      </c>
      <c r="M66" s="711">
        <v>214</v>
      </c>
      <c r="N66" s="655">
        <v>214</v>
      </c>
      <c r="O66" s="248" t="s">
        <v>1854</v>
      </c>
      <c r="P66" s="927">
        <v>38</v>
      </c>
    </row>
    <row r="67" spans="1:20" ht="28" customHeight="1">
      <c r="A67" s="192">
        <v>39</v>
      </c>
      <c r="B67" s="241" t="s">
        <v>303</v>
      </c>
      <c r="C67" s="466" t="s">
        <v>56</v>
      </c>
      <c r="D67" s="139">
        <v>2</v>
      </c>
      <c r="E67" s="140">
        <f t="shared" si="6"/>
        <v>2</v>
      </c>
      <c r="F67" s="137">
        <v>0</v>
      </c>
      <c r="G67" s="138">
        <v>24</v>
      </c>
      <c r="H67" s="138">
        <v>24</v>
      </c>
      <c r="I67" s="137">
        <v>0</v>
      </c>
      <c r="J67" s="138">
        <v>122</v>
      </c>
      <c r="K67" s="142">
        <f>J67</f>
        <v>122</v>
      </c>
      <c r="L67" s="138" t="s">
        <v>56</v>
      </c>
      <c r="M67" s="138">
        <v>146</v>
      </c>
      <c r="N67" s="142">
        <v>146</v>
      </c>
      <c r="O67" s="247" t="s">
        <v>1855</v>
      </c>
      <c r="P67" s="928">
        <v>39</v>
      </c>
    </row>
    <row r="68" spans="1:20" s="676" customFormat="1" ht="28" customHeight="1">
      <c r="A68" s="797"/>
      <c r="B68" s="843" t="s">
        <v>103</v>
      </c>
      <c r="C68" s="133"/>
      <c r="D68" s="134"/>
      <c r="E68" s="135"/>
      <c r="F68" s="713"/>
      <c r="G68" s="714"/>
      <c r="H68" s="714"/>
      <c r="I68" s="713"/>
      <c r="J68" s="714"/>
      <c r="K68" s="141"/>
      <c r="L68" s="714"/>
      <c r="M68" s="714"/>
      <c r="N68" s="141"/>
      <c r="O68" s="996" t="s">
        <v>27</v>
      </c>
      <c r="P68" s="927"/>
      <c r="R68" s="741"/>
    </row>
    <row r="69" spans="1:20" ht="28" customHeight="1">
      <c r="A69" s="192">
        <v>40</v>
      </c>
      <c r="B69" s="241" t="s">
        <v>783</v>
      </c>
      <c r="C69" s="997">
        <v>1</v>
      </c>
      <c r="D69" s="284">
        <v>25</v>
      </c>
      <c r="E69" s="375">
        <f t="shared" ref="E69:E70" si="7">D69+C69</f>
        <v>26</v>
      </c>
      <c r="F69" s="997">
        <v>0</v>
      </c>
      <c r="G69" s="284">
        <v>146</v>
      </c>
      <c r="H69" s="998">
        <v>146</v>
      </c>
      <c r="I69" s="997">
        <v>0</v>
      </c>
      <c r="J69" s="284">
        <v>185</v>
      </c>
      <c r="K69" s="473">
        <f t="shared" ref="K69:K76" si="8">J69</f>
        <v>185</v>
      </c>
      <c r="L69" s="284" t="s">
        <v>56</v>
      </c>
      <c r="M69" s="284">
        <v>353</v>
      </c>
      <c r="N69" s="375">
        <v>353</v>
      </c>
      <c r="O69" s="247" t="s">
        <v>1856</v>
      </c>
      <c r="P69" s="928">
        <v>40</v>
      </c>
      <c r="R69" s="17"/>
      <c r="S69" s="17"/>
      <c r="T69" s="17"/>
    </row>
    <row r="70" spans="1:20" s="676" customFormat="1" ht="28" customHeight="1">
      <c r="A70" s="797">
        <v>41</v>
      </c>
      <c r="B70" s="271" t="s">
        <v>784</v>
      </c>
      <c r="C70" s="133">
        <v>3</v>
      </c>
      <c r="D70" s="134">
        <v>14</v>
      </c>
      <c r="E70" s="135">
        <f t="shared" si="7"/>
        <v>17</v>
      </c>
      <c r="F70" s="713">
        <v>0</v>
      </c>
      <c r="G70" s="714">
        <v>101</v>
      </c>
      <c r="H70" s="714">
        <v>101</v>
      </c>
      <c r="I70" s="713">
        <v>0</v>
      </c>
      <c r="J70" s="714">
        <v>209</v>
      </c>
      <c r="K70" s="141">
        <f t="shared" si="8"/>
        <v>209</v>
      </c>
      <c r="L70" s="714" t="s">
        <v>56</v>
      </c>
      <c r="M70" s="714">
        <v>323</v>
      </c>
      <c r="N70" s="141">
        <v>323</v>
      </c>
      <c r="O70" s="248" t="s">
        <v>1857</v>
      </c>
      <c r="P70" s="927">
        <v>41</v>
      </c>
      <c r="R70" s="741"/>
      <c r="S70" s="741"/>
      <c r="T70" s="741"/>
    </row>
    <row r="71" spans="1:20" ht="28" customHeight="1">
      <c r="A71" s="192">
        <v>42</v>
      </c>
      <c r="B71" s="241" t="s">
        <v>1271</v>
      </c>
      <c r="C71" s="997" t="s">
        <v>56</v>
      </c>
      <c r="D71" s="284">
        <v>6</v>
      </c>
      <c r="E71" s="375">
        <f t="shared" ref="E71:E75" si="9">D71</f>
        <v>6</v>
      </c>
      <c r="F71" s="997">
        <v>0</v>
      </c>
      <c r="G71" s="284">
        <v>79</v>
      </c>
      <c r="H71" s="998">
        <v>79</v>
      </c>
      <c r="I71" s="997">
        <v>0</v>
      </c>
      <c r="J71" s="284">
        <v>72</v>
      </c>
      <c r="K71" s="473">
        <f t="shared" si="8"/>
        <v>72</v>
      </c>
      <c r="L71" s="284" t="s">
        <v>56</v>
      </c>
      <c r="M71" s="284">
        <v>161</v>
      </c>
      <c r="N71" s="375">
        <v>161</v>
      </c>
      <c r="O71" s="247" t="s">
        <v>1858</v>
      </c>
      <c r="P71" s="928">
        <v>42</v>
      </c>
    </row>
    <row r="72" spans="1:20" ht="28" customHeight="1">
      <c r="A72" s="797">
        <v>43</v>
      </c>
      <c r="B72" s="271" t="s">
        <v>785</v>
      </c>
      <c r="C72" s="133" t="s">
        <v>56</v>
      </c>
      <c r="D72" s="134">
        <v>5</v>
      </c>
      <c r="E72" s="135">
        <f t="shared" si="9"/>
        <v>5</v>
      </c>
      <c r="F72" s="713">
        <v>0</v>
      </c>
      <c r="G72" s="714">
        <v>46</v>
      </c>
      <c r="H72" s="714">
        <v>46</v>
      </c>
      <c r="I72" s="713">
        <v>0</v>
      </c>
      <c r="J72" s="714">
        <v>80</v>
      </c>
      <c r="K72" s="141">
        <f t="shared" si="8"/>
        <v>80</v>
      </c>
      <c r="L72" s="714" t="s">
        <v>56</v>
      </c>
      <c r="M72" s="714">
        <v>126</v>
      </c>
      <c r="N72" s="141">
        <v>126</v>
      </c>
      <c r="O72" s="248" t="s">
        <v>1859</v>
      </c>
      <c r="P72" s="927">
        <v>43</v>
      </c>
    </row>
    <row r="73" spans="1:20" s="676" customFormat="1" ht="28" customHeight="1">
      <c r="A73" s="192">
        <v>44</v>
      </c>
      <c r="B73" s="241" t="s">
        <v>786</v>
      </c>
      <c r="C73" s="997" t="s">
        <v>56</v>
      </c>
      <c r="D73" s="284">
        <v>4</v>
      </c>
      <c r="E73" s="375">
        <f t="shared" si="9"/>
        <v>4</v>
      </c>
      <c r="F73" s="997">
        <v>0</v>
      </c>
      <c r="G73" s="284">
        <v>32</v>
      </c>
      <c r="H73" s="998">
        <v>32</v>
      </c>
      <c r="I73" s="997">
        <v>0</v>
      </c>
      <c r="J73" s="284">
        <v>86</v>
      </c>
      <c r="K73" s="473">
        <f t="shared" si="8"/>
        <v>86</v>
      </c>
      <c r="L73" s="284" t="s">
        <v>56</v>
      </c>
      <c r="M73" s="284">
        <v>118</v>
      </c>
      <c r="N73" s="375">
        <v>118</v>
      </c>
      <c r="O73" s="247" t="s">
        <v>1860</v>
      </c>
      <c r="P73" s="928">
        <v>44</v>
      </c>
    </row>
    <row r="74" spans="1:20" ht="28" customHeight="1">
      <c r="A74" s="797">
        <v>45</v>
      </c>
      <c r="B74" s="271" t="s">
        <v>304</v>
      </c>
      <c r="C74" s="133" t="s">
        <v>56</v>
      </c>
      <c r="D74" s="134">
        <v>4</v>
      </c>
      <c r="E74" s="135">
        <f t="shared" si="9"/>
        <v>4</v>
      </c>
      <c r="F74" s="713">
        <v>0</v>
      </c>
      <c r="G74" s="714">
        <v>33</v>
      </c>
      <c r="H74" s="714">
        <v>33</v>
      </c>
      <c r="I74" s="713">
        <v>0</v>
      </c>
      <c r="J74" s="714">
        <v>100</v>
      </c>
      <c r="K74" s="141">
        <f t="shared" si="8"/>
        <v>100</v>
      </c>
      <c r="L74" s="714" t="s">
        <v>56</v>
      </c>
      <c r="M74" s="714">
        <v>153</v>
      </c>
      <c r="N74" s="141">
        <v>153</v>
      </c>
      <c r="O74" s="248" t="s">
        <v>1861</v>
      </c>
      <c r="P74" s="927">
        <v>45</v>
      </c>
      <c r="R74" s="17"/>
      <c r="S74" s="17"/>
      <c r="T74" s="180"/>
    </row>
    <row r="75" spans="1:20" s="676" customFormat="1" ht="28" customHeight="1">
      <c r="A75" s="192">
        <v>46</v>
      </c>
      <c r="B75" s="577" t="s">
        <v>1272</v>
      </c>
      <c r="C75" s="997" t="s">
        <v>56</v>
      </c>
      <c r="D75" s="284">
        <v>1</v>
      </c>
      <c r="E75" s="375">
        <f t="shared" si="9"/>
        <v>1</v>
      </c>
      <c r="F75" s="997">
        <v>0</v>
      </c>
      <c r="G75" s="284">
        <v>102</v>
      </c>
      <c r="H75" s="998">
        <v>102</v>
      </c>
      <c r="I75" s="997">
        <v>0</v>
      </c>
      <c r="J75" s="284">
        <v>126</v>
      </c>
      <c r="K75" s="473">
        <f t="shared" si="8"/>
        <v>126</v>
      </c>
      <c r="L75" s="284" t="s">
        <v>56</v>
      </c>
      <c r="M75" s="284">
        <v>237</v>
      </c>
      <c r="N75" s="375">
        <v>237</v>
      </c>
      <c r="O75" s="247" t="s">
        <v>1862</v>
      </c>
      <c r="P75" s="928">
        <v>46</v>
      </c>
      <c r="R75" s="741"/>
      <c r="S75" s="741"/>
      <c r="T75" s="804"/>
    </row>
    <row r="76" spans="1:20" ht="28" customHeight="1">
      <c r="A76" s="797">
        <v>47</v>
      </c>
      <c r="B76" s="271" t="s">
        <v>1273</v>
      </c>
      <c r="C76" s="133" t="s">
        <v>56</v>
      </c>
      <c r="D76" s="134" t="s">
        <v>56</v>
      </c>
      <c r="E76" s="135" t="s">
        <v>56</v>
      </c>
      <c r="F76" s="713">
        <v>0</v>
      </c>
      <c r="G76" s="714">
        <v>25</v>
      </c>
      <c r="H76" s="714">
        <v>25</v>
      </c>
      <c r="I76" s="713">
        <v>0</v>
      </c>
      <c r="J76" s="714">
        <v>0</v>
      </c>
      <c r="K76" s="141">
        <f t="shared" si="8"/>
        <v>0</v>
      </c>
      <c r="L76" s="714" t="s">
        <v>56</v>
      </c>
      <c r="M76" s="714">
        <v>25</v>
      </c>
      <c r="N76" s="141">
        <v>25</v>
      </c>
      <c r="O76" s="248" t="s">
        <v>1863</v>
      </c>
      <c r="P76" s="927">
        <v>47</v>
      </c>
      <c r="R76" s="17"/>
      <c r="S76" s="17"/>
      <c r="T76" s="17"/>
    </row>
    <row r="77" spans="1:20" s="676" customFormat="1" ht="24" customHeight="1">
      <c r="A77" s="192"/>
      <c r="B77" s="622" t="s">
        <v>652</v>
      </c>
      <c r="C77" s="466"/>
      <c r="D77" s="139"/>
      <c r="E77" s="140"/>
      <c r="F77" s="137"/>
      <c r="G77" s="138"/>
      <c r="H77" s="138"/>
      <c r="I77" s="137"/>
      <c r="J77" s="138"/>
      <c r="K77" s="142"/>
      <c r="L77" s="138"/>
      <c r="M77" s="138"/>
      <c r="N77" s="142"/>
      <c r="O77" s="607" t="s">
        <v>1255</v>
      </c>
      <c r="P77" s="928"/>
      <c r="R77" s="741"/>
      <c r="S77" s="741"/>
      <c r="T77" s="741"/>
    </row>
    <row r="78" spans="1:20" ht="28" customHeight="1">
      <c r="A78" s="797">
        <v>48</v>
      </c>
      <c r="B78" s="271" t="s">
        <v>787</v>
      </c>
      <c r="C78" s="802" t="s">
        <v>56</v>
      </c>
      <c r="D78" s="711">
        <v>17</v>
      </c>
      <c r="E78" s="655">
        <f t="shared" ref="E78:E82" si="10">D78</f>
        <v>17</v>
      </c>
      <c r="F78" s="802">
        <v>0</v>
      </c>
      <c r="G78" s="711">
        <v>139</v>
      </c>
      <c r="H78" s="803">
        <v>139</v>
      </c>
      <c r="I78" s="802">
        <v>0</v>
      </c>
      <c r="J78" s="711">
        <v>168</v>
      </c>
      <c r="K78" s="722">
        <f>J78</f>
        <v>168</v>
      </c>
      <c r="L78" s="711" t="s">
        <v>56</v>
      </c>
      <c r="M78" s="711">
        <v>344</v>
      </c>
      <c r="N78" s="655">
        <v>344</v>
      </c>
      <c r="O78" s="248" t="s">
        <v>1864</v>
      </c>
      <c r="P78" s="927">
        <v>48</v>
      </c>
      <c r="R78" s="17"/>
      <c r="S78" s="17"/>
      <c r="T78" s="17"/>
    </row>
    <row r="79" spans="1:20" s="676" customFormat="1" ht="28" customHeight="1">
      <c r="A79" s="192">
        <v>49</v>
      </c>
      <c r="B79" s="240" t="s">
        <v>1274</v>
      </c>
      <c r="C79" s="466" t="s">
        <v>56</v>
      </c>
      <c r="D79" s="139">
        <v>12</v>
      </c>
      <c r="E79" s="140">
        <f t="shared" si="10"/>
        <v>12</v>
      </c>
      <c r="F79" s="137">
        <v>0</v>
      </c>
      <c r="G79" s="138">
        <v>49</v>
      </c>
      <c r="H79" s="138">
        <v>49</v>
      </c>
      <c r="I79" s="137">
        <v>0</v>
      </c>
      <c r="J79" s="138">
        <v>84</v>
      </c>
      <c r="K79" s="142">
        <f>J79</f>
        <v>84</v>
      </c>
      <c r="L79" s="137" t="s">
        <v>56</v>
      </c>
      <c r="M79" s="138">
        <v>143</v>
      </c>
      <c r="N79" s="142">
        <v>143</v>
      </c>
      <c r="O79" s="238" t="s">
        <v>1865</v>
      </c>
      <c r="P79" s="928">
        <v>49</v>
      </c>
      <c r="R79" s="741"/>
      <c r="S79" s="741"/>
      <c r="T79" s="741"/>
    </row>
    <row r="80" spans="1:20" ht="28" customHeight="1">
      <c r="A80" s="325">
        <v>50</v>
      </c>
      <c r="B80" s="271" t="s">
        <v>1275</v>
      </c>
      <c r="C80" s="805" t="s">
        <v>56</v>
      </c>
      <c r="D80" s="806">
        <v>11</v>
      </c>
      <c r="E80" s="807">
        <f t="shared" si="10"/>
        <v>11</v>
      </c>
      <c r="F80" s="713">
        <v>0</v>
      </c>
      <c r="G80" s="714">
        <v>43</v>
      </c>
      <c r="H80" s="141">
        <v>43</v>
      </c>
      <c r="I80" s="713">
        <v>0</v>
      </c>
      <c r="J80" s="714">
        <v>21</v>
      </c>
      <c r="K80" s="141">
        <f>J80+I80</f>
        <v>21</v>
      </c>
      <c r="L80" s="713" t="s">
        <v>56</v>
      </c>
      <c r="M80" s="714">
        <v>76</v>
      </c>
      <c r="N80" s="141">
        <v>76</v>
      </c>
      <c r="O80" s="635" t="s">
        <v>1866</v>
      </c>
      <c r="P80" s="878">
        <v>50</v>
      </c>
      <c r="R80" s="17"/>
      <c r="S80" s="17"/>
      <c r="T80" s="17"/>
    </row>
    <row r="81" spans="1:24" ht="28" customHeight="1">
      <c r="A81" s="192">
        <v>51</v>
      </c>
      <c r="B81" s="240" t="s">
        <v>766</v>
      </c>
      <c r="C81" s="190" t="s">
        <v>56</v>
      </c>
      <c r="D81" s="191">
        <v>10</v>
      </c>
      <c r="E81" s="556">
        <f t="shared" si="10"/>
        <v>10</v>
      </c>
      <c r="F81" s="137">
        <v>0</v>
      </c>
      <c r="G81" s="138">
        <v>51</v>
      </c>
      <c r="H81" s="138">
        <v>51</v>
      </c>
      <c r="I81" s="137">
        <v>0</v>
      </c>
      <c r="J81" s="138">
        <v>164</v>
      </c>
      <c r="K81" s="142">
        <f>J81+I81</f>
        <v>164</v>
      </c>
      <c r="L81" s="137" t="s">
        <v>56</v>
      </c>
      <c r="M81" s="138">
        <v>244</v>
      </c>
      <c r="N81" s="142">
        <v>244</v>
      </c>
      <c r="O81" s="246" t="s">
        <v>1867</v>
      </c>
      <c r="P81" s="928">
        <v>51</v>
      </c>
      <c r="R81" s="17"/>
      <c r="S81" s="17"/>
      <c r="T81" s="17"/>
    </row>
    <row r="82" spans="1:24" s="676" customFormat="1" ht="28" customHeight="1">
      <c r="A82" s="664">
        <v>52</v>
      </c>
      <c r="B82" s="801" t="s">
        <v>767</v>
      </c>
      <c r="C82" s="808" t="s">
        <v>56</v>
      </c>
      <c r="D82" s="809">
        <v>5</v>
      </c>
      <c r="E82" s="809">
        <f t="shared" si="10"/>
        <v>5</v>
      </c>
      <c r="F82" s="811">
        <v>0</v>
      </c>
      <c r="G82" s="812">
        <v>159</v>
      </c>
      <c r="H82" s="812">
        <v>159</v>
      </c>
      <c r="I82" s="811">
        <v>0</v>
      </c>
      <c r="J82" s="812">
        <v>158</v>
      </c>
      <c r="K82" s="193">
        <f>J82+I82</f>
        <v>158</v>
      </c>
      <c r="L82" s="811" t="s">
        <v>56</v>
      </c>
      <c r="M82" s="812">
        <v>317</v>
      </c>
      <c r="N82" s="193">
        <v>317</v>
      </c>
      <c r="O82" s="650" t="s">
        <v>1868</v>
      </c>
      <c r="P82" s="895">
        <v>52</v>
      </c>
      <c r="R82" s="741"/>
      <c r="S82" s="741"/>
      <c r="T82" s="741"/>
    </row>
    <row r="83" spans="1:24" ht="14.25" hidden="1" customHeight="1">
      <c r="A83" s="1508" t="s">
        <v>1188</v>
      </c>
      <c r="B83" s="1508"/>
      <c r="C83" s="168"/>
      <c r="D83" s="168"/>
      <c r="E83" s="157"/>
      <c r="F83" s="168"/>
      <c r="G83" s="168"/>
      <c r="H83" s="168"/>
      <c r="I83" s="168"/>
      <c r="J83" s="168"/>
      <c r="K83" s="168"/>
      <c r="L83" s="168"/>
      <c r="M83" s="168"/>
      <c r="N83" s="168"/>
      <c r="O83" s="1509" t="s">
        <v>1297</v>
      </c>
      <c r="P83" s="1509"/>
      <c r="Q83"/>
      <c r="R83"/>
      <c r="S83"/>
      <c r="T83"/>
      <c r="U83"/>
      <c r="V83"/>
      <c r="W83"/>
      <c r="X83"/>
    </row>
    <row r="84" spans="1:24" ht="14.25" hidden="1" customHeight="1">
      <c r="A84" s="1520"/>
      <c r="B84" s="1520"/>
      <c r="C84" s="157"/>
      <c r="D84" s="157"/>
      <c r="E84" s="157"/>
      <c r="F84" s="168"/>
      <c r="G84" s="168"/>
      <c r="H84" s="168"/>
      <c r="I84" s="168"/>
      <c r="J84" s="168"/>
      <c r="K84" s="168"/>
      <c r="L84" s="1526" t="s">
        <v>1298</v>
      </c>
      <c r="M84" s="1526"/>
      <c r="N84" s="1526"/>
      <c r="O84" s="1526"/>
      <c r="P84" s="1526"/>
      <c r="Q84"/>
      <c r="R84"/>
      <c r="S84"/>
      <c r="T84"/>
      <c r="U84"/>
      <c r="V84"/>
      <c r="W84"/>
      <c r="X84"/>
    </row>
    <row r="85" spans="1:24" ht="18" hidden="1" customHeight="1">
      <c r="A85" s="1438" t="s">
        <v>621</v>
      </c>
      <c r="B85" s="1468" t="s">
        <v>286</v>
      </c>
      <c r="C85" s="1320" t="s">
        <v>1307</v>
      </c>
      <c r="D85" s="1470"/>
      <c r="E85" s="1449"/>
      <c r="F85" s="1320" t="s">
        <v>1219</v>
      </c>
      <c r="G85" s="1470"/>
      <c r="H85" s="1449"/>
      <c r="I85" s="1320" t="s">
        <v>1218</v>
      </c>
      <c r="J85" s="1470"/>
      <c r="K85" s="1449"/>
      <c r="L85" s="1320" t="s">
        <v>79</v>
      </c>
      <c r="M85" s="1470"/>
      <c r="N85" s="1449"/>
      <c r="O85" s="1438" t="s">
        <v>1575</v>
      </c>
      <c r="P85" s="1471" t="s">
        <v>727</v>
      </c>
      <c r="R85" s="17"/>
      <c r="S85" s="17"/>
      <c r="T85" s="17"/>
    </row>
    <row r="86" spans="1:24" ht="18" hidden="1" customHeight="1">
      <c r="A86" s="1439"/>
      <c r="B86" s="1468"/>
      <c r="C86" s="1280"/>
      <c r="D86" s="1474"/>
      <c r="E86" s="1475"/>
      <c r="F86" s="1280"/>
      <c r="G86" s="1474"/>
      <c r="H86" s="1475"/>
      <c r="I86" s="1280"/>
      <c r="J86" s="1474"/>
      <c r="K86" s="1475"/>
      <c r="L86" s="1280"/>
      <c r="M86" s="1474"/>
      <c r="N86" s="1475"/>
      <c r="O86" s="1439"/>
      <c r="P86" s="1472"/>
      <c r="R86" s="17"/>
      <c r="S86" s="17"/>
      <c r="T86" s="17"/>
    </row>
    <row r="87" spans="1:24" ht="18" hidden="1" customHeight="1">
      <c r="A87" s="1439"/>
      <c r="B87" s="1468"/>
      <c r="C87" s="1280" t="s">
        <v>138</v>
      </c>
      <c r="D87" s="1474"/>
      <c r="E87" s="1475"/>
      <c r="F87" s="1280" t="s">
        <v>1186</v>
      </c>
      <c r="G87" s="1474"/>
      <c r="H87" s="1475"/>
      <c r="I87" s="1280" t="s">
        <v>587</v>
      </c>
      <c r="J87" s="1474"/>
      <c r="K87" s="1475"/>
      <c r="L87" s="1280" t="s">
        <v>137</v>
      </c>
      <c r="M87" s="1474"/>
      <c r="N87" s="1475"/>
      <c r="O87" s="1439"/>
      <c r="P87" s="1472"/>
      <c r="R87" s="17"/>
      <c r="S87" s="17"/>
      <c r="T87" s="17"/>
    </row>
    <row r="88" spans="1:24" ht="18" hidden="1" customHeight="1">
      <c r="A88" s="1439"/>
      <c r="B88" s="1469"/>
      <c r="C88" s="1280" t="s">
        <v>583</v>
      </c>
      <c r="D88" s="1474" t="s">
        <v>581</v>
      </c>
      <c r="E88" s="1475" t="s">
        <v>489</v>
      </c>
      <c r="F88" s="1280" t="s">
        <v>583</v>
      </c>
      <c r="G88" s="1474" t="s">
        <v>589</v>
      </c>
      <c r="H88" s="1475" t="s">
        <v>489</v>
      </c>
      <c r="I88" s="1280" t="s">
        <v>583</v>
      </c>
      <c r="J88" s="1474" t="s">
        <v>589</v>
      </c>
      <c r="K88" s="1475" t="s">
        <v>489</v>
      </c>
      <c r="L88" s="1280" t="s">
        <v>583</v>
      </c>
      <c r="M88" s="1474" t="s">
        <v>588</v>
      </c>
      <c r="N88" s="1475" t="s">
        <v>489</v>
      </c>
      <c r="O88" s="1439"/>
      <c r="P88" s="1472"/>
      <c r="R88" s="17"/>
      <c r="S88" s="17"/>
      <c r="T88" s="17"/>
    </row>
    <row r="89" spans="1:24" ht="18" hidden="1" customHeight="1">
      <c r="A89" s="1439"/>
      <c r="B89" s="1469"/>
      <c r="C89" s="1280"/>
      <c r="D89" s="1474"/>
      <c r="E89" s="1475"/>
      <c r="F89" s="1280"/>
      <c r="G89" s="1474"/>
      <c r="H89" s="1475"/>
      <c r="I89" s="1280"/>
      <c r="J89" s="1474"/>
      <c r="K89" s="1475"/>
      <c r="L89" s="1280"/>
      <c r="M89" s="1474"/>
      <c r="N89" s="1475"/>
      <c r="O89" s="1439"/>
      <c r="P89" s="1472"/>
      <c r="R89" s="17"/>
      <c r="S89" s="17"/>
      <c r="T89" s="17"/>
    </row>
    <row r="90" spans="1:24" ht="18" hidden="1" customHeight="1">
      <c r="A90" s="1462"/>
      <c r="B90" s="1469"/>
      <c r="C90" s="872" t="s">
        <v>133</v>
      </c>
      <c r="D90" s="873" t="s">
        <v>134</v>
      </c>
      <c r="E90" s="893" t="s">
        <v>100</v>
      </c>
      <c r="F90" s="872" t="s">
        <v>133</v>
      </c>
      <c r="G90" s="873" t="s">
        <v>134</v>
      </c>
      <c r="H90" s="893" t="s">
        <v>100</v>
      </c>
      <c r="I90" s="872" t="s">
        <v>133</v>
      </c>
      <c r="J90" s="873" t="s">
        <v>134</v>
      </c>
      <c r="K90" s="869" t="s">
        <v>100</v>
      </c>
      <c r="L90" s="872" t="s">
        <v>133</v>
      </c>
      <c r="M90" s="873" t="s">
        <v>134</v>
      </c>
      <c r="N90" s="893" t="s">
        <v>100</v>
      </c>
      <c r="O90" s="1462"/>
      <c r="P90" s="1473"/>
      <c r="R90" s="17"/>
      <c r="S90" s="17"/>
      <c r="T90" s="17"/>
    </row>
    <row r="91" spans="1:24" s="676" customFormat="1" ht="22" customHeight="1">
      <c r="A91" s="192">
        <v>53</v>
      </c>
      <c r="B91" s="240" t="s">
        <v>305</v>
      </c>
      <c r="C91" s="190" t="s">
        <v>56</v>
      </c>
      <c r="D91" s="191">
        <v>3</v>
      </c>
      <c r="E91" s="556">
        <f t="shared" ref="E91:E96" si="11">D91</f>
        <v>3</v>
      </c>
      <c r="F91" s="137">
        <v>0</v>
      </c>
      <c r="G91" s="138">
        <v>26</v>
      </c>
      <c r="H91" s="138">
        <v>26</v>
      </c>
      <c r="I91" s="137">
        <v>0</v>
      </c>
      <c r="J91" s="138">
        <v>44</v>
      </c>
      <c r="K91" s="142">
        <f t="shared" ref="K91:K97" si="12">J91+I91</f>
        <v>44</v>
      </c>
      <c r="L91" s="137" t="s">
        <v>56</v>
      </c>
      <c r="M91" s="138">
        <v>70</v>
      </c>
      <c r="N91" s="142">
        <v>70</v>
      </c>
      <c r="O91" s="246" t="s">
        <v>1869</v>
      </c>
      <c r="P91" s="928">
        <v>53</v>
      </c>
      <c r="R91" s="741"/>
      <c r="S91" s="741"/>
      <c r="T91" s="741"/>
    </row>
    <row r="92" spans="1:24" ht="28" customHeight="1">
      <c r="A92" s="325">
        <v>54</v>
      </c>
      <c r="B92" s="271" t="s">
        <v>1276</v>
      </c>
      <c r="C92" s="805" t="s">
        <v>56</v>
      </c>
      <c r="D92" s="806">
        <v>5</v>
      </c>
      <c r="E92" s="806">
        <f t="shared" si="11"/>
        <v>5</v>
      </c>
      <c r="F92" s="713">
        <v>0</v>
      </c>
      <c r="G92" s="714">
        <v>73</v>
      </c>
      <c r="H92" s="714">
        <v>73</v>
      </c>
      <c r="I92" s="713">
        <v>0</v>
      </c>
      <c r="J92" s="714">
        <v>18</v>
      </c>
      <c r="K92" s="141">
        <f t="shared" si="12"/>
        <v>18</v>
      </c>
      <c r="L92" s="713" t="s">
        <v>56</v>
      </c>
      <c r="M92" s="714">
        <v>105</v>
      </c>
      <c r="N92" s="141">
        <v>105</v>
      </c>
      <c r="O92" s="635" t="s">
        <v>1870</v>
      </c>
      <c r="P92" s="878">
        <v>54</v>
      </c>
      <c r="R92" s="17"/>
      <c r="S92" s="17"/>
      <c r="T92" s="17"/>
    </row>
    <row r="93" spans="1:24" s="676" customFormat="1" ht="28" customHeight="1">
      <c r="A93" s="192">
        <v>55</v>
      </c>
      <c r="B93" s="241" t="s">
        <v>713</v>
      </c>
      <c r="C93" s="190" t="s">
        <v>56</v>
      </c>
      <c r="D93" s="191">
        <v>2</v>
      </c>
      <c r="E93" s="191">
        <f t="shared" si="11"/>
        <v>2</v>
      </c>
      <c r="F93" s="137">
        <v>0</v>
      </c>
      <c r="G93" s="138">
        <v>150</v>
      </c>
      <c r="H93" s="138">
        <v>150</v>
      </c>
      <c r="I93" s="137">
        <v>0</v>
      </c>
      <c r="J93" s="138">
        <v>177</v>
      </c>
      <c r="K93" s="142">
        <f t="shared" si="12"/>
        <v>177</v>
      </c>
      <c r="L93" s="137" t="s">
        <v>56</v>
      </c>
      <c r="M93" s="138">
        <v>327</v>
      </c>
      <c r="N93" s="142">
        <v>327</v>
      </c>
      <c r="O93" s="246" t="s">
        <v>1871</v>
      </c>
      <c r="P93" s="879">
        <v>55</v>
      </c>
      <c r="R93" s="741"/>
      <c r="S93" s="741"/>
      <c r="T93" s="741"/>
    </row>
    <row r="94" spans="1:24" ht="28" customHeight="1">
      <c r="A94" s="325">
        <v>56</v>
      </c>
      <c r="B94" s="271" t="s">
        <v>1277</v>
      </c>
      <c r="C94" s="805" t="s">
        <v>56</v>
      </c>
      <c r="D94" s="806">
        <v>2</v>
      </c>
      <c r="E94" s="806">
        <f t="shared" si="11"/>
        <v>2</v>
      </c>
      <c r="F94" s="713">
        <v>0</v>
      </c>
      <c r="G94" s="714">
        <v>39</v>
      </c>
      <c r="H94" s="714">
        <v>39</v>
      </c>
      <c r="I94" s="713">
        <v>0</v>
      </c>
      <c r="J94" s="714">
        <v>56</v>
      </c>
      <c r="K94" s="141">
        <f t="shared" si="12"/>
        <v>56</v>
      </c>
      <c r="L94" s="713" t="s">
        <v>56</v>
      </c>
      <c r="M94" s="714">
        <v>106</v>
      </c>
      <c r="N94" s="141">
        <v>106</v>
      </c>
      <c r="O94" s="635" t="s">
        <v>1872</v>
      </c>
      <c r="P94" s="878">
        <v>56</v>
      </c>
      <c r="R94" s="17"/>
      <c r="S94" s="17"/>
      <c r="T94" s="17"/>
    </row>
    <row r="95" spans="1:24" s="676" customFormat="1" ht="22" customHeight="1">
      <c r="A95" s="192">
        <v>57</v>
      </c>
      <c r="B95" s="241" t="s">
        <v>712</v>
      </c>
      <c r="C95" s="190" t="s">
        <v>56</v>
      </c>
      <c r="D95" s="191">
        <v>3</v>
      </c>
      <c r="E95" s="191">
        <f t="shared" si="11"/>
        <v>3</v>
      </c>
      <c r="F95" s="137">
        <v>0</v>
      </c>
      <c r="G95" s="138">
        <v>48</v>
      </c>
      <c r="H95" s="138">
        <v>48</v>
      </c>
      <c r="I95" s="137">
        <v>0</v>
      </c>
      <c r="J95" s="138">
        <v>146</v>
      </c>
      <c r="K95" s="142">
        <f t="shared" si="12"/>
        <v>146</v>
      </c>
      <c r="L95" s="137" t="s">
        <v>56</v>
      </c>
      <c r="M95" s="138">
        <v>213</v>
      </c>
      <c r="N95" s="142">
        <v>213</v>
      </c>
      <c r="O95" s="246" t="s">
        <v>1873</v>
      </c>
      <c r="P95" s="879">
        <v>57</v>
      </c>
      <c r="R95" s="741"/>
      <c r="S95" s="741"/>
      <c r="T95" s="741"/>
    </row>
    <row r="96" spans="1:24" ht="28" customHeight="1">
      <c r="A96" s="325">
        <v>58</v>
      </c>
      <c r="B96" s="239" t="s">
        <v>306</v>
      </c>
      <c r="C96" s="805" t="s">
        <v>56</v>
      </c>
      <c r="D96" s="806">
        <v>7</v>
      </c>
      <c r="E96" s="807">
        <f t="shared" si="11"/>
        <v>7</v>
      </c>
      <c r="F96" s="713">
        <v>0</v>
      </c>
      <c r="G96" s="714">
        <v>48</v>
      </c>
      <c r="H96" s="714">
        <v>48</v>
      </c>
      <c r="I96" s="713">
        <v>0</v>
      </c>
      <c r="J96" s="714">
        <v>136</v>
      </c>
      <c r="K96" s="141">
        <f t="shared" si="12"/>
        <v>136</v>
      </c>
      <c r="L96" s="713" t="s">
        <v>56</v>
      </c>
      <c r="M96" s="714">
        <v>226</v>
      </c>
      <c r="N96" s="141">
        <v>226</v>
      </c>
      <c r="O96" s="635" t="s">
        <v>1874</v>
      </c>
      <c r="P96" s="927">
        <v>58</v>
      </c>
      <c r="R96" s="17"/>
      <c r="S96" s="17"/>
      <c r="T96" s="17"/>
    </row>
    <row r="97" spans="1:24" s="676" customFormat="1" ht="28" customHeight="1">
      <c r="A97" s="192">
        <v>59</v>
      </c>
      <c r="B97" s="241" t="s">
        <v>1278</v>
      </c>
      <c r="C97" s="190" t="s">
        <v>56</v>
      </c>
      <c r="D97" s="191">
        <v>3</v>
      </c>
      <c r="E97" s="191">
        <f>D97</f>
        <v>3</v>
      </c>
      <c r="F97" s="137">
        <v>0</v>
      </c>
      <c r="G97" s="138">
        <v>21</v>
      </c>
      <c r="H97" s="138">
        <v>21</v>
      </c>
      <c r="I97" s="137">
        <v>0</v>
      </c>
      <c r="J97" s="138">
        <v>41</v>
      </c>
      <c r="K97" s="142">
        <f t="shared" si="12"/>
        <v>41</v>
      </c>
      <c r="L97" s="137" t="s">
        <v>56</v>
      </c>
      <c r="M97" s="138">
        <v>71</v>
      </c>
      <c r="N97" s="142">
        <v>71</v>
      </c>
      <c r="O97" s="246" t="s">
        <v>1875</v>
      </c>
      <c r="P97" s="879">
        <v>59</v>
      </c>
      <c r="R97" s="741"/>
      <c r="S97" s="741"/>
      <c r="T97" s="741"/>
    </row>
    <row r="98" spans="1:24" ht="22" customHeight="1">
      <c r="A98" s="797"/>
      <c r="B98" s="843" t="s">
        <v>104</v>
      </c>
      <c r="C98" s="805"/>
      <c r="D98" s="806"/>
      <c r="E98" s="806"/>
      <c r="F98" s="713"/>
      <c r="G98" s="714"/>
      <c r="H98" s="714"/>
      <c r="I98" s="713"/>
      <c r="J98" s="714"/>
      <c r="K98" s="141"/>
      <c r="L98" s="713"/>
      <c r="M98" s="714"/>
      <c r="N98" s="141"/>
      <c r="O98" s="727" t="s">
        <v>788</v>
      </c>
      <c r="P98" s="878"/>
      <c r="R98" s="17"/>
      <c r="S98" s="17"/>
      <c r="T98" s="17"/>
    </row>
    <row r="99" spans="1:24" s="676" customFormat="1" ht="22" customHeight="1">
      <c r="A99" s="396">
        <v>60</v>
      </c>
      <c r="B99" s="240" t="s">
        <v>789</v>
      </c>
      <c r="C99" s="190" t="s">
        <v>56</v>
      </c>
      <c r="D99" s="191">
        <v>6</v>
      </c>
      <c r="E99" s="556">
        <f t="shared" ref="E99:E103" si="13">D99</f>
        <v>6</v>
      </c>
      <c r="F99" s="137">
        <v>0</v>
      </c>
      <c r="G99" s="138">
        <v>14</v>
      </c>
      <c r="H99" s="138">
        <v>14</v>
      </c>
      <c r="I99" s="137">
        <v>0</v>
      </c>
      <c r="J99" s="138">
        <v>27</v>
      </c>
      <c r="K99" s="142">
        <f>J99+I99</f>
        <v>27</v>
      </c>
      <c r="L99" s="137" t="s">
        <v>56</v>
      </c>
      <c r="M99" s="138">
        <v>41</v>
      </c>
      <c r="N99" s="142">
        <v>41</v>
      </c>
      <c r="O99" s="246" t="s">
        <v>1876</v>
      </c>
      <c r="P99" s="928">
        <v>60</v>
      </c>
      <c r="R99" s="741"/>
      <c r="S99" s="741"/>
      <c r="T99" s="741"/>
    </row>
    <row r="100" spans="1:24" ht="28" customHeight="1">
      <c r="A100" s="797">
        <v>61</v>
      </c>
      <c r="B100" s="271" t="s">
        <v>307</v>
      </c>
      <c r="C100" s="805" t="s">
        <v>56</v>
      </c>
      <c r="D100" s="806">
        <v>8</v>
      </c>
      <c r="E100" s="806">
        <f t="shared" si="13"/>
        <v>8</v>
      </c>
      <c r="F100" s="713">
        <v>0</v>
      </c>
      <c r="G100" s="714">
        <v>34</v>
      </c>
      <c r="H100" s="714">
        <v>34</v>
      </c>
      <c r="I100" s="713">
        <v>0</v>
      </c>
      <c r="J100" s="714">
        <v>26</v>
      </c>
      <c r="K100" s="141">
        <f>J100+I100</f>
        <v>26</v>
      </c>
      <c r="L100" s="713" t="s">
        <v>56</v>
      </c>
      <c r="M100" s="714">
        <v>76</v>
      </c>
      <c r="N100" s="141">
        <v>76</v>
      </c>
      <c r="O100" s="635" t="s">
        <v>1877</v>
      </c>
      <c r="P100" s="878">
        <v>61</v>
      </c>
      <c r="R100" s="17"/>
      <c r="S100" s="17"/>
      <c r="T100" s="17"/>
    </row>
    <row r="101" spans="1:24" ht="28" customHeight="1">
      <c r="A101" s="396">
        <v>62</v>
      </c>
      <c r="B101" s="240" t="s">
        <v>1244</v>
      </c>
      <c r="C101" s="190" t="s">
        <v>56</v>
      </c>
      <c r="D101" s="191">
        <v>4</v>
      </c>
      <c r="E101" s="556">
        <f t="shared" si="13"/>
        <v>4</v>
      </c>
      <c r="F101" s="137">
        <v>0</v>
      </c>
      <c r="G101" s="138" t="s">
        <v>56</v>
      </c>
      <c r="H101" s="138" t="s">
        <v>56</v>
      </c>
      <c r="I101" s="137">
        <v>0</v>
      </c>
      <c r="J101" s="138" t="s">
        <v>56</v>
      </c>
      <c r="K101" s="142" t="s">
        <v>56</v>
      </c>
      <c r="L101" s="137" t="s">
        <v>56</v>
      </c>
      <c r="M101" s="138" t="s">
        <v>56</v>
      </c>
      <c r="N101" s="142" t="s">
        <v>56</v>
      </c>
      <c r="O101" s="246" t="s">
        <v>1878</v>
      </c>
      <c r="P101" s="928">
        <v>62</v>
      </c>
      <c r="R101" s="17"/>
      <c r="S101" s="17"/>
      <c r="T101" s="17"/>
    </row>
    <row r="102" spans="1:24" s="676" customFormat="1" ht="28" customHeight="1">
      <c r="A102" s="797">
        <v>63</v>
      </c>
      <c r="B102" s="271" t="s">
        <v>483</v>
      </c>
      <c r="C102" s="805" t="s">
        <v>56</v>
      </c>
      <c r="D102" s="806">
        <v>4</v>
      </c>
      <c r="E102" s="806">
        <f t="shared" si="13"/>
        <v>4</v>
      </c>
      <c r="F102" s="713">
        <v>0</v>
      </c>
      <c r="G102" s="714">
        <v>38</v>
      </c>
      <c r="H102" s="714">
        <v>38</v>
      </c>
      <c r="I102" s="713">
        <v>0</v>
      </c>
      <c r="J102" s="714">
        <v>70</v>
      </c>
      <c r="K102" s="141">
        <f>J102+I102</f>
        <v>70</v>
      </c>
      <c r="L102" s="713" t="s">
        <v>56</v>
      </c>
      <c r="M102" s="714">
        <v>134</v>
      </c>
      <c r="N102" s="141">
        <v>134</v>
      </c>
      <c r="O102" s="635" t="s">
        <v>1879</v>
      </c>
      <c r="P102" s="878">
        <v>63</v>
      </c>
      <c r="R102" s="741"/>
      <c r="S102" s="741"/>
      <c r="T102" s="741"/>
    </row>
    <row r="103" spans="1:24" ht="22" customHeight="1">
      <c r="A103" s="396">
        <v>64</v>
      </c>
      <c r="B103" s="240" t="s">
        <v>308</v>
      </c>
      <c r="C103" s="190" t="s">
        <v>56</v>
      </c>
      <c r="D103" s="191">
        <v>4</v>
      </c>
      <c r="E103" s="556">
        <f t="shared" si="13"/>
        <v>4</v>
      </c>
      <c r="F103" s="137">
        <v>0</v>
      </c>
      <c r="G103" s="138">
        <v>39</v>
      </c>
      <c r="H103" s="138">
        <v>39</v>
      </c>
      <c r="I103" s="137">
        <v>0</v>
      </c>
      <c r="J103" s="138">
        <v>102</v>
      </c>
      <c r="K103" s="142">
        <f>J103+I103</f>
        <v>102</v>
      </c>
      <c r="L103" s="137" t="s">
        <v>56</v>
      </c>
      <c r="M103" s="138">
        <v>160</v>
      </c>
      <c r="N103" s="142">
        <v>160</v>
      </c>
      <c r="O103" s="246" t="s">
        <v>1880</v>
      </c>
      <c r="P103" s="928">
        <v>64</v>
      </c>
      <c r="R103" s="17"/>
      <c r="S103" s="17"/>
      <c r="T103" s="17"/>
    </row>
    <row r="104" spans="1:24" s="676" customFormat="1" ht="22" customHeight="1">
      <c r="A104" s="325"/>
      <c r="B104" s="843" t="s">
        <v>143</v>
      </c>
      <c r="C104" s="805"/>
      <c r="D104" s="806"/>
      <c r="E104" s="806"/>
      <c r="F104" s="713"/>
      <c r="G104" s="714"/>
      <c r="H104" s="714"/>
      <c r="I104" s="713"/>
      <c r="J104" s="714"/>
      <c r="K104" s="141"/>
      <c r="L104" s="713"/>
      <c r="M104" s="714"/>
      <c r="N104" s="141"/>
      <c r="O104" s="727" t="s">
        <v>791</v>
      </c>
      <c r="P104" s="927"/>
      <c r="R104" s="741"/>
      <c r="S104" s="741"/>
      <c r="T104" s="741"/>
    </row>
    <row r="105" spans="1:24" ht="28" customHeight="1">
      <c r="A105" s="192">
        <v>65</v>
      </c>
      <c r="B105" s="241" t="s">
        <v>784</v>
      </c>
      <c r="C105" s="190" t="s">
        <v>56</v>
      </c>
      <c r="D105" s="191">
        <v>21</v>
      </c>
      <c r="E105" s="191">
        <f t="shared" ref="E105:E110" si="14">D105</f>
        <v>21</v>
      </c>
      <c r="F105" s="137">
        <v>0</v>
      </c>
      <c r="G105" s="138">
        <v>71</v>
      </c>
      <c r="H105" s="138">
        <v>71</v>
      </c>
      <c r="I105" s="137">
        <v>0</v>
      </c>
      <c r="J105" s="138">
        <v>278</v>
      </c>
      <c r="K105" s="142">
        <f t="shared" ref="K105:K111" si="15">J105+I105</f>
        <v>278</v>
      </c>
      <c r="L105" s="137" t="s">
        <v>56</v>
      </c>
      <c r="M105" s="138">
        <v>459</v>
      </c>
      <c r="N105" s="142">
        <v>459</v>
      </c>
      <c r="O105" s="246" t="s">
        <v>1881</v>
      </c>
      <c r="P105" s="879">
        <v>65</v>
      </c>
      <c r="R105" s="17"/>
      <c r="S105" s="17"/>
      <c r="T105" s="17"/>
    </row>
    <row r="106" spans="1:24" s="676" customFormat="1" ht="22" customHeight="1">
      <c r="A106" s="325">
        <v>66</v>
      </c>
      <c r="B106" s="239" t="s">
        <v>792</v>
      </c>
      <c r="C106" s="805" t="s">
        <v>56</v>
      </c>
      <c r="D106" s="806">
        <v>11</v>
      </c>
      <c r="E106" s="807">
        <f t="shared" si="14"/>
        <v>11</v>
      </c>
      <c r="F106" s="713">
        <v>0</v>
      </c>
      <c r="G106" s="714">
        <v>96</v>
      </c>
      <c r="H106" s="714">
        <v>96</v>
      </c>
      <c r="I106" s="713">
        <v>0</v>
      </c>
      <c r="J106" s="714">
        <f>256</f>
        <v>256</v>
      </c>
      <c r="K106" s="141">
        <f t="shared" si="15"/>
        <v>256</v>
      </c>
      <c r="L106" s="713" t="s">
        <v>56</v>
      </c>
      <c r="M106" s="714">
        <v>381</v>
      </c>
      <c r="N106" s="141">
        <v>381</v>
      </c>
      <c r="O106" s="635" t="s">
        <v>1882</v>
      </c>
      <c r="P106" s="927">
        <v>66</v>
      </c>
      <c r="R106" s="741"/>
      <c r="S106" s="741"/>
      <c r="T106" s="741"/>
    </row>
    <row r="107" spans="1:24" s="676" customFormat="1" ht="17.25" customHeight="1">
      <c r="A107" s="192">
        <v>67</v>
      </c>
      <c r="B107" s="241" t="s">
        <v>793</v>
      </c>
      <c r="C107" s="190" t="s">
        <v>56</v>
      </c>
      <c r="D107" s="191">
        <v>22</v>
      </c>
      <c r="E107" s="556">
        <f t="shared" si="14"/>
        <v>22</v>
      </c>
      <c r="F107" s="137">
        <v>0</v>
      </c>
      <c r="G107" s="138">
        <v>165</v>
      </c>
      <c r="H107" s="138">
        <v>165</v>
      </c>
      <c r="I107" s="137">
        <v>0</v>
      </c>
      <c r="J107" s="138">
        <f>553+9</f>
        <v>562</v>
      </c>
      <c r="K107" s="142">
        <f t="shared" si="15"/>
        <v>562</v>
      </c>
      <c r="L107" s="137" t="s">
        <v>56</v>
      </c>
      <c r="M107" s="138">
        <v>757</v>
      </c>
      <c r="N107" s="142">
        <v>757</v>
      </c>
      <c r="O107" s="246" t="s">
        <v>1883</v>
      </c>
      <c r="P107" s="879">
        <v>67</v>
      </c>
      <c r="R107" s="741"/>
      <c r="S107" s="741"/>
      <c r="T107" s="741"/>
    </row>
    <row r="108" spans="1:24" ht="28" customHeight="1">
      <c r="A108" s="797">
        <v>68</v>
      </c>
      <c r="B108" s="239" t="s">
        <v>778</v>
      </c>
      <c r="C108" s="805" t="s">
        <v>56</v>
      </c>
      <c r="D108" s="806">
        <v>14</v>
      </c>
      <c r="E108" s="807">
        <f t="shared" si="14"/>
        <v>14</v>
      </c>
      <c r="F108" s="713">
        <v>0</v>
      </c>
      <c r="G108" s="714">
        <v>137</v>
      </c>
      <c r="H108" s="141">
        <v>137</v>
      </c>
      <c r="I108" s="713">
        <v>0</v>
      </c>
      <c r="J108" s="714">
        <v>228</v>
      </c>
      <c r="K108" s="141">
        <f t="shared" si="15"/>
        <v>228</v>
      </c>
      <c r="L108" s="713" t="s">
        <v>56</v>
      </c>
      <c r="M108" s="714">
        <v>274</v>
      </c>
      <c r="N108" s="141">
        <v>274</v>
      </c>
      <c r="O108" s="643" t="s">
        <v>1884</v>
      </c>
      <c r="P108" s="927">
        <v>68</v>
      </c>
      <c r="R108" s="17"/>
      <c r="S108" s="17"/>
      <c r="T108" s="17"/>
    </row>
    <row r="109" spans="1:24" s="676" customFormat="1" ht="28" customHeight="1">
      <c r="A109" s="396">
        <v>69</v>
      </c>
      <c r="B109" s="240" t="s">
        <v>794</v>
      </c>
      <c r="C109" s="190" t="s">
        <v>56</v>
      </c>
      <c r="D109" s="191">
        <v>6</v>
      </c>
      <c r="E109" s="556">
        <f t="shared" si="14"/>
        <v>6</v>
      </c>
      <c r="F109" s="137">
        <v>0</v>
      </c>
      <c r="G109" s="138">
        <v>187</v>
      </c>
      <c r="H109" s="138">
        <v>187</v>
      </c>
      <c r="I109" s="137">
        <v>0</v>
      </c>
      <c r="J109" s="138">
        <v>256</v>
      </c>
      <c r="K109" s="142">
        <f t="shared" si="15"/>
        <v>256</v>
      </c>
      <c r="L109" s="137" t="s">
        <v>56</v>
      </c>
      <c r="M109" s="138">
        <v>384</v>
      </c>
      <c r="N109" s="142">
        <v>384</v>
      </c>
      <c r="O109" s="246" t="s">
        <v>1885</v>
      </c>
      <c r="P109" s="879">
        <v>69</v>
      </c>
      <c r="R109" s="741"/>
      <c r="S109" s="741"/>
      <c r="T109" s="741"/>
    </row>
    <row r="110" spans="1:24" ht="24" customHeight="1">
      <c r="A110" s="797">
        <v>70</v>
      </c>
      <c r="B110" s="239" t="s">
        <v>795</v>
      </c>
      <c r="C110" s="805" t="s">
        <v>56</v>
      </c>
      <c r="D110" s="806">
        <v>24</v>
      </c>
      <c r="E110" s="807">
        <f t="shared" si="14"/>
        <v>24</v>
      </c>
      <c r="F110" s="713">
        <v>0</v>
      </c>
      <c r="G110" s="714" t="s">
        <v>56</v>
      </c>
      <c r="H110" s="714" t="s">
        <v>56</v>
      </c>
      <c r="I110" s="713">
        <v>0</v>
      </c>
      <c r="J110" s="714">
        <v>229</v>
      </c>
      <c r="K110" s="141">
        <f t="shared" si="15"/>
        <v>229</v>
      </c>
      <c r="L110" s="713" t="s">
        <v>56</v>
      </c>
      <c r="M110" s="714">
        <v>372</v>
      </c>
      <c r="N110" s="141">
        <v>372</v>
      </c>
      <c r="O110" s="635" t="s">
        <v>1821</v>
      </c>
      <c r="P110" s="927">
        <v>70</v>
      </c>
      <c r="R110" s="17"/>
      <c r="S110" s="17"/>
      <c r="T110" s="17"/>
    </row>
    <row r="111" spans="1:24" s="676" customFormat="1" ht="28" customHeight="1">
      <c r="A111" s="397">
        <v>71</v>
      </c>
      <c r="B111" s="297" t="s">
        <v>1279</v>
      </c>
      <c r="C111" s="1039" t="s">
        <v>56</v>
      </c>
      <c r="D111" s="1040">
        <v>9</v>
      </c>
      <c r="E111" s="1040">
        <f>D111</f>
        <v>9</v>
      </c>
      <c r="F111" s="364">
        <v>0</v>
      </c>
      <c r="G111" s="367">
        <v>159</v>
      </c>
      <c r="H111" s="367">
        <v>159</v>
      </c>
      <c r="I111" s="364">
        <v>0</v>
      </c>
      <c r="J111" s="367">
        <v>236</v>
      </c>
      <c r="K111" s="368">
        <f t="shared" si="15"/>
        <v>236</v>
      </c>
      <c r="L111" s="364" t="s">
        <v>56</v>
      </c>
      <c r="M111" s="367">
        <v>395</v>
      </c>
      <c r="N111" s="368">
        <v>395</v>
      </c>
      <c r="O111" s="370" t="s">
        <v>1886</v>
      </c>
      <c r="P111" s="880">
        <v>71</v>
      </c>
      <c r="R111" s="641"/>
      <c r="S111" s="641"/>
      <c r="T111" s="741"/>
    </row>
    <row r="112" spans="1:24" ht="14.25" hidden="1" customHeight="1">
      <c r="A112" s="1508" t="s">
        <v>1188</v>
      </c>
      <c r="B112" s="1508"/>
      <c r="C112" s="168"/>
      <c r="D112" s="168"/>
      <c r="E112" s="157"/>
      <c r="F112" s="168"/>
      <c r="G112" s="168"/>
      <c r="H112" s="168"/>
      <c r="I112" s="168"/>
      <c r="J112" s="168"/>
      <c r="K112" s="168"/>
      <c r="L112" s="168"/>
      <c r="M112" s="168"/>
      <c r="N112" s="168"/>
      <c r="O112" s="1509" t="s">
        <v>1297</v>
      </c>
      <c r="P112" s="1509"/>
      <c r="Q112"/>
      <c r="R112"/>
      <c r="S112"/>
      <c r="T112"/>
      <c r="U112"/>
      <c r="V112"/>
      <c r="W112"/>
      <c r="X112"/>
    </row>
    <row r="113" spans="1:24" ht="14.25" hidden="1" customHeight="1">
      <c r="A113" s="1520"/>
      <c r="B113" s="1520"/>
      <c r="C113" s="157"/>
      <c r="D113" s="157"/>
      <c r="E113" s="157"/>
      <c r="F113" s="168"/>
      <c r="G113" s="168"/>
      <c r="H113" s="168"/>
      <c r="I113" s="168"/>
      <c r="J113" s="168"/>
      <c r="K113" s="168"/>
      <c r="L113" s="1526" t="s">
        <v>1298</v>
      </c>
      <c r="M113" s="1526"/>
      <c r="N113" s="1526"/>
      <c r="O113" s="1526"/>
      <c r="P113" s="1526"/>
      <c r="Q113"/>
      <c r="R113"/>
      <c r="S113"/>
      <c r="T113"/>
      <c r="U113"/>
      <c r="V113"/>
      <c r="W113"/>
      <c r="X113"/>
    </row>
    <row r="114" spans="1:24" ht="18" hidden="1" customHeight="1">
      <c r="A114" s="1438" t="s">
        <v>621</v>
      </c>
      <c r="B114" s="1468" t="s">
        <v>286</v>
      </c>
      <c r="C114" s="1320" t="s">
        <v>1307</v>
      </c>
      <c r="D114" s="1470"/>
      <c r="E114" s="1449"/>
      <c r="F114" s="1320" t="s">
        <v>1219</v>
      </c>
      <c r="G114" s="1470"/>
      <c r="H114" s="1449"/>
      <c r="I114" s="1320" t="s">
        <v>1218</v>
      </c>
      <c r="J114" s="1470"/>
      <c r="K114" s="1449"/>
      <c r="L114" s="1320" t="s">
        <v>79</v>
      </c>
      <c r="M114" s="1470"/>
      <c r="N114" s="1449"/>
      <c r="O114" s="1438" t="s">
        <v>1575</v>
      </c>
      <c r="P114" s="1471" t="s">
        <v>727</v>
      </c>
    </row>
    <row r="115" spans="1:24" ht="18" hidden="1" customHeight="1">
      <c r="A115" s="1439"/>
      <c r="B115" s="1468"/>
      <c r="C115" s="1280"/>
      <c r="D115" s="1474"/>
      <c r="E115" s="1475"/>
      <c r="F115" s="1280"/>
      <c r="G115" s="1474"/>
      <c r="H115" s="1475"/>
      <c r="I115" s="1280"/>
      <c r="J115" s="1474"/>
      <c r="K115" s="1475"/>
      <c r="L115" s="1280"/>
      <c r="M115" s="1474"/>
      <c r="N115" s="1475"/>
      <c r="O115" s="1439"/>
      <c r="P115" s="1472"/>
    </row>
    <row r="116" spans="1:24" ht="18" hidden="1" customHeight="1">
      <c r="A116" s="1439"/>
      <c r="B116" s="1468"/>
      <c r="C116" s="1280" t="s">
        <v>138</v>
      </c>
      <c r="D116" s="1474"/>
      <c r="E116" s="1475"/>
      <c r="F116" s="1280" t="s">
        <v>1186</v>
      </c>
      <c r="G116" s="1474"/>
      <c r="H116" s="1475"/>
      <c r="I116" s="1280" t="s">
        <v>587</v>
      </c>
      <c r="J116" s="1474"/>
      <c r="K116" s="1475"/>
      <c r="L116" s="1280" t="s">
        <v>137</v>
      </c>
      <c r="M116" s="1474"/>
      <c r="N116" s="1475"/>
      <c r="O116" s="1439"/>
      <c r="P116" s="1472"/>
    </row>
    <row r="117" spans="1:24" ht="18" hidden="1" customHeight="1">
      <c r="A117" s="1439"/>
      <c r="B117" s="1469"/>
      <c r="C117" s="1280" t="s">
        <v>583</v>
      </c>
      <c r="D117" s="1474" t="s">
        <v>581</v>
      </c>
      <c r="E117" s="1475" t="s">
        <v>489</v>
      </c>
      <c r="F117" s="1280" t="s">
        <v>583</v>
      </c>
      <c r="G117" s="1474" t="s">
        <v>589</v>
      </c>
      <c r="H117" s="1475" t="s">
        <v>489</v>
      </c>
      <c r="I117" s="1280" t="s">
        <v>583</v>
      </c>
      <c r="J117" s="1474" t="s">
        <v>589</v>
      </c>
      <c r="K117" s="1475" t="s">
        <v>489</v>
      </c>
      <c r="L117" s="1280" t="s">
        <v>583</v>
      </c>
      <c r="M117" s="1474" t="s">
        <v>588</v>
      </c>
      <c r="N117" s="1475" t="s">
        <v>489</v>
      </c>
      <c r="O117" s="1439"/>
      <c r="P117" s="1472"/>
    </row>
    <row r="118" spans="1:24" ht="18" hidden="1" customHeight="1">
      <c r="A118" s="1439"/>
      <c r="B118" s="1469"/>
      <c r="C118" s="1280"/>
      <c r="D118" s="1474"/>
      <c r="E118" s="1475"/>
      <c r="F118" s="1280"/>
      <c r="G118" s="1474"/>
      <c r="H118" s="1475"/>
      <c r="I118" s="1280"/>
      <c r="J118" s="1474"/>
      <c r="K118" s="1475"/>
      <c r="L118" s="1280"/>
      <c r="M118" s="1474"/>
      <c r="N118" s="1475"/>
      <c r="O118" s="1439"/>
      <c r="P118" s="1472"/>
    </row>
    <row r="119" spans="1:24" ht="18" hidden="1" customHeight="1">
      <c r="A119" s="1462"/>
      <c r="B119" s="1469"/>
      <c r="C119" s="872" t="s">
        <v>133</v>
      </c>
      <c r="D119" s="873" t="s">
        <v>134</v>
      </c>
      <c r="E119" s="893" t="s">
        <v>100</v>
      </c>
      <c r="F119" s="872" t="s">
        <v>133</v>
      </c>
      <c r="G119" s="873" t="s">
        <v>134</v>
      </c>
      <c r="H119" s="893" t="s">
        <v>100</v>
      </c>
      <c r="I119" s="872" t="s">
        <v>133</v>
      </c>
      <c r="J119" s="873" t="s">
        <v>134</v>
      </c>
      <c r="K119" s="869" t="s">
        <v>100</v>
      </c>
      <c r="L119" s="872" t="s">
        <v>133</v>
      </c>
      <c r="M119" s="873" t="s">
        <v>134</v>
      </c>
      <c r="N119" s="893" t="s">
        <v>100</v>
      </c>
      <c r="O119" s="1462"/>
      <c r="P119" s="1473"/>
    </row>
    <row r="120" spans="1:24" ht="29" customHeight="1">
      <c r="A120" s="325"/>
      <c r="B120" s="843" t="s">
        <v>796</v>
      </c>
      <c r="C120" s="805"/>
      <c r="D120" s="806"/>
      <c r="E120" s="806"/>
      <c r="F120" s="713"/>
      <c r="G120" s="714"/>
      <c r="H120" s="714"/>
      <c r="I120" s="713"/>
      <c r="J120" s="714"/>
      <c r="K120" s="141"/>
      <c r="L120" s="713"/>
      <c r="M120" s="714"/>
      <c r="N120" s="141"/>
      <c r="O120" s="727" t="s">
        <v>29</v>
      </c>
      <c r="P120" s="878"/>
    </row>
    <row r="121" spans="1:24" s="676" customFormat="1" ht="29" customHeight="1">
      <c r="A121" s="192">
        <v>72</v>
      </c>
      <c r="B121" s="240" t="s">
        <v>778</v>
      </c>
      <c r="C121" s="190" t="s">
        <v>56</v>
      </c>
      <c r="D121" s="191">
        <v>9</v>
      </c>
      <c r="E121" s="556">
        <f t="shared" ref="E121:E124" si="16">D121</f>
        <v>9</v>
      </c>
      <c r="F121" s="137">
        <v>0</v>
      </c>
      <c r="G121" s="138">
        <v>64</v>
      </c>
      <c r="H121" s="138">
        <v>64</v>
      </c>
      <c r="I121" s="137">
        <v>0</v>
      </c>
      <c r="J121" s="138">
        <v>114</v>
      </c>
      <c r="K121" s="142">
        <f>J121+I121</f>
        <v>114</v>
      </c>
      <c r="L121" s="137" t="s">
        <v>56</v>
      </c>
      <c r="M121" s="138">
        <v>178</v>
      </c>
      <c r="N121" s="142">
        <v>178</v>
      </c>
      <c r="O121" s="246" t="s">
        <v>1887</v>
      </c>
      <c r="P121" s="928">
        <v>72</v>
      </c>
    </row>
    <row r="122" spans="1:24" ht="29" customHeight="1">
      <c r="A122" s="325">
        <v>73</v>
      </c>
      <c r="B122" s="799" t="s">
        <v>798</v>
      </c>
      <c r="C122" s="805" t="s">
        <v>56</v>
      </c>
      <c r="D122" s="806">
        <v>8</v>
      </c>
      <c r="E122" s="806">
        <f t="shared" si="16"/>
        <v>8</v>
      </c>
      <c r="F122" s="713">
        <v>0</v>
      </c>
      <c r="G122" s="714" t="s">
        <v>56</v>
      </c>
      <c r="H122" s="714" t="s">
        <v>56</v>
      </c>
      <c r="I122" s="713">
        <v>0</v>
      </c>
      <c r="J122" s="714">
        <v>53</v>
      </c>
      <c r="K122" s="141">
        <f>J122+I122</f>
        <v>53</v>
      </c>
      <c r="L122" s="713" t="s">
        <v>56</v>
      </c>
      <c r="M122" s="714">
        <v>0</v>
      </c>
      <c r="N122" s="141">
        <v>0</v>
      </c>
      <c r="O122" s="635" t="s">
        <v>1888</v>
      </c>
      <c r="P122" s="878">
        <v>73</v>
      </c>
    </row>
    <row r="123" spans="1:24" ht="29" customHeight="1">
      <c r="A123" s="192">
        <v>74</v>
      </c>
      <c r="B123" s="298" t="s">
        <v>800</v>
      </c>
      <c r="C123" s="190" t="s">
        <v>56</v>
      </c>
      <c r="D123" s="191">
        <v>10</v>
      </c>
      <c r="E123" s="556">
        <f t="shared" si="16"/>
        <v>10</v>
      </c>
      <c r="F123" s="137">
        <v>0</v>
      </c>
      <c r="G123" s="138">
        <v>93</v>
      </c>
      <c r="H123" s="138">
        <v>93</v>
      </c>
      <c r="I123" s="137">
        <v>0</v>
      </c>
      <c r="J123" s="138">
        <v>0</v>
      </c>
      <c r="K123" s="142">
        <v>0</v>
      </c>
      <c r="L123" s="137" t="s">
        <v>56</v>
      </c>
      <c r="M123" s="138">
        <v>93</v>
      </c>
      <c r="N123" s="142">
        <v>93</v>
      </c>
      <c r="O123" s="246" t="s">
        <v>1889</v>
      </c>
      <c r="P123" s="928">
        <v>74</v>
      </c>
    </row>
    <row r="124" spans="1:24" s="676" customFormat="1" ht="29" customHeight="1">
      <c r="A124" s="325">
        <v>75</v>
      </c>
      <c r="B124" s="271" t="s">
        <v>768</v>
      </c>
      <c r="C124" s="805" t="s">
        <v>56</v>
      </c>
      <c r="D124" s="806">
        <v>10</v>
      </c>
      <c r="E124" s="806">
        <f t="shared" si="16"/>
        <v>10</v>
      </c>
      <c r="F124" s="713">
        <v>0</v>
      </c>
      <c r="G124" s="714">
        <v>55</v>
      </c>
      <c r="H124" s="714">
        <v>55</v>
      </c>
      <c r="I124" s="713">
        <v>0</v>
      </c>
      <c r="J124" s="714">
        <v>72</v>
      </c>
      <c r="K124" s="141">
        <f>J124+I124</f>
        <v>72</v>
      </c>
      <c r="L124" s="713" t="s">
        <v>56</v>
      </c>
      <c r="M124" s="714">
        <v>0</v>
      </c>
      <c r="N124" s="141">
        <v>0</v>
      </c>
      <c r="O124" s="635" t="s">
        <v>1890</v>
      </c>
      <c r="P124" s="878">
        <v>75</v>
      </c>
    </row>
    <row r="125" spans="1:24" ht="29" customHeight="1">
      <c r="A125" s="396"/>
      <c r="B125" s="622" t="s">
        <v>803</v>
      </c>
      <c r="C125" s="190"/>
      <c r="D125" s="191"/>
      <c r="E125" s="191"/>
      <c r="F125" s="137"/>
      <c r="G125" s="138"/>
      <c r="H125" s="138"/>
      <c r="I125" s="137"/>
      <c r="J125" s="138"/>
      <c r="K125" s="142"/>
      <c r="L125" s="137"/>
      <c r="M125" s="138"/>
      <c r="N125" s="142"/>
      <c r="O125" s="443" t="s">
        <v>30</v>
      </c>
      <c r="P125" s="879"/>
    </row>
    <row r="126" spans="1:24" s="676" customFormat="1" ht="29" customHeight="1">
      <c r="A126" s="797">
        <v>76</v>
      </c>
      <c r="B126" s="239" t="s">
        <v>778</v>
      </c>
      <c r="C126" s="805" t="s">
        <v>56</v>
      </c>
      <c r="D126" s="806">
        <v>4</v>
      </c>
      <c r="E126" s="807">
        <f t="shared" ref="E126:E127" si="17">D126</f>
        <v>4</v>
      </c>
      <c r="F126" s="713">
        <v>0</v>
      </c>
      <c r="G126" s="714">
        <v>74</v>
      </c>
      <c r="H126" s="714">
        <v>74</v>
      </c>
      <c r="I126" s="713">
        <v>0</v>
      </c>
      <c r="J126" s="714">
        <v>170</v>
      </c>
      <c r="K126" s="141">
        <f>J126+I126</f>
        <v>170</v>
      </c>
      <c r="L126" s="713" t="s">
        <v>56</v>
      </c>
      <c r="M126" s="714">
        <v>244</v>
      </c>
      <c r="N126" s="141">
        <v>244</v>
      </c>
      <c r="O126" s="635" t="s">
        <v>1887</v>
      </c>
      <c r="P126" s="927">
        <v>76</v>
      </c>
    </row>
    <row r="127" spans="1:24" ht="29" customHeight="1">
      <c r="A127" s="396">
        <v>77</v>
      </c>
      <c r="B127" s="577" t="s">
        <v>1280</v>
      </c>
      <c r="C127" s="190" t="s">
        <v>56</v>
      </c>
      <c r="D127" s="191">
        <v>13</v>
      </c>
      <c r="E127" s="191">
        <f t="shared" si="17"/>
        <v>13</v>
      </c>
      <c r="F127" s="137">
        <v>0</v>
      </c>
      <c r="G127" s="138">
        <v>7</v>
      </c>
      <c r="H127" s="138">
        <v>7</v>
      </c>
      <c r="I127" s="137">
        <v>0</v>
      </c>
      <c r="J127" s="138">
        <v>189</v>
      </c>
      <c r="K127" s="142">
        <f>J127+I127</f>
        <v>189</v>
      </c>
      <c r="L127" s="137" t="s">
        <v>56</v>
      </c>
      <c r="M127" s="138">
        <v>202</v>
      </c>
      <c r="N127" s="142">
        <v>202</v>
      </c>
      <c r="O127" s="246" t="s">
        <v>1891</v>
      </c>
      <c r="P127" s="879">
        <v>77</v>
      </c>
    </row>
    <row r="128" spans="1:24" ht="29" customHeight="1">
      <c r="A128" s="325"/>
      <c r="B128" s="843" t="s">
        <v>145</v>
      </c>
      <c r="C128" s="805"/>
      <c r="D128" s="806"/>
      <c r="E128" s="806"/>
      <c r="F128" s="713"/>
      <c r="G128" s="714"/>
      <c r="H128" s="714"/>
      <c r="I128" s="713"/>
      <c r="J128" s="714"/>
      <c r="K128" s="141"/>
      <c r="L128" s="713"/>
      <c r="M128" s="714"/>
      <c r="N128" s="141"/>
      <c r="O128" s="727" t="s">
        <v>20</v>
      </c>
      <c r="P128" s="878"/>
    </row>
    <row r="129" spans="1:24" s="676" customFormat="1" ht="29" customHeight="1">
      <c r="A129" s="192">
        <v>78</v>
      </c>
      <c r="B129" s="240" t="s">
        <v>1245</v>
      </c>
      <c r="C129" s="190">
        <v>4</v>
      </c>
      <c r="D129" s="191">
        <v>2</v>
      </c>
      <c r="E129" s="556">
        <f t="shared" ref="E129:E134" si="18">D129+C129</f>
        <v>6</v>
      </c>
      <c r="F129" s="137">
        <v>0</v>
      </c>
      <c r="G129" s="138" t="s">
        <v>56</v>
      </c>
      <c r="H129" s="138" t="s">
        <v>56</v>
      </c>
      <c r="I129" s="137">
        <v>0</v>
      </c>
      <c r="J129" s="138">
        <v>0</v>
      </c>
      <c r="K129" s="142">
        <f>J129+I129</f>
        <v>0</v>
      </c>
      <c r="L129" s="137" t="s">
        <v>56</v>
      </c>
      <c r="M129" s="138">
        <v>0</v>
      </c>
      <c r="N129" s="142">
        <v>0</v>
      </c>
      <c r="O129" s="246" t="s">
        <v>1892</v>
      </c>
      <c r="P129" s="928">
        <v>78</v>
      </c>
    </row>
    <row r="130" spans="1:24" ht="29" customHeight="1">
      <c r="A130" s="325">
        <v>79</v>
      </c>
      <c r="B130" s="271" t="s">
        <v>310</v>
      </c>
      <c r="C130" s="713" t="s">
        <v>56</v>
      </c>
      <c r="D130" s="134">
        <v>6</v>
      </c>
      <c r="E130" s="135">
        <f t="shared" ref="E130:E132" si="19">D130</f>
        <v>6</v>
      </c>
      <c r="F130" s="713">
        <v>0</v>
      </c>
      <c r="G130" s="714">
        <v>68</v>
      </c>
      <c r="H130" s="141">
        <v>68</v>
      </c>
      <c r="I130" s="713">
        <v>0</v>
      </c>
      <c r="J130" s="714">
        <v>54</v>
      </c>
      <c r="K130" s="141">
        <f>J130+I130</f>
        <v>54</v>
      </c>
      <c r="L130" s="714" t="s">
        <v>56</v>
      </c>
      <c r="M130" s="714">
        <v>0</v>
      </c>
      <c r="N130" s="141">
        <v>0</v>
      </c>
      <c r="O130" s="643" t="s">
        <v>1893</v>
      </c>
      <c r="P130" s="878">
        <v>79</v>
      </c>
    </row>
    <row r="131" spans="1:24" ht="29" customHeight="1">
      <c r="A131" s="192">
        <v>80</v>
      </c>
      <c r="B131" s="241" t="s">
        <v>311</v>
      </c>
      <c r="C131" s="137" t="s">
        <v>56</v>
      </c>
      <c r="D131" s="139">
        <v>21</v>
      </c>
      <c r="E131" s="140">
        <f t="shared" si="19"/>
        <v>21</v>
      </c>
      <c r="F131" s="138">
        <v>0</v>
      </c>
      <c r="G131" s="138" t="s">
        <v>56</v>
      </c>
      <c r="H131" s="142" t="s">
        <v>56</v>
      </c>
      <c r="I131" s="138">
        <v>0</v>
      </c>
      <c r="J131" s="138">
        <v>167</v>
      </c>
      <c r="K131" s="142">
        <f>J131+I131</f>
        <v>167</v>
      </c>
      <c r="L131" s="138" t="s">
        <v>56</v>
      </c>
      <c r="M131" s="138">
        <v>156</v>
      </c>
      <c r="N131" s="142">
        <v>156</v>
      </c>
      <c r="O131" s="238" t="s">
        <v>1894</v>
      </c>
      <c r="P131" s="928">
        <v>80</v>
      </c>
    </row>
    <row r="132" spans="1:24" s="676" customFormat="1" ht="29" customHeight="1">
      <c r="A132" s="325">
        <v>81</v>
      </c>
      <c r="B132" s="271" t="s">
        <v>312</v>
      </c>
      <c r="C132" s="713" t="s">
        <v>56</v>
      </c>
      <c r="D132" s="134">
        <v>18</v>
      </c>
      <c r="E132" s="134">
        <f t="shared" si="19"/>
        <v>18</v>
      </c>
      <c r="F132" s="713">
        <v>0</v>
      </c>
      <c r="G132" s="714">
        <v>103</v>
      </c>
      <c r="H132" s="714">
        <v>103</v>
      </c>
      <c r="I132" s="713">
        <v>0</v>
      </c>
      <c r="J132" s="714">
        <v>129</v>
      </c>
      <c r="K132" s="141">
        <f>J132+I132</f>
        <v>129</v>
      </c>
      <c r="L132" s="714" t="s">
        <v>56</v>
      </c>
      <c r="M132" s="714">
        <v>243</v>
      </c>
      <c r="N132" s="141">
        <v>243</v>
      </c>
      <c r="O132" s="635" t="s">
        <v>1895</v>
      </c>
      <c r="P132" s="878">
        <v>81</v>
      </c>
    </row>
    <row r="133" spans="1:24" ht="29" customHeight="1">
      <c r="A133" s="192">
        <v>82</v>
      </c>
      <c r="B133" s="241" t="s">
        <v>313</v>
      </c>
      <c r="C133" s="137" t="s">
        <v>56</v>
      </c>
      <c r="D133" s="139" t="s">
        <v>56</v>
      </c>
      <c r="E133" s="140" t="s">
        <v>56</v>
      </c>
      <c r="F133" s="138">
        <v>0</v>
      </c>
      <c r="G133" s="138">
        <v>139</v>
      </c>
      <c r="H133" s="142">
        <v>139</v>
      </c>
      <c r="I133" s="138">
        <v>0</v>
      </c>
      <c r="J133" s="138">
        <v>0</v>
      </c>
      <c r="K133" s="142">
        <v>0</v>
      </c>
      <c r="L133" s="138" t="s">
        <v>56</v>
      </c>
      <c r="M133" s="138">
        <v>181</v>
      </c>
      <c r="N133" s="142">
        <v>181</v>
      </c>
      <c r="O133" s="238" t="s">
        <v>1896</v>
      </c>
      <c r="P133" s="928">
        <v>82</v>
      </c>
    </row>
    <row r="134" spans="1:24" s="676" customFormat="1" ht="29" customHeight="1">
      <c r="A134" s="325">
        <v>83</v>
      </c>
      <c r="B134" s="271" t="s">
        <v>314</v>
      </c>
      <c r="C134" s="713">
        <v>1</v>
      </c>
      <c r="D134" s="134">
        <v>14</v>
      </c>
      <c r="E134" s="134">
        <f t="shared" si="18"/>
        <v>15</v>
      </c>
      <c r="F134" s="713">
        <v>0</v>
      </c>
      <c r="G134" s="714">
        <v>85</v>
      </c>
      <c r="H134" s="714">
        <v>85</v>
      </c>
      <c r="I134" s="713">
        <v>0</v>
      </c>
      <c r="J134" s="714">
        <v>200</v>
      </c>
      <c r="K134" s="141">
        <f>J134+I134</f>
        <v>200</v>
      </c>
      <c r="L134" s="714" t="s">
        <v>56</v>
      </c>
      <c r="M134" s="714">
        <v>296</v>
      </c>
      <c r="N134" s="141">
        <v>296</v>
      </c>
      <c r="O134" s="635" t="s">
        <v>1897</v>
      </c>
      <c r="P134" s="878">
        <v>83</v>
      </c>
    </row>
    <row r="135" spans="1:24" ht="29" customHeight="1">
      <c r="A135" s="192">
        <v>84</v>
      </c>
      <c r="B135" s="240" t="s">
        <v>315</v>
      </c>
      <c r="C135" s="137" t="s">
        <v>56</v>
      </c>
      <c r="D135" s="139">
        <v>11</v>
      </c>
      <c r="E135" s="140">
        <f t="shared" ref="E135:E137" si="20">D135</f>
        <v>11</v>
      </c>
      <c r="F135" s="137">
        <v>0</v>
      </c>
      <c r="G135" s="138">
        <v>75</v>
      </c>
      <c r="H135" s="142">
        <v>75</v>
      </c>
      <c r="I135" s="138">
        <v>0</v>
      </c>
      <c r="J135" s="138">
        <v>95</v>
      </c>
      <c r="K135" s="142">
        <f>J135+I135</f>
        <v>95</v>
      </c>
      <c r="L135" s="138" t="s">
        <v>56</v>
      </c>
      <c r="M135" s="138">
        <v>192</v>
      </c>
      <c r="N135" s="142">
        <v>192</v>
      </c>
      <c r="O135" s="238" t="s">
        <v>1898</v>
      </c>
      <c r="P135" s="928">
        <v>84</v>
      </c>
    </row>
    <row r="136" spans="1:24" s="676" customFormat="1" ht="29" customHeight="1">
      <c r="A136" s="325">
        <v>85</v>
      </c>
      <c r="B136" s="271" t="s">
        <v>659</v>
      </c>
      <c r="C136" s="713" t="s">
        <v>56</v>
      </c>
      <c r="D136" s="134">
        <v>4</v>
      </c>
      <c r="E136" s="134">
        <f t="shared" si="20"/>
        <v>4</v>
      </c>
      <c r="F136" s="713">
        <v>0</v>
      </c>
      <c r="G136" s="714">
        <v>18</v>
      </c>
      <c r="H136" s="714">
        <v>18</v>
      </c>
      <c r="I136" s="713">
        <v>0</v>
      </c>
      <c r="J136" s="714">
        <v>50</v>
      </c>
      <c r="K136" s="141">
        <f>J136+I136</f>
        <v>50</v>
      </c>
      <c r="L136" s="713" t="s">
        <v>56</v>
      </c>
      <c r="M136" s="714">
        <v>86</v>
      </c>
      <c r="N136" s="141">
        <v>86</v>
      </c>
      <c r="O136" s="643" t="s">
        <v>1899</v>
      </c>
      <c r="P136" s="927">
        <v>85</v>
      </c>
    </row>
    <row r="137" spans="1:24" ht="29" customHeight="1">
      <c r="A137" s="586">
        <v>86</v>
      </c>
      <c r="B137" s="297" t="s">
        <v>714</v>
      </c>
      <c r="C137" s="364" t="s">
        <v>56</v>
      </c>
      <c r="D137" s="365">
        <v>5</v>
      </c>
      <c r="E137" s="366">
        <f t="shared" si="20"/>
        <v>5</v>
      </c>
      <c r="F137" s="364">
        <v>0</v>
      </c>
      <c r="G137" s="367">
        <v>21</v>
      </c>
      <c r="H137" s="367">
        <v>21</v>
      </c>
      <c r="I137" s="364">
        <v>0</v>
      </c>
      <c r="J137" s="367">
        <v>20</v>
      </c>
      <c r="K137" s="368">
        <f>J137+I137</f>
        <v>20</v>
      </c>
      <c r="L137" s="367" t="s">
        <v>56</v>
      </c>
      <c r="M137" s="367">
        <v>53</v>
      </c>
      <c r="N137" s="368">
        <v>53</v>
      </c>
      <c r="O137" s="293" t="s">
        <v>1900</v>
      </c>
      <c r="P137" s="929">
        <v>86</v>
      </c>
    </row>
    <row r="138" spans="1:24" ht="14.25" hidden="1" customHeight="1">
      <c r="A138" s="1508" t="s">
        <v>1188</v>
      </c>
      <c r="B138" s="1508"/>
      <c r="C138" s="168"/>
      <c r="D138" s="168"/>
      <c r="E138" s="157"/>
      <c r="F138" s="168"/>
      <c r="G138" s="168"/>
      <c r="H138" s="168"/>
      <c r="I138" s="168"/>
      <c r="J138" s="168"/>
      <c r="K138" s="168"/>
      <c r="L138" s="168"/>
      <c r="M138" s="168"/>
      <c r="N138" s="168"/>
      <c r="O138" s="1509" t="s">
        <v>1297</v>
      </c>
      <c r="P138" s="1509"/>
      <c r="Q138"/>
      <c r="R138"/>
      <c r="S138"/>
      <c r="T138"/>
      <c r="U138"/>
      <c r="V138"/>
      <c r="W138"/>
      <c r="X138"/>
    </row>
    <row r="139" spans="1:24" ht="14.25" hidden="1" customHeight="1">
      <c r="A139" s="1520"/>
      <c r="B139" s="1520"/>
      <c r="C139" s="157"/>
      <c r="D139" s="157"/>
      <c r="E139" s="157"/>
      <c r="F139" s="168"/>
      <c r="G139" s="168"/>
      <c r="H139" s="168"/>
      <c r="I139" s="168"/>
      <c r="J139" s="168"/>
      <c r="K139" s="168"/>
      <c r="L139" s="1526" t="s">
        <v>1298</v>
      </c>
      <c r="M139" s="1526"/>
      <c r="N139" s="1526"/>
      <c r="O139" s="1526"/>
      <c r="P139" s="1526"/>
      <c r="Q139"/>
      <c r="R139"/>
      <c r="S139"/>
      <c r="T139"/>
      <c r="U139"/>
      <c r="V139"/>
      <c r="W139"/>
      <c r="X139"/>
    </row>
    <row r="140" spans="1:24" s="676" customFormat="1" ht="18" hidden="1" customHeight="1">
      <c r="A140" s="1438" t="s">
        <v>621</v>
      </c>
      <c r="B140" s="1438" t="s">
        <v>286</v>
      </c>
      <c r="C140" s="1320" t="s">
        <v>1307</v>
      </c>
      <c r="D140" s="1470"/>
      <c r="E140" s="1449"/>
      <c r="F140" s="1320" t="s">
        <v>1219</v>
      </c>
      <c r="G140" s="1470"/>
      <c r="H140" s="1449"/>
      <c r="I140" s="1320" t="s">
        <v>1218</v>
      </c>
      <c r="J140" s="1470"/>
      <c r="K140" s="1449"/>
      <c r="L140" s="1320" t="s">
        <v>79</v>
      </c>
      <c r="M140" s="1470"/>
      <c r="N140" s="1449"/>
      <c r="O140" s="1438" t="s">
        <v>1575</v>
      </c>
      <c r="P140" s="1471" t="s">
        <v>727</v>
      </c>
    </row>
    <row r="141" spans="1:24" ht="18" hidden="1" customHeight="1">
      <c r="A141" s="1439"/>
      <c r="B141" s="1439"/>
      <c r="C141" s="1280"/>
      <c r="D141" s="1474"/>
      <c r="E141" s="1475"/>
      <c r="F141" s="1280"/>
      <c r="G141" s="1474"/>
      <c r="H141" s="1475"/>
      <c r="I141" s="1280"/>
      <c r="J141" s="1474"/>
      <c r="K141" s="1475"/>
      <c r="L141" s="1280"/>
      <c r="M141" s="1474"/>
      <c r="N141" s="1475"/>
      <c r="O141" s="1439"/>
      <c r="P141" s="1472"/>
    </row>
    <row r="142" spans="1:24" ht="18" hidden="1" customHeight="1">
      <c r="A142" s="1439"/>
      <c r="B142" s="1439"/>
      <c r="C142" s="1280" t="s">
        <v>138</v>
      </c>
      <c r="D142" s="1474"/>
      <c r="E142" s="1475"/>
      <c r="F142" s="1280" t="s">
        <v>1186</v>
      </c>
      <c r="G142" s="1474"/>
      <c r="H142" s="1475"/>
      <c r="I142" s="1280" t="s">
        <v>587</v>
      </c>
      <c r="J142" s="1474"/>
      <c r="K142" s="1475"/>
      <c r="L142" s="1280" t="s">
        <v>137</v>
      </c>
      <c r="M142" s="1474"/>
      <c r="N142" s="1475"/>
      <c r="O142" s="1439"/>
      <c r="P142" s="1472"/>
    </row>
    <row r="143" spans="1:24" ht="18" hidden="1" customHeight="1">
      <c r="A143" s="1439"/>
      <c r="B143" s="1439"/>
      <c r="C143" s="1280" t="s">
        <v>583</v>
      </c>
      <c r="D143" s="1474" t="s">
        <v>581</v>
      </c>
      <c r="E143" s="1475" t="s">
        <v>489</v>
      </c>
      <c r="F143" s="1280" t="s">
        <v>583</v>
      </c>
      <c r="G143" s="1474" t="s">
        <v>589</v>
      </c>
      <c r="H143" s="1475" t="s">
        <v>489</v>
      </c>
      <c r="I143" s="1280" t="s">
        <v>583</v>
      </c>
      <c r="J143" s="1506" t="s">
        <v>589</v>
      </c>
      <c r="K143" s="1475" t="s">
        <v>489</v>
      </c>
      <c r="L143" s="1280" t="s">
        <v>583</v>
      </c>
      <c r="M143" s="1474" t="s">
        <v>588</v>
      </c>
      <c r="N143" s="1475" t="s">
        <v>489</v>
      </c>
      <c r="O143" s="1439"/>
      <c r="P143" s="1472"/>
    </row>
    <row r="144" spans="1:24" ht="21" hidden="1" customHeight="1">
      <c r="A144" s="1439"/>
      <c r="B144" s="1439"/>
      <c r="C144" s="1280"/>
      <c r="D144" s="1474"/>
      <c r="E144" s="1475"/>
      <c r="F144" s="1280"/>
      <c r="G144" s="1474"/>
      <c r="H144" s="1475"/>
      <c r="I144" s="1280"/>
      <c r="J144" s="1506"/>
      <c r="K144" s="1475"/>
      <c r="L144" s="1280"/>
      <c r="M144" s="1474"/>
      <c r="N144" s="1475"/>
      <c r="O144" s="1439"/>
      <c r="P144" s="1472"/>
    </row>
    <row r="145" spans="1:16" ht="18" hidden="1" customHeight="1">
      <c r="A145" s="1462"/>
      <c r="B145" s="1462"/>
      <c r="C145" s="872" t="s">
        <v>133</v>
      </c>
      <c r="D145" s="873" t="s">
        <v>134</v>
      </c>
      <c r="E145" s="893" t="s">
        <v>100</v>
      </c>
      <c r="F145" s="872" t="s">
        <v>133</v>
      </c>
      <c r="G145" s="873" t="s">
        <v>134</v>
      </c>
      <c r="H145" s="893" t="s">
        <v>100</v>
      </c>
      <c r="I145" s="872" t="s">
        <v>133</v>
      </c>
      <c r="J145" s="873" t="s">
        <v>134</v>
      </c>
      <c r="K145" s="869" t="s">
        <v>100</v>
      </c>
      <c r="L145" s="872" t="s">
        <v>133</v>
      </c>
      <c r="M145" s="873" t="s">
        <v>134</v>
      </c>
      <c r="N145" s="893" t="s">
        <v>100</v>
      </c>
      <c r="O145" s="1462"/>
      <c r="P145" s="1473"/>
    </row>
    <row r="146" spans="1:16" ht="28" customHeight="1">
      <c r="A146" s="848"/>
      <c r="B146" s="847" t="s">
        <v>109</v>
      </c>
      <c r="C146" s="990"/>
      <c r="D146" s="991"/>
      <c r="E146" s="993"/>
      <c r="F146" s="990"/>
      <c r="G146" s="991"/>
      <c r="H146" s="992"/>
      <c r="I146" s="990"/>
      <c r="J146" s="991"/>
      <c r="K146" s="1015"/>
      <c r="L146" s="990"/>
      <c r="M146" s="991"/>
      <c r="N146" s="992"/>
      <c r="O146" s="999" t="s">
        <v>21</v>
      </c>
      <c r="P146" s="995"/>
    </row>
    <row r="147" spans="1:16" ht="28" customHeight="1">
      <c r="A147" s="396">
        <v>87</v>
      </c>
      <c r="B147" s="241" t="s">
        <v>784</v>
      </c>
      <c r="C147" s="137">
        <v>1</v>
      </c>
      <c r="D147" s="139">
        <v>14</v>
      </c>
      <c r="E147" s="139">
        <f>D147+C147</f>
        <v>15</v>
      </c>
      <c r="F147" s="137">
        <v>0</v>
      </c>
      <c r="G147" s="138">
        <v>47</v>
      </c>
      <c r="H147" s="138">
        <v>47</v>
      </c>
      <c r="I147" s="137">
        <v>0</v>
      </c>
      <c r="J147" s="138">
        <v>156</v>
      </c>
      <c r="K147" s="142">
        <f>J147+I147</f>
        <v>156</v>
      </c>
      <c r="L147" s="138" t="s">
        <v>56</v>
      </c>
      <c r="M147" s="138">
        <v>212</v>
      </c>
      <c r="N147" s="142">
        <v>212</v>
      </c>
      <c r="O147" s="246" t="s">
        <v>1881</v>
      </c>
      <c r="P147" s="879">
        <v>87</v>
      </c>
    </row>
    <row r="148" spans="1:16" ht="28" customHeight="1">
      <c r="A148" s="797">
        <v>88</v>
      </c>
      <c r="B148" s="271" t="s">
        <v>778</v>
      </c>
      <c r="C148" s="713">
        <v>1</v>
      </c>
      <c r="D148" s="134">
        <v>4</v>
      </c>
      <c r="E148" s="135">
        <f t="shared" ref="E148" si="21">D148+C148</f>
        <v>5</v>
      </c>
      <c r="F148" s="714">
        <v>0</v>
      </c>
      <c r="G148" s="714">
        <v>42</v>
      </c>
      <c r="H148" s="141">
        <v>42</v>
      </c>
      <c r="I148" s="714">
        <v>0</v>
      </c>
      <c r="J148" s="714">
        <v>55</v>
      </c>
      <c r="K148" s="141">
        <f>J148+I148</f>
        <v>55</v>
      </c>
      <c r="L148" s="714" t="s">
        <v>56</v>
      </c>
      <c r="M148" s="714">
        <v>97</v>
      </c>
      <c r="N148" s="141">
        <v>97</v>
      </c>
      <c r="O148" s="643" t="s">
        <v>1887</v>
      </c>
      <c r="P148" s="927">
        <v>88</v>
      </c>
    </row>
    <row r="149" spans="1:16" ht="28" customHeight="1">
      <c r="A149" s="396">
        <v>89</v>
      </c>
      <c r="B149" s="577" t="s">
        <v>804</v>
      </c>
      <c r="C149" s="137" t="s">
        <v>56</v>
      </c>
      <c r="D149" s="139">
        <v>7</v>
      </c>
      <c r="E149" s="139">
        <f t="shared" ref="E149:E151" si="22">D149</f>
        <v>7</v>
      </c>
      <c r="F149" s="137">
        <v>0</v>
      </c>
      <c r="G149" s="138">
        <v>40</v>
      </c>
      <c r="H149" s="138">
        <v>40</v>
      </c>
      <c r="I149" s="137">
        <v>0</v>
      </c>
      <c r="J149" s="138">
        <v>221</v>
      </c>
      <c r="K149" s="142">
        <f>J149+I149</f>
        <v>221</v>
      </c>
      <c r="L149" s="138" t="s">
        <v>56</v>
      </c>
      <c r="M149" s="138">
        <v>261</v>
      </c>
      <c r="N149" s="142">
        <v>261</v>
      </c>
      <c r="O149" s="246" t="s">
        <v>1891</v>
      </c>
      <c r="P149" s="879">
        <v>89</v>
      </c>
    </row>
    <row r="150" spans="1:16" s="676" customFormat="1" ht="28" customHeight="1">
      <c r="A150" s="797">
        <v>90</v>
      </c>
      <c r="B150" s="271" t="s">
        <v>1281</v>
      </c>
      <c r="C150" s="713" t="s">
        <v>56</v>
      </c>
      <c r="D150" s="134">
        <v>6</v>
      </c>
      <c r="E150" s="135">
        <f t="shared" si="22"/>
        <v>6</v>
      </c>
      <c r="F150" s="714">
        <v>0</v>
      </c>
      <c r="G150" s="714">
        <v>10</v>
      </c>
      <c r="H150" s="141">
        <v>10</v>
      </c>
      <c r="I150" s="714">
        <v>0</v>
      </c>
      <c r="J150" s="714">
        <v>58</v>
      </c>
      <c r="K150" s="141">
        <f>J150+I150</f>
        <v>58</v>
      </c>
      <c r="L150" s="714" t="s">
        <v>56</v>
      </c>
      <c r="M150" s="714">
        <v>74</v>
      </c>
      <c r="N150" s="141">
        <v>74</v>
      </c>
      <c r="O150" s="643" t="s">
        <v>1901</v>
      </c>
      <c r="P150" s="927">
        <v>90</v>
      </c>
    </row>
    <row r="151" spans="1:16" ht="28" customHeight="1">
      <c r="A151" s="396">
        <v>91</v>
      </c>
      <c r="B151" s="241" t="s">
        <v>317</v>
      </c>
      <c r="C151" s="137" t="s">
        <v>56</v>
      </c>
      <c r="D151" s="139">
        <v>2</v>
      </c>
      <c r="E151" s="139">
        <f t="shared" si="22"/>
        <v>2</v>
      </c>
      <c r="F151" s="137">
        <v>0</v>
      </c>
      <c r="G151" s="138">
        <v>11</v>
      </c>
      <c r="H151" s="138">
        <v>11</v>
      </c>
      <c r="I151" s="137">
        <v>0</v>
      </c>
      <c r="J151" s="138">
        <v>179</v>
      </c>
      <c r="K151" s="142">
        <f>J151+I151</f>
        <v>179</v>
      </c>
      <c r="L151" s="138" t="s">
        <v>56</v>
      </c>
      <c r="M151" s="138">
        <v>247</v>
      </c>
      <c r="N151" s="142">
        <v>247</v>
      </c>
      <c r="O151" s="246" t="s">
        <v>1902</v>
      </c>
      <c r="P151" s="879">
        <v>91</v>
      </c>
    </row>
    <row r="152" spans="1:16" s="676" customFormat="1" ht="28" customHeight="1">
      <c r="A152" s="325"/>
      <c r="B152" s="843" t="s">
        <v>110</v>
      </c>
      <c r="C152" s="713"/>
      <c r="D152" s="134"/>
      <c r="E152" s="134"/>
      <c r="F152" s="713"/>
      <c r="G152" s="714"/>
      <c r="H152" s="714"/>
      <c r="I152" s="713"/>
      <c r="J152" s="714"/>
      <c r="K152" s="141"/>
      <c r="L152" s="714"/>
      <c r="M152" s="714"/>
      <c r="N152" s="141"/>
      <c r="O152" s="727" t="s">
        <v>31</v>
      </c>
      <c r="P152" s="878"/>
    </row>
    <row r="153" spans="1:16" ht="28" customHeight="1">
      <c r="A153" s="192">
        <v>92</v>
      </c>
      <c r="B153" s="241" t="s">
        <v>784</v>
      </c>
      <c r="C153" s="137" t="s">
        <v>56</v>
      </c>
      <c r="D153" s="139">
        <v>10</v>
      </c>
      <c r="E153" s="140">
        <f t="shared" ref="E153:E154" si="23">D153</f>
        <v>10</v>
      </c>
      <c r="F153" s="138">
        <v>0</v>
      </c>
      <c r="G153" s="138">
        <v>27</v>
      </c>
      <c r="H153" s="142">
        <v>27</v>
      </c>
      <c r="I153" s="138">
        <v>0</v>
      </c>
      <c r="J153" s="138">
        <v>452</v>
      </c>
      <c r="K153" s="142">
        <f>J153+I153</f>
        <v>452</v>
      </c>
      <c r="L153" s="138" t="s">
        <v>56</v>
      </c>
      <c r="M153" s="138">
        <v>494</v>
      </c>
      <c r="N153" s="142">
        <v>494</v>
      </c>
      <c r="O153" s="238" t="s">
        <v>1881</v>
      </c>
      <c r="P153" s="928">
        <v>92</v>
      </c>
    </row>
    <row r="154" spans="1:16" ht="28" customHeight="1">
      <c r="A154" s="325">
        <v>93</v>
      </c>
      <c r="B154" s="271" t="s">
        <v>778</v>
      </c>
      <c r="C154" s="713" t="s">
        <v>56</v>
      </c>
      <c r="D154" s="134">
        <v>11</v>
      </c>
      <c r="E154" s="134">
        <f t="shared" si="23"/>
        <v>11</v>
      </c>
      <c r="F154" s="713">
        <v>0</v>
      </c>
      <c r="G154" s="714">
        <v>51</v>
      </c>
      <c r="H154" s="714">
        <v>51</v>
      </c>
      <c r="I154" s="713">
        <v>0</v>
      </c>
      <c r="J154" s="714">
        <v>85</v>
      </c>
      <c r="K154" s="141">
        <f>J154+I154</f>
        <v>85</v>
      </c>
      <c r="L154" s="714" t="s">
        <v>56</v>
      </c>
      <c r="M154" s="714">
        <v>136</v>
      </c>
      <c r="N154" s="141">
        <v>136</v>
      </c>
      <c r="O154" s="635" t="s">
        <v>1903</v>
      </c>
      <c r="P154" s="878">
        <v>93</v>
      </c>
    </row>
    <row r="155" spans="1:16" s="676" customFormat="1" ht="28" customHeight="1">
      <c r="A155" s="192">
        <v>94</v>
      </c>
      <c r="B155" s="240" t="s">
        <v>780</v>
      </c>
      <c r="C155" s="137">
        <v>2</v>
      </c>
      <c r="D155" s="139">
        <v>11</v>
      </c>
      <c r="E155" s="140">
        <f t="shared" ref="E155" si="24">D155+C155</f>
        <v>13</v>
      </c>
      <c r="F155" s="138">
        <v>0</v>
      </c>
      <c r="G155" s="138">
        <v>61</v>
      </c>
      <c r="H155" s="142">
        <v>61</v>
      </c>
      <c r="I155" s="137">
        <v>0</v>
      </c>
      <c r="J155" s="138">
        <v>127</v>
      </c>
      <c r="K155" s="142">
        <f>J155+I155</f>
        <v>127</v>
      </c>
      <c r="L155" s="138" t="s">
        <v>56</v>
      </c>
      <c r="M155" s="138">
        <v>193</v>
      </c>
      <c r="N155" s="142">
        <v>193</v>
      </c>
      <c r="O155" s="238" t="s">
        <v>1904</v>
      </c>
      <c r="P155" s="928">
        <v>94</v>
      </c>
    </row>
    <row r="156" spans="1:16" ht="28" customHeight="1">
      <c r="A156" s="325">
        <v>95</v>
      </c>
      <c r="B156" s="239" t="s">
        <v>318</v>
      </c>
      <c r="C156" s="713" t="s">
        <v>56</v>
      </c>
      <c r="D156" s="134">
        <v>4</v>
      </c>
      <c r="E156" s="135">
        <f>D156</f>
        <v>4</v>
      </c>
      <c r="F156" s="713">
        <v>0</v>
      </c>
      <c r="G156" s="714">
        <v>4</v>
      </c>
      <c r="H156" s="714">
        <v>4</v>
      </c>
      <c r="I156" s="713">
        <v>0</v>
      </c>
      <c r="J156" s="714">
        <v>13</v>
      </c>
      <c r="K156" s="141">
        <f>J156+I156</f>
        <v>13</v>
      </c>
      <c r="L156" s="713" t="s">
        <v>56</v>
      </c>
      <c r="M156" s="714">
        <v>27</v>
      </c>
      <c r="N156" s="141">
        <v>116</v>
      </c>
      <c r="O156" s="248" t="s">
        <v>1905</v>
      </c>
      <c r="P156" s="878">
        <v>95</v>
      </c>
    </row>
    <row r="157" spans="1:16" s="676" customFormat="1" ht="24.75" customHeight="1">
      <c r="A157" s="396"/>
      <c r="B157" s="490" t="s">
        <v>111</v>
      </c>
      <c r="C157" s="137"/>
      <c r="D157" s="139"/>
      <c r="E157" s="140"/>
      <c r="F157" s="137"/>
      <c r="G157" s="138"/>
      <c r="H157" s="138"/>
      <c r="I157" s="137"/>
      <c r="J157" s="138"/>
      <c r="K157" s="142"/>
      <c r="L157" s="137"/>
      <c r="M157" s="138"/>
      <c r="N157" s="142"/>
      <c r="O157" s="607" t="s">
        <v>32</v>
      </c>
      <c r="P157" s="879"/>
    </row>
    <row r="158" spans="1:16" ht="28" customHeight="1">
      <c r="A158" s="797">
        <v>96</v>
      </c>
      <c r="B158" s="239" t="s">
        <v>806</v>
      </c>
      <c r="C158" s="713" t="s">
        <v>56</v>
      </c>
      <c r="D158" s="134">
        <v>4</v>
      </c>
      <c r="E158" s="135">
        <f t="shared" ref="E158:E160" si="25">D158</f>
        <v>4</v>
      </c>
      <c r="F158" s="713">
        <v>0</v>
      </c>
      <c r="G158" s="714">
        <v>50</v>
      </c>
      <c r="H158" s="714">
        <v>50</v>
      </c>
      <c r="I158" s="713">
        <v>0</v>
      </c>
      <c r="J158" s="714">
        <v>125</v>
      </c>
      <c r="K158" s="141">
        <f>J158+I158</f>
        <v>125</v>
      </c>
      <c r="L158" s="713" t="s">
        <v>56</v>
      </c>
      <c r="M158" s="714">
        <v>175</v>
      </c>
      <c r="N158" s="141">
        <v>175</v>
      </c>
      <c r="O158" s="248" t="s">
        <v>1906</v>
      </c>
      <c r="P158" s="927">
        <v>96</v>
      </c>
    </row>
    <row r="159" spans="1:16" ht="28" customHeight="1">
      <c r="A159" s="396">
        <v>97</v>
      </c>
      <c r="B159" s="240" t="s">
        <v>319</v>
      </c>
      <c r="C159" s="137" t="s">
        <v>56</v>
      </c>
      <c r="D159" s="139">
        <v>6</v>
      </c>
      <c r="E159" s="140">
        <f t="shared" si="25"/>
        <v>6</v>
      </c>
      <c r="F159" s="137">
        <v>0</v>
      </c>
      <c r="G159" s="138">
        <v>17</v>
      </c>
      <c r="H159" s="138">
        <v>17</v>
      </c>
      <c r="I159" s="137">
        <v>0</v>
      </c>
      <c r="J159" s="138">
        <v>52</v>
      </c>
      <c r="K159" s="142">
        <f>J159+I159</f>
        <v>52</v>
      </c>
      <c r="L159" s="137" t="s">
        <v>56</v>
      </c>
      <c r="M159" s="138">
        <v>79</v>
      </c>
      <c r="N159" s="142">
        <v>79</v>
      </c>
      <c r="O159" s="247" t="s">
        <v>1907</v>
      </c>
      <c r="P159" s="879">
        <v>97</v>
      </c>
    </row>
    <row r="160" spans="1:16" s="676" customFormat="1" ht="28" customHeight="1">
      <c r="A160" s="797">
        <v>98</v>
      </c>
      <c r="B160" s="239" t="s">
        <v>320</v>
      </c>
      <c r="C160" s="713" t="s">
        <v>56</v>
      </c>
      <c r="D160" s="134">
        <v>2</v>
      </c>
      <c r="E160" s="135">
        <f t="shared" si="25"/>
        <v>2</v>
      </c>
      <c r="F160" s="713">
        <v>0</v>
      </c>
      <c r="G160" s="714">
        <v>19</v>
      </c>
      <c r="H160" s="714">
        <v>19</v>
      </c>
      <c r="I160" s="713">
        <v>0</v>
      </c>
      <c r="J160" s="714">
        <v>60</v>
      </c>
      <c r="K160" s="141">
        <f>J160+I160</f>
        <v>60</v>
      </c>
      <c r="L160" s="713" t="s">
        <v>56</v>
      </c>
      <c r="M160" s="714">
        <v>74</v>
      </c>
      <c r="N160" s="141">
        <v>74</v>
      </c>
      <c r="O160" s="248" t="s">
        <v>1908</v>
      </c>
      <c r="P160" s="927">
        <v>98</v>
      </c>
    </row>
    <row r="161" spans="1:24" ht="24" customHeight="1">
      <c r="A161" s="192"/>
      <c r="B161" s="490" t="s">
        <v>112</v>
      </c>
      <c r="C161" s="137"/>
      <c r="D161" s="139"/>
      <c r="E161" s="140"/>
      <c r="F161" s="137"/>
      <c r="G161" s="138"/>
      <c r="H161" s="142"/>
      <c r="I161" s="137"/>
      <c r="J161" s="138"/>
      <c r="K161" s="142"/>
      <c r="L161" s="137"/>
      <c r="M161" s="138"/>
      <c r="N161" s="142"/>
      <c r="O161" s="1000" t="s">
        <v>33</v>
      </c>
      <c r="P161" s="928"/>
    </row>
    <row r="162" spans="1:24" ht="28" customHeight="1">
      <c r="A162" s="325">
        <v>99</v>
      </c>
      <c r="B162" s="239" t="s">
        <v>780</v>
      </c>
      <c r="C162" s="713" t="s">
        <v>56</v>
      </c>
      <c r="D162" s="134">
        <v>15</v>
      </c>
      <c r="E162" s="135">
        <f t="shared" ref="E162:E163" si="26">D162</f>
        <v>15</v>
      </c>
      <c r="F162" s="713">
        <v>0</v>
      </c>
      <c r="G162" s="714">
        <v>113</v>
      </c>
      <c r="H162" s="714">
        <v>113</v>
      </c>
      <c r="I162" s="713">
        <v>0</v>
      </c>
      <c r="J162" s="714">
        <v>204</v>
      </c>
      <c r="K162" s="141">
        <f>J162+I162</f>
        <v>204</v>
      </c>
      <c r="L162" s="713" t="s">
        <v>56</v>
      </c>
      <c r="M162" s="714">
        <v>317</v>
      </c>
      <c r="N162" s="141">
        <v>317</v>
      </c>
      <c r="O162" s="248" t="s">
        <v>1909</v>
      </c>
      <c r="P162" s="878">
        <v>99</v>
      </c>
    </row>
    <row r="163" spans="1:24" ht="28" customHeight="1">
      <c r="A163" s="192">
        <v>100</v>
      </c>
      <c r="B163" s="240" t="s">
        <v>804</v>
      </c>
      <c r="C163" s="137" t="s">
        <v>56</v>
      </c>
      <c r="D163" s="139">
        <v>12</v>
      </c>
      <c r="E163" s="140">
        <f t="shared" si="26"/>
        <v>12</v>
      </c>
      <c r="F163" s="137">
        <v>0</v>
      </c>
      <c r="G163" s="138">
        <v>48</v>
      </c>
      <c r="H163" s="138">
        <v>48</v>
      </c>
      <c r="I163" s="137">
        <v>0</v>
      </c>
      <c r="J163" s="138">
        <v>240</v>
      </c>
      <c r="K163" s="142">
        <f>J163+I163</f>
        <v>240</v>
      </c>
      <c r="L163" s="137" t="s">
        <v>56</v>
      </c>
      <c r="M163" s="138">
        <v>309</v>
      </c>
      <c r="N163" s="142">
        <v>309</v>
      </c>
      <c r="O163" s="247" t="s">
        <v>1910</v>
      </c>
      <c r="P163" s="928">
        <v>100</v>
      </c>
    </row>
    <row r="164" spans="1:24" ht="28" customHeight="1">
      <c r="A164" s="664">
        <v>101</v>
      </c>
      <c r="B164" s="275" t="s">
        <v>784</v>
      </c>
      <c r="C164" s="811" t="s">
        <v>56</v>
      </c>
      <c r="D164" s="194">
        <v>11</v>
      </c>
      <c r="E164" s="195">
        <f>D164</f>
        <v>11</v>
      </c>
      <c r="F164" s="811">
        <v>0</v>
      </c>
      <c r="G164" s="812">
        <v>41</v>
      </c>
      <c r="H164" s="812">
        <v>41</v>
      </c>
      <c r="I164" s="811">
        <v>0</v>
      </c>
      <c r="J164" s="812">
        <v>93</v>
      </c>
      <c r="K164" s="193">
        <f>J164+I164</f>
        <v>93</v>
      </c>
      <c r="L164" s="811" t="s">
        <v>56</v>
      </c>
      <c r="M164" s="812">
        <v>141</v>
      </c>
      <c r="N164" s="193">
        <v>141</v>
      </c>
      <c r="O164" s="813" t="s">
        <v>1911</v>
      </c>
      <c r="P164" s="895">
        <v>101</v>
      </c>
    </row>
    <row r="165" spans="1:24" ht="14.25" hidden="1" customHeight="1">
      <c r="A165" s="1508" t="s">
        <v>1188</v>
      </c>
      <c r="B165" s="1508"/>
      <c r="C165" s="168"/>
      <c r="D165" s="168"/>
      <c r="E165" s="157"/>
      <c r="F165" s="168"/>
      <c r="G165" s="168"/>
      <c r="H165" s="168"/>
      <c r="I165" s="168"/>
      <c r="J165" s="168"/>
      <c r="K165" s="168"/>
      <c r="L165" s="168"/>
      <c r="M165" s="168"/>
      <c r="N165" s="168"/>
      <c r="O165" s="1509" t="s">
        <v>1297</v>
      </c>
      <c r="P165" s="1509"/>
      <c r="Q165"/>
      <c r="R165"/>
      <c r="S165"/>
      <c r="T165"/>
      <c r="U165"/>
      <c r="V165"/>
      <c r="W165"/>
      <c r="X165"/>
    </row>
    <row r="166" spans="1:24" ht="14.25" hidden="1" customHeight="1">
      <c r="A166" s="1520"/>
      <c r="B166" s="1520"/>
      <c r="C166" s="157"/>
      <c r="D166" s="157"/>
      <c r="E166" s="157"/>
      <c r="F166" s="168"/>
      <c r="G166" s="168"/>
      <c r="H166" s="168"/>
      <c r="I166" s="168"/>
      <c r="J166" s="168"/>
      <c r="K166" s="168"/>
      <c r="L166" s="1526" t="s">
        <v>1298</v>
      </c>
      <c r="M166" s="1526"/>
      <c r="N166" s="1526"/>
      <c r="O166" s="1526"/>
      <c r="P166" s="1526"/>
      <c r="Q166"/>
      <c r="R166"/>
      <c r="S166"/>
      <c r="T166"/>
      <c r="U166"/>
      <c r="V166"/>
      <c r="W166"/>
      <c r="X166"/>
    </row>
    <row r="167" spans="1:24" ht="28" hidden="1" customHeight="1">
      <c r="A167" s="1438" t="s">
        <v>621</v>
      </c>
      <c r="B167" s="1438" t="s">
        <v>286</v>
      </c>
      <c r="C167" s="1320" t="s">
        <v>1307</v>
      </c>
      <c r="D167" s="1470"/>
      <c r="E167" s="1449"/>
      <c r="F167" s="1320" t="s">
        <v>1219</v>
      </c>
      <c r="G167" s="1470"/>
      <c r="H167" s="1449"/>
      <c r="I167" s="1320" t="s">
        <v>1218</v>
      </c>
      <c r="J167" s="1470"/>
      <c r="K167" s="1449"/>
      <c r="L167" s="1320" t="s">
        <v>79</v>
      </c>
      <c r="M167" s="1470"/>
      <c r="N167" s="1449"/>
      <c r="O167" s="1438" t="s">
        <v>1575</v>
      </c>
      <c r="P167" s="1471" t="s">
        <v>727</v>
      </c>
    </row>
    <row r="168" spans="1:24" s="676" customFormat="1" ht="18" hidden="1" customHeight="1">
      <c r="A168" s="1439"/>
      <c r="B168" s="1439"/>
      <c r="C168" s="1280"/>
      <c r="D168" s="1474"/>
      <c r="E168" s="1475"/>
      <c r="F168" s="1280"/>
      <c r="G168" s="1474"/>
      <c r="H168" s="1475"/>
      <c r="I168" s="1280"/>
      <c r="J168" s="1474"/>
      <c r="K168" s="1475"/>
      <c r="L168" s="1280"/>
      <c r="M168" s="1474"/>
      <c r="N168" s="1475"/>
      <c r="O168" s="1439"/>
      <c r="P168" s="1472"/>
    </row>
    <row r="169" spans="1:24" ht="18" hidden="1" customHeight="1">
      <c r="A169" s="1439"/>
      <c r="B169" s="1439"/>
      <c r="C169" s="1280" t="s">
        <v>138</v>
      </c>
      <c r="D169" s="1474"/>
      <c r="E169" s="1475"/>
      <c r="F169" s="1280" t="s">
        <v>1186</v>
      </c>
      <c r="G169" s="1474"/>
      <c r="H169" s="1475"/>
      <c r="I169" s="1280" t="s">
        <v>587</v>
      </c>
      <c r="J169" s="1474"/>
      <c r="K169" s="1475"/>
      <c r="L169" s="1280" t="s">
        <v>137</v>
      </c>
      <c r="M169" s="1474"/>
      <c r="N169" s="1475"/>
      <c r="O169" s="1439"/>
      <c r="P169" s="1472"/>
    </row>
    <row r="170" spans="1:24" s="676" customFormat="1" ht="28" hidden="1" customHeight="1">
      <c r="A170" s="1439"/>
      <c r="B170" s="1439"/>
      <c r="C170" s="866" t="s">
        <v>583</v>
      </c>
      <c r="D170" s="589" t="s">
        <v>581</v>
      </c>
      <c r="E170" s="870" t="s">
        <v>489</v>
      </c>
      <c r="F170" s="866" t="s">
        <v>583</v>
      </c>
      <c r="G170" s="589" t="s">
        <v>589</v>
      </c>
      <c r="H170" s="870" t="s">
        <v>489</v>
      </c>
      <c r="I170" s="866" t="s">
        <v>583</v>
      </c>
      <c r="J170" s="589" t="s">
        <v>589</v>
      </c>
      <c r="K170" s="870" t="s">
        <v>489</v>
      </c>
      <c r="L170" s="866" t="s">
        <v>583</v>
      </c>
      <c r="M170" s="589" t="s">
        <v>588</v>
      </c>
      <c r="N170" s="870" t="s">
        <v>489</v>
      </c>
      <c r="O170" s="1439"/>
      <c r="P170" s="1472"/>
    </row>
    <row r="171" spans="1:24" ht="22" hidden="1" customHeight="1">
      <c r="A171" s="1462"/>
      <c r="B171" s="1462"/>
      <c r="C171" s="872" t="s">
        <v>133</v>
      </c>
      <c r="D171" s="873" t="s">
        <v>134</v>
      </c>
      <c r="E171" s="893" t="s">
        <v>100</v>
      </c>
      <c r="F171" s="872" t="s">
        <v>133</v>
      </c>
      <c r="G171" s="873" t="s">
        <v>134</v>
      </c>
      <c r="H171" s="893" t="s">
        <v>100</v>
      </c>
      <c r="I171" s="872" t="s">
        <v>133</v>
      </c>
      <c r="J171" s="873" t="s">
        <v>134</v>
      </c>
      <c r="K171" s="869" t="s">
        <v>100</v>
      </c>
      <c r="L171" s="872" t="s">
        <v>133</v>
      </c>
      <c r="M171" s="873" t="s">
        <v>134</v>
      </c>
      <c r="N171" s="893" t="s">
        <v>100</v>
      </c>
      <c r="O171" s="1462"/>
      <c r="P171" s="1473"/>
    </row>
    <row r="172" spans="1:24" ht="27" customHeight="1">
      <c r="A172" s="192">
        <v>102</v>
      </c>
      <c r="B172" s="240" t="s">
        <v>1246</v>
      </c>
      <c r="C172" s="137">
        <v>3</v>
      </c>
      <c r="D172" s="139">
        <v>1</v>
      </c>
      <c r="E172" s="140">
        <f t="shared" ref="E172" si="27">D172+C172</f>
        <v>4</v>
      </c>
      <c r="F172" s="137">
        <v>0</v>
      </c>
      <c r="G172" s="138">
        <v>147</v>
      </c>
      <c r="H172" s="138">
        <v>147</v>
      </c>
      <c r="I172" s="137">
        <v>0</v>
      </c>
      <c r="J172" s="138">
        <v>0</v>
      </c>
      <c r="K172" s="142">
        <f>J172+I172</f>
        <v>0</v>
      </c>
      <c r="L172" s="137" t="s">
        <v>56</v>
      </c>
      <c r="M172" s="138">
        <v>147</v>
      </c>
      <c r="N172" s="142">
        <v>147</v>
      </c>
      <c r="O172" s="247" t="s">
        <v>1912</v>
      </c>
      <c r="P172" s="928">
        <v>102</v>
      </c>
    </row>
    <row r="173" spans="1:24" s="676" customFormat="1" ht="27" customHeight="1">
      <c r="A173" s="325">
        <v>103</v>
      </c>
      <c r="B173" s="239" t="s">
        <v>322</v>
      </c>
      <c r="C173" s="713" t="s">
        <v>56</v>
      </c>
      <c r="D173" s="134">
        <v>3</v>
      </c>
      <c r="E173" s="135">
        <f>D173</f>
        <v>3</v>
      </c>
      <c r="F173" s="713">
        <v>0</v>
      </c>
      <c r="G173" s="714">
        <v>192</v>
      </c>
      <c r="H173" s="714">
        <v>192</v>
      </c>
      <c r="I173" s="713">
        <v>0</v>
      </c>
      <c r="J173" s="714">
        <v>233</v>
      </c>
      <c r="K173" s="141">
        <f>J173+I173</f>
        <v>233</v>
      </c>
      <c r="L173" s="713" t="s">
        <v>56</v>
      </c>
      <c r="M173" s="714">
        <v>462</v>
      </c>
      <c r="N173" s="141">
        <v>462</v>
      </c>
      <c r="O173" s="248" t="s">
        <v>1913</v>
      </c>
      <c r="P173" s="878">
        <v>103</v>
      </c>
      <c r="V173" s="676" t="s">
        <v>15</v>
      </c>
    </row>
    <row r="174" spans="1:24" ht="24" customHeight="1">
      <c r="A174" s="396"/>
      <c r="B174" s="490" t="s">
        <v>113</v>
      </c>
      <c r="C174" s="137"/>
      <c r="D174" s="139"/>
      <c r="E174" s="140"/>
      <c r="F174" s="137"/>
      <c r="G174" s="138"/>
      <c r="H174" s="138"/>
      <c r="I174" s="137"/>
      <c r="J174" s="138"/>
      <c r="K174" s="142"/>
      <c r="L174" s="137"/>
      <c r="M174" s="138"/>
      <c r="N174" s="142"/>
      <c r="O174" s="607" t="s">
        <v>34</v>
      </c>
      <c r="P174" s="879"/>
    </row>
    <row r="175" spans="1:24" ht="24" customHeight="1">
      <c r="A175" s="797">
        <v>104</v>
      </c>
      <c r="B175" s="239" t="s">
        <v>793</v>
      </c>
      <c r="C175" s="713" t="s">
        <v>56</v>
      </c>
      <c r="D175" s="134">
        <v>21</v>
      </c>
      <c r="E175" s="135">
        <f>D175</f>
        <v>21</v>
      </c>
      <c r="F175" s="713">
        <v>0</v>
      </c>
      <c r="G175" s="714">
        <v>226</v>
      </c>
      <c r="H175" s="714">
        <v>226</v>
      </c>
      <c r="I175" s="713">
        <v>0</v>
      </c>
      <c r="J175" s="714">
        <v>793</v>
      </c>
      <c r="K175" s="141">
        <f t="shared" ref="K175:K183" si="28">J175+I175</f>
        <v>793</v>
      </c>
      <c r="L175" s="713" t="s">
        <v>56</v>
      </c>
      <c r="M175" s="714">
        <v>1049</v>
      </c>
      <c r="N175" s="141">
        <v>1049</v>
      </c>
      <c r="O175" s="643" t="s">
        <v>1914</v>
      </c>
      <c r="P175" s="927">
        <v>104</v>
      </c>
    </row>
    <row r="176" spans="1:24" ht="24" customHeight="1">
      <c r="A176" s="396">
        <v>105</v>
      </c>
      <c r="B176" s="298" t="s">
        <v>1247</v>
      </c>
      <c r="C176" s="137">
        <v>1</v>
      </c>
      <c r="D176" s="139">
        <v>3</v>
      </c>
      <c r="E176" s="140">
        <f t="shared" ref="E176" si="29">D176+C176</f>
        <v>4</v>
      </c>
      <c r="F176" s="137">
        <v>0</v>
      </c>
      <c r="G176" s="138">
        <v>59</v>
      </c>
      <c r="H176" s="142">
        <v>59</v>
      </c>
      <c r="I176" s="137">
        <v>0</v>
      </c>
      <c r="J176" s="138">
        <v>324</v>
      </c>
      <c r="K176" s="142">
        <f t="shared" si="28"/>
        <v>324</v>
      </c>
      <c r="L176" s="137" t="s">
        <v>56</v>
      </c>
      <c r="M176" s="138">
        <v>383</v>
      </c>
      <c r="N176" s="142">
        <v>383</v>
      </c>
      <c r="O176" s="247" t="s">
        <v>1915</v>
      </c>
      <c r="P176" s="879">
        <v>105</v>
      </c>
    </row>
    <row r="177" spans="1:24" ht="27" customHeight="1">
      <c r="A177" s="797">
        <v>106</v>
      </c>
      <c r="B177" s="239" t="s">
        <v>778</v>
      </c>
      <c r="C177" s="713" t="s">
        <v>56</v>
      </c>
      <c r="D177" s="134">
        <v>5</v>
      </c>
      <c r="E177" s="135">
        <f t="shared" ref="E177:E182" si="30">D177</f>
        <v>5</v>
      </c>
      <c r="F177" s="713">
        <v>0</v>
      </c>
      <c r="G177" s="714">
        <v>56</v>
      </c>
      <c r="H177" s="714">
        <v>56</v>
      </c>
      <c r="I177" s="713">
        <v>0</v>
      </c>
      <c r="J177" s="714">
        <v>142</v>
      </c>
      <c r="K177" s="141">
        <f t="shared" si="28"/>
        <v>142</v>
      </c>
      <c r="L177" s="713" t="s">
        <v>56</v>
      </c>
      <c r="M177" s="714">
        <v>198</v>
      </c>
      <c r="N177" s="141">
        <v>198</v>
      </c>
      <c r="O177" s="248" t="s">
        <v>1916</v>
      </c>
      <c r="P177" s="927">
        <v>106</v>
      </c>
    </row>
    <row r="178" spans="1:24" ht="27" customHeight="1">
      <c r="A178" s="396">
        <v>107</v>
      </c>
      <c r="B178" s="240" t="s">
        <v>784</v>
      </c>
      <c r="C178" s="137" t="s">
        <v>56</v>
      </c>
      <c r="D178" s="139">
        <v>6</v>
      </c>
      <c r="E178" s="140">
        <f t="shared" si="30"/>
        <v>6</v>
      </c>
      <c r="F178" s="137">
        <v>0</v>
      </c>
      <c r="G178" s="138">
        <v>40</v>
      </c>
      <c r="H178" s="138">
        <v>40</v>
      </c>
      <c r="I178" s="137">
        <v>0</v>
      </c>
      <c r="J178" s="138">
        <v>56</v>
      </c>
      <c r="K178" s="142">
        <f t="shared" si="28"/>
        <v>56</v>
      </c>
      <c r="L178" s="137" t="s">
        <v>56</v>
      </c>
      <c r="M178" s="138">
        <v>103</v>
      </c>
      <c r="N178" s="142">
        <v>103</v>
      </c>
      <c r="O178" s="238" t="s">
        <v>1881</v>
      </c>
      <c r="P178" s="879">
        <v>107</v>
      </c>
    </row>
    <row r="179" spans="1:24" ht="27" customHeight="1">
      <c r="A179" s="797">
        <v>108</v>
      </c>
      <c r="B179" s="271" t="s">
        <v>1282</v>
      </c>
      <c r="C179" s="713" t="s">
        <v>56</v>
      </c>
      <c r="D179" s="134">
        <v>5</v>
      </c>
      <c r="E179" s="135">
        <f t="shared" si="30"/>
        <v>5</v>
      </c>
      <c r="F179" s="713">
        <v>0</v>
      </c>
      <c r="G179" s="714">
        <v>50</v>
      </c>
      <c r="H179" s="141">
        <v>50</v>
      </c>
      <c r="I179" s="713">
        <v>0</v>
      </c>
      <c r="J179" s="714">
        <v>76</v>
      </c>
      <c r="K179" s="141">
        <f t="shared" si="28"/>
        <v>76</v>
      </c>
      <c r="L179" s="713" t="s">
        <v>56</v>
      </c>
      <c r="M179" s="714">
        <v>132</v>
      </c>
      <c r="N179" s="141">
        <v>132</v>
      </c>
      <c r="O179" s="643" t="s">
        <v>1917</v>
      </c>
      <c r="P179" s="927">
        <v>108</v>
      </c>
    </row>
    <row r="180" spans="1:24" ht="27" customHeight="1">
      <c r="A180" s="396">
        <v>109</v>
      </c>
      <c r="B180" s="241" t="s">
        <v>809</v>
      </c>
      <c r="C180" s="137" t="s">
        <v>56</v>
      </c>
      <c r="D180" s="139">
        <v>6</v>
      </c>
      <c r="E180" s="140">
        <f t="shared" si="30"/>
        <v>6</v>
      </c>
      <c r="F180" s="137">
        <v>0</v>
      </c>
      <c r="G180" s="138">
        <v>23</v>
      </c>
      <c r="H180" s="142">
        <v>23</v>
      </c>
      <c r="I180" s="137">
        <v>0</v>
      </c>
      <c r="J180" s="138">
        <v>51</v>
      </c>
      <c r="K180" s="142">
        <f t="shared" si="28"/>
        <v>51</v>
      </c>
      <c r="L180" s="137" t="s">
        <v>56</v>
      </c>
      <c r="M180" s="138">
        <v>89</v>
      </c>
      <c r="N180" s="142">
        <v>89</v>
      </c>
      <c r="O180" s="246" t="s">
        <v>1918</v>
      </c>
      <c r="P180" s="879">
        <v>109</v>
      </c>
    </row>
    <row r="181" spans="1:24" s="676" customFormat="1" ht="27" customHeight="1">
      <c r="A181" s="797">
        <v>110</v>
      </c>
      <c r="B181" s="271" t="s">
        <v>811</v>
      </c>
      <c r="C181" s="713" t="s">
        <v>56</v>
      </c>
      <c r="D181" s="134">
        <v>2</v>
      </c>
      <c r="E181" s="135">
        <f t="shared" si="30"/>
        <v>2</v>
      </c>
      <c r="F181" s="713">
        <v>0</v>
      </c>
      <c r="G181" s="714">
        <v>31</v>
      </c>
      <c r="H181" s="141">
        <v>31</v>
      </c>
      <c r="I181" s="713">
        <v>0</v>
      </c>
      <c r="J181" s="714">
        <v>72</v>
      </c>
      <c r="K181" s="141">
        <f t="shared" si="28"/>
        <v>72</v>
      </c>
      <c r="L181" s="713" t="s">
        <v>56</v>
      </c>
      <c r="M181" s="714">
        <v>114</v>
      </c>
      <c r="N181" s="141">
        <v>114</v>
      </c>
      <c r="O181" s="643" t="s">
        <v>1919</v>
      </c>
      <c r="P181" s="927">
        <v>110</v>
      </c>
    </row>
    <row r="182" spans="1:24" ht="27" customHeight="1">
      <c r="A182" s="396">
        <v>112</v>
      </c>
      <c r="B182" s="241" t="s">
        <v>812</v>
      </c>
      <c r="C182" s="137" t="s">
        <v>56</v>
      </c>
      <c r="D182" s="139">
        <v>5</v>
      </c>
      <c r="E182" s="140">
        <f t="shared" si="30"/>
        <v>5</v>
      </c>
      <c r="F182" s="137">
        <v>0</v>
      </c>
      <c r="G182" s="138">
        <v>19</v>
      </c>
      <c r="H182" s="142">
        <v>19</v>
      </c>
      <c r="I182" s="137">
        <v>0</v>
      </c>
      <c r="J182" s="138">
        <v>83</v>
      </c>
      <c r="K182" s="142">
        <f t="shared" si="28"/>
        <v>83</v>
      </c>
      <c r="L182" s="137" t="s">
        <v>56</v>
      </c>
      <c r="M182" s="138">
        <v>102</v>
      </c>
      <c r="N182" s="142">
        <v>102</v>
      </c>
      <c r="O182" s="246" t="s">
        <v>1920</v>
      </c>
      <c r="P182" s="879">
        <v>112</v>
      </c>
    </row>
    <row r="183" spans="1:24" s="676" customFormat="1" ht="24" customHeight="1">
      <c r="A183" s="797">
        <v>113</v>
      </c>
      <c r="B183" s="271" t="s">
        <v>813</v>
      </c>
      <c r="C183" s="713" t="s">
        <v>56</v>
      </c>
      <c r="D183" s="134">
        <v>2</v>
      </c>
      <c r="E183" s="135">
        <f>D183</f>
        <v>2</v>
      </c>
      <c r="F183" s="713">
        <v>0</v>
      </c>
      <c r="G183" s="714" t="s">
        <v>56</v>
      </c>
      <c r="H183" s="141" t="s">
        <v>56</v>
      </c>
      <c r="I183" s="713">
        <v>0</v>
      </c>
      <c r="J183" s="714">
        <v>0</v>
      </c>
      <c r="K183" s="141">
        <f t="shared" si="28"/>
        <v>0</v>
      </c>
      <c r="L183" s="713" t="s">
        <v>56</v>
      </c>
      <c r="M183" s="714">
        <v>0</v>
      </c>
      <c r="N183" s="141">
        <v>0</v>
      </c>
      <c r="O183" s="643" t="s">
        <v>1921</v>
      </c>
      <c r="P183" s="927">
        <v>113</v>
      </c>
    </row>
    <row r="184" spans="1:24" ht="24" customHeight="1">
      <c r="A184" s="192"/>
      <c r="B184" s="622" t="s">
        <v>763</v>
      </c>
      <c r="C184" s="137"/>
      <c r="D184" s="139"/>
      <c r="E184" s="140"/>
      <c r="F184" s="137"/>
      <c r="G184" s="138"/>
      <c r="H184" s="142"/>
      <c r="I184" s="137"/>
      <c r="J184" s="138"/>
      <c r="K184" s="142"/>
      <c r="L184" s="137"/>
      <c r="M184" s="138"/>
      <c r="N184" s="142"/>
      <c r="O184" s="443" t="s">
        <v>814</v>
      </c>
      <c r="P184" s="928"/>
    </row>
    <row r="185" spans="1:24" s="676" customFormat="1" ht="27" customHeight="1">
      <c r="A185" s="325">
        <v>114</v>
      </c>
      <c r="B185" s="271" t="s">
        <v>778</v>
      </c>
      <c r="C185" s="713" t="s">
        <v>56</v>
      </c>
      <c r="D185" s="134">
        <v>11</v>
      </c>
      <c r="E185" s="135">
        <f t="shared" ref="E185:E187" si="31">D185</f>
        <v>11</v>
      </c>
      <c r="F185" s="713">
        <v>0</v>
      </c>
      <c r="G185" s="714">
        <v>64</v>
      </c>
      <c r="H185" s="141">
        <v>64</v>
      </c>
      <c r="I185" s="713">
        <v>0</v>
      </c>
      <c r="J185" s="714">
        <v>214</v>
      </c>
      <c r="K185" s="141">
        <f>J185+I185</f>
        <v>214</v>
      </c>
      <c r="L185" s="713" t="s">
        <v>56</v>
      </c>
      <c r="M185" s="714">
        <v>278</v>
      </c>
      <c r="N185" s="141">
        <v>278</v>
      </c>
      <c r="O185" s="635" t="s">
        <v>1922</v>
      </c>
      <c r="P185" s="878">
        <v>114</v>
      </c>
    </row>
    <row r="186" spans="1:24" ht="24" customHeight="1">
      <c r="A186" s="192">
        <v>115</v>
      </c>
      <c r="B186" s="240" t="s">
        <v>816</v>
      </c>
      <c r="C186" s="137" t="s">
        <v>56</v>
      </c>
      <c r="D186" s="139">
        <v>9</v>
      </c>
      <c r="E186" s="140">
        <f t="shared" si="31"/>
        <v>9</v>
      </c>
      <c r="F186" s="137">
        <v>0</v>
      </c>
      <c r="G186" s="138">
        <v>45</v>
      </c>
      <c r="H186" s="142">
        <v>45</v>
      </c>
      <c r="I186" s="137">
        <v>0</v>
      </c>
      <c r="J186" s="138">
        <v>130</v>
      </c>
      <c r="K186" s="142">
        <f>J186+I186</f>
        <v>130</v>
      </c>
      <c r="L186" s="137" t="s">
        <v>56</v>
      </c>
      <c r="M186" s="138">
        <v>185</v>
      </c>
      <c r="N186" s="142">
        <v>185</v>
      </c>
      <c r="O186" s="238" t="s">
        <v>1923</v>
      </c>
      <c r="P186" s="928">
        <v>115</v>
      </c>
    </row>
    <row r="187" spans="1:24" s="676" customFormat="1" ht="27" customHeight="1">
      <c r="A187" s="325">
        <v>116</v>
      </c>
      <c r="B187" s="271" t="s">
        <v>817</v>
      </c>
      <c r="C187" s="713" t="s">
        <v>56</v>
      </c>
      <c r="D187" s="134">
        <v>5</v>
      </c>
      <c r="E187" s="135">
        <f t="shared" si="31"/>
        <v>5</v>
      </c>
      <c r="F187" s="713">
        <v>0</v>
      </c>
      <c r="G187" s="714">
        <v>31</v>
      </c>
      <c r="H187" s="141">
        <v>31</v>
      </c>
      <c r="I187" s="713">
        <v>0</v>
      </c>
      <c r="J187" s="714">
        <v>89</v>
      </c>
      <c r="K187" s="141">
        <f>J187+I187</f>
        <v>89</v>
      </c>
      <c r="L187" s="713" t="s">
        <v>56</v>
      </c>
      <c r="M187" s="714">
        <v>137</v>
      </c>
      <c r="N187" s="141">
        <v>137</v>
      </c>
      <c r="O187" s="635" t="s">
        <v>1924</v>
      </c>
      <c r="P187" s="878">
        <v>116</v>
      </c>
    </row>
    <row r="188" spans="1:24" s="676" customFormat="1" ht="27" customHeight="1">
      <c r="A188" s="192">
        <v>117</v>
      </c>
      <c r="B188" s="241" t="s">
        <v>1247</v>
      </c>
      <c r="C188" s="137" t="s">
        <v>56</v>
      </c>
      <c r="D188" s="139" t="s">
        <v>56</v>
      </c>
      <c r="E188" s="140" t="s">
        <v>56</v>
      </c>
      <c r="F188" s="137">
        <v>0</v>
      </c>
      <c r="G188" s="138" t="s">
        <v>56</v>
      </c>
      <c r="H188" s="142" t="s">
        <v>56</v>
      </c>
      <c r="I188" s="137">
        <v>0</v>
      </c>
      <c r="J188" s="138">
        <v>0</v>
      </c>
      <c r="K188" s="142">
        <v>0</v>
      </c>
      <c r="L188" s="137" t="s">
        <v>56</v>
      </c>
      <c r="M188" s="138">
        <v>0</v>
      </c>
      <c r="N188" s="142">
        <v>0</v>
      </c>
      <c r="O188" s="238" t="s">
        <v>1925</v>
      </c>
      <c r="P188" s="928">
        <v>117</v>
      </c>
    </row>
    <row r="189" spans="1:24" ht="27" customHeight="1">
      <c r="A189" s="325">
        <v>118</v>
      </c>
      <c r="B189" s="271" t="s">
        <v>769</v>
      </c>
      <c r="C189" s="713" t="s">
        <v>56</v>
      </c>
      <c r="D189" s="134">
        <v>4</v>
      </c>
      <c r="E189" s="135">
        <f t="shared" ref="E189:E191" si="32">D189</f>
        <v>4</v>
      </c>
      <c r="F189" s="713">
        <v>0</v>
      </c>
      <c r="G189" s="714">
        <v>59</v>
      </c>
      <c r="H189" s="141">
        <v>59</v>
      </c>
      <c r="I189" s="713">
        <v>0</v>
      </c>
      <c r="J189" s="714">
        <v>101</v>
      </c>
      <c r="K189" s="141">
        <f>J189+I189</f>
        <v>101</v>
      </c>
      <c r="L189" s="713" t="s">
        <v>56</v>
      </c>
      <c r="M189" s="714">
        <v>187</v>
      </c>
      <c r="N189" s="141">
        <v>187</v>
      </c>
      <c r="O189" s="635" t="s">
        <v>1926</v>
      </c>
      <c r="P189" s="878">
        <v>118</v>
      </c>
    </row>
    <row r="190" spans="1:24" s="676" customFormat="1" ht="27" customHeight="1">
      <c r="A190" s="192">
        <v>119</v>
      </c>
      <c r="B190" s="241" t="s">
        <v>323</v>
      </c>
      <c r="C190" s="137" t="s">
        <v>56</v>
      </c>
      <c r="D190" s="139">
        <v>3</v>
      </c>
      <c r="E190" s="140">
        <f t="shared" si="32"/>
        <v>3</v>
      </c>
      <c r="F190" s="137">
        <v>0</v>
      </c>
      <c r="G190" s="138">
        <v>17</v>
      </c>
      <c r="H190" s="142">
        <v>17</v>
      </c>
      <c r="I190" s="137">
        <v>0</v>
      </c>
      <c r="J190" s="138">
        <v>87</v>
      </c>
      <c r="K190" s="142">
        <f>J190+I190</f>
        <v>87</v>
      </c>
      <c r="L190" s="137" t="s">
        <v>56</v>
      </c>
      <c r="M190" s="138">
        <v>131</v>
      </c>
      <c r="N190" s="142">
        <v>131</v>
      </c>
      <c r="O190" s="238" t="s">
        <v>1927</v>
      </c>
      <c r="P190" s="928">
        <v>119</v>
      </c>
    </row>
    <row r="191" spans="1:24" s="676" customFormat="1" ht="27" customHeight="1">
      <c r="A191" s="664">
        <v>120</v>
      </c>
      <c r="B191" s="801" t="s">
        <v>770</v>
      </c>
      <c r="C191" s="811" t="s">
        <v>56</v>
      </c>
      <c r="D191" s="194">
        <v>4</v>
      </c>
      <c r="E191" s="195">
        <f t="shared" si="32"/>
        <v>4</v>
      </c>
      <c r="F191" s="811">
        <v>0</v>
      </c>
      <c r="G191" s="812">
        <v>54</v>
      </c>
      <c r="H191" s="193">
        <v>54</v>
      </c>
      <c r="I191" s="811">
        <v>0</v>
      </c>
      <c r="J191" s="812">
        <v>112</v>
      </c>
      <c r="K191" s="193">
        <f>J191+I191</f>
        <v>112</v>
      </c>
      <c r="L191" s="811" t="s">
        <v>56</v>
      </c>
      <c r="M191" s="812">
        <v>199</v>
      </c>
      <c r="N191" s="193">
        <v>199</v>
      </c>
      <c r="O191" s="650" t="s">
        <v>1928</v>
      </c>
      <c r="P191" s="895">
        <v>120</v>
      </c>
    </row>
    <row r="192" spans="1:24" ht="14.25" hidden="1" customHeight="1">
      <c r="A192" s="1508" t="s">
        <v>1188</v>
      </c>
      <c r="B192" s="1508"/>
      <c r="C192" s="168"/>
      <c r="D192" s="168"/>
      <c r="E192" s="157"/>
      <c r="F192" s="168"/>
      <c r="G192" s="168"/>
      <c r="H192" s="168"/>
      <c r="I192" s="168"/>
      <c r="J192" s="168"/>
      <c r="K192" s="168"/>
      <c r="L192" s="168"/>
      <c r="M192" s="168"/>
      <c r="N192" s="168"/>
      <c r="O192" s="1509" t="s">
        <v>1297</v>
      </c>
      <c r="P192" s="1509"/>
      <c r="Q192"/>
      <c r="R192"/>
      <c r="S192"/>
      <c r="T192"/>
      <c r="U192"/>
      <c r="V192"/>
      <c r="W192"/>
      <c r="X192"/>
    </row>
    <row r="193" spans="1:40" ht="14.25" hidden="1" customHeight="1">
      <c r="A193" s="1520"/>
      <c r="B193" s="1520"/>
      <c r="C193" s="157"/>
      <c r="D193" s="157"/>
      <c r="E193" s="157"/>
      <c r="F193" s="168"/>
      <c r="G193" s="168"/>
      <c r="H193" s="168"/>
      <c r="I193" s="168"/>
      <c r="J193" s="168"/>
      <c r="K193" s="168"/>
      <c r="L193" s="1526" t="s">
        <v>1298</v>
      </c>
      <c r="M193" s="1526"/>
      <c r="N193" s="1526"/>
      <c r="O193" s="1526"/>
      <c r="P193" s="1526"/>
      <c r="Q193"/>
      <c r="R193"/>
      <c r="S193"/>
      <c r="T193"/>
      <c r="U193"/>
      <c r="V193"/>
      <c r="W193"/>
      <c r="X193"/>
    </row>
    <row r="194" spans="1:40" ht="22" hidden="1" customHeight="1">
      <c r="A194" s="1438" t="s">
        <v>621</v>
      </c>
      <c r="B194" s="1468" t="s">
        <v>286</v>
      </c>
      <c r="C194" s="1320" t="s">
        <v>1307</v>
      </c>
      <c r="D194" s="1470"/>
      <c r="E194" s="1449"/>
      <c r="F194" s="1320" t="s">
        <v>1219</v>
      </c>
      <c r="G194" s="1470"/>
      <c r="H194" s="1449"/>
      <c r="I194" s="1320" t="s">
        <v>1218</v>
      </c>
      <c r="J194" s="1470"/>
      <c r="K194" s="1449"/>
      <c r="L194" s="1320" t="s">
        <v>79</v>
      </c>
      <c r="M194" s="1470"/>
      <c r="N194" s="1449"/>
      <c r="O194" s="1438" t="s">
        <v>1575</v>
      </c>
      <c r="P194" s="1471" t="s">
        <v>727</v>
      </c>
    </row>
    <row r="195" spans="1:40" s="676" customFormat="1" ht="22" hidden="1" customHeight="1">
      <c r="A195" s="1439"/>
      <c r="B195" s="1468"/>
      <c r="C195" s="1280"/>
      <c r="D195" s="1474"/>
      <c r="E195" s="1475"/>
      <c r="F195" s="1280"/>
      <c r="G195" s="1474"/>
      <c r="H195" s="1475"/>
      <c r="I195" s="1280"/>
      <c r="J195" s="1474"/>
      <c r="K195" s="1475"/>
      <c r="L195" s="1280"/>
      <c r="M195" s="1474"/>
      <c r="N195" s="1475"/>
      <c r="O195" s="1439"/>
      <c r="P195" s="1472"/>
    </row>
    <row r="196" spans="1:40" ht="18" hidden="1" customHeight="1">
      <c r="A196" s="1439"/>
      <c r="B196" s="1468"/>
      <c r="C196" s="1280" t="s">
        <v>138</v>
      </c>
      <c r="D196" s="1474"/>
      <c r="E196" s="1475"/>
      <c r="F196" s="1280" t="s">
        <v>1186</v>
      </c>
      <c r="G196" s="1474"/>
      <c r="H196" s="1475"/>
      <c r="I196" s="1280" t="s">
        <v>587</v>
      </c>
      <c r="J196" s="1474"/>
      <c r="K196" s="1475"/>
      <c r="L196" s="1280" t="s">
        <v>137</v>
      </c>
      <c r="M196" s="1474"/>
      <c r="N196" s="1475"/>
      <c r="O196" s="1439"/>
      <c r="P196" s="1472"/>
    </row>
    <row r="197" spans="1:40" ht="22" hidden="1" customHeight="1">
      <c r="A197" s="1439"/>
      <c r="B197" s="1468"/>
      <c r="C197" s="1280" t="s">
        <v>583</v>
      </c>
      <c r="D197" s="1474" t="s">
        <v>581</v>
      </c>
      <c r="E197" s="1474" t="s">
        <v>489</v>
      </c>
      <c r="F197" s="1280" t="s">
        <v>583</v>
      </c>
      <c r="G197" s="1474" t="s">
        <v>589</v>
      </c>
      <c r="H197" s="1475" t="s">
        <v>489</v>
      </c>
      <c r="I197" s="1280" t="s">
        <v>583</v>
      </c>
      <c r="J197" s="1474" t="s">
        <v>589</v>
      </c>
      <c r="K197" s="1475" t="s">
        <v>489</v>
      </c>
      <c r="L197" s="1280" t="s">
        <v>583</v>
      </c>
      <c r="M197" s="1474" t="s">
        <v>588</v>
      </c>
      <c r="N197" s="1475" t="s">
        <v>489</v>
      </c>
      <c r="O197" s="1439"/>
      <c r="P197" s="1472"/>
    </row>
    <row r="198" spans="1:40" s="676" customFormat="1" ht="22" hidden="1" customHeight="1">
      <c r="A198" s="1439"/>
      <c r="B198" s="1468"/>
      <c r="C198" s="1280"/>
      <c r="D198" s="1474"/>
      <c r="E198" s="1474"/>
      <c r="F198" s="1280"/>
      <c r="G198" s="1474"/>
      <c r="H198" s="1475"/>
      <c r="I198" s="1280"/>
      <c r="J198" s="1474"/>
      <c r="K198" s="1475"/>
      <c r="L198" s="1280"/>
      <c r="M198" s="1474"/>
      <c r="N198" s="1475"/>
      <c r="O198" s="1439"/>
      <c r="P198" s="1472"/>
    </row>
    <row r="199" spans="1:40" s="676" customFormat="1" ht="22" hidden="1" customHeight="1">
      <c r="A199" s="1462"/>
      <c r="B199" s="1468"/>
      <c r="C199" s="872" t="s">
        <v>133</v>
      </c>
      <c r="D199" s="873" t="s">
        <v>134</v>
      </c>
      <c r="E199" s="960" t="s">
        <v>100</v>
      </c>
      <c r="F199" s="872" t="s">
        <v>133</v>
      </c>
      <c r="G199" s="873" t="s">
        <v>134</v>
      </c>
      <c r="H199" s="893" t="s">
        <v>100</v>
      </c>
      <c r="I199" s="872" t="s">
        <v>133</v>
      </c>
      <c r="J199" s="873" t="s">
        <v>134</v>
      </c>
      <c r="K199" s="869" t="s">
        <v>100</v>
      </c>
      <c r="L199" s="872" t="s">
        <v>133</v>
      </c>
      <c r="M199" s="873" t="s">
        <v>134</v>
      </c>
      <c r="N199" s="893" t="s">
        <v>100</v>
      </c>
      <c r="O199" s="1462"/>
      <c r="P199" s="1473"/>
    </row>
    <row r="200" spans="1:40" s="676" customFormat="1" ht="23" customHeight="1">
      <c r="A200" s="396"/>
      <c r="B200" s="622" t="s">
        <v>69</v>
      </c>
      <c r="C200" s="137"/>
      <c r="D200" s="139"/>
      <c r="E200" s="140"/>
      <c r="F200" s="137"/>
      <c r="G200" s="138"/>
      <c r="H200" s="142"/>
      <c r="I200" s="137"/>
      <c r="J200" s="138"/>
      <c r="K200" s="142"/>
      <c r="L200" s="137"/>
      <c r="M200" s="138"/>
      <c r="N200" s="142"/>
      <c r="O200" s="443" t="s">
        <v>35</v>
      </c>
      <c r="P200" s="879"/>
    </row>
    <row r="201" spans="1:40" s="676" customFormat="1" ht="27" customHeight="1">
      <c r="A201" s="797">
        <v>121</v>
      </c>
      <c r="B201" s="271" t="s">
        <v>778</v>
      </c>
      <c r="C201" s="713" t="s">
        <v>56</v>
      </c>
      <c r="D201" s="134">
        <v>3</v>
      </c>
      <c r="E201" s="135">
        <v>3</v>
      </c>
      <c r="F201" s="713">
        <v>0</v>
      </c>
      <c r="G201" s="714">
        <v>59</v>
      </c>
      <c r="H201" s="141">
        <v>59</v>
      </c>
      <c r="I201" s="713">
        <v>0</v>
      </c>
      <c r="J201" s="714">
        <v>140</v>
      </c>
      <c r="K201" s="141">
        <f>J201+I201</f>
        <v>140</v>
      </c>
      <c r="L201" s="713" t="s">
        <v>56</v>
      </c>
      <c r="M201" s="714">
        <v>199</v>
      </c>
      <c r="N201" s="141">
        <v>199</v>
      </c>
      <c r="O201" s="643" t="s">
        <v>1830</v>
      </c>
      <c r="P201" s="927">
        <v>121</v>
      </c>
    </row>
    <row r="202" spans="1:40" s="676" customFormat="1" ht="27" customHeight="1">
      <c r="A202" s="192">
        <v>122</v>
      </c>
      <c r="B202" s="241" t="s">
        <v>991</v>
      </c>
      <c r="C202" s="137" t="s">
        <v>56</v>
      </c>
      <c r="D202" s="139" t="s">
        <v>56</v>
      </c>
      <c r="E202" s="140" t="s">
        <v>56</v>
      </c>
      <c r="F202" s="137">
        <v>0</v>
      </c>
      <c r="G202" s="138" t="s">
        <v>56</v>
      </c>
      <c r="H202" s="138" t="s">
        <v>56</v>
      </c>
      <c r="I202" s="137">
        <v>0</v>
      </c>
      <c r="J202" s="138">
        <v>138</v>
      </c>
      <c r="K202" s="142">
        <f>J202+I202</f>
        <v>138</v>
      </c>
      <c r="L202" s="137" t="s">
        <v>56</v>
      </c>
      <c r="M202" s="138">
        <v>138</v>
      </c>
      <c r="N202" s="142">
        <v>138</v>
      </c>
      <c r="O202" s="238" t="s">
        <v>1929</v>
      </c>
      <c r="P202" s="928">
        <v>122</v>
      </c>
    </row>
    <row r="203" spans="1:40" ht="23" customHeight="1">
      <c r="A203" s="797"/>
      <c r="B203" s="843" t="s">
        <v>147</v>
      </c>
      <c r="C203" s="713"/>
      <c r="D203" s="134"/>
      <c r="E203" s="135"/>
      <c r="F203" s="713"/>
      <c r="G203" s="714"/>
      <c r="H203" s="714"/>
      <c r="I203" s="713"/>
      <c r="J203" s="714"/>
      <c r="K203" s="141"/>
      <c r="L203" s="713"/>
      <c r="M203" s="714"/>
      <c r="N203" s="141"/>
      <c r="O203" s="743" t="s">
        <v>36</v>
      </c>
      <c r="P203" s="927"/>
    </row>
    <row r="204" spans="1:40" s="676" customFormat="1" ht="23" customHeight="1">
      <c r="A204" s="192">
        <v>123</v>
      </c>
      <c r="B204" s="240" t="s">
        <v>780</v>
      </c>
      <c r="C204" s="137">
        <v>2</v>
      </c>
      <c r="D204" s="139">
        <v>3</v>
      </c>
      <c r="E204" s="140">
        <f>D204+C204</f>
        <v>5</v>
      </c>
      <c r="F204" s="137">
        <v>0</v>
      </c>
      <c r="G204" s="138">
        <v>122</v>
      </c>
      <c r="H204" s="138">
        <v>122</v>
      </c>
      <c r="I204" s="137">
        <v>0</v>
      </c>
      <c r="J204" s="138">
        <v>275</v>
      </c>
      <c r="K204" s="142">
        <f t="shared" ref="K204:K213" si="33">J204+I204</f>
        <v>275</v>
      </c>
      <c r="L204" s="137" t="s">
        <v>56</v>
      </c>
      <c r="M204" s="138">
        <v>397</v>
      </c>
      <c r="N204" s="142">
        <v>397</v>
      </c>
      <c r="O204" s="238" t="s">
        <v>1849</v>
      </c>
      <c r="P204" s="928">
        <v>123</v>
      </c>
    </row>
    <row r="205" spans="1:40" ht="27" customHeight="1">
      <c r="A205" s="797">
        <v>124</v>
      </c>
      <c r="B205" s="271" t="s">
        <v>1283</v>
      </c>
      <c r="C205" s="713">
        <v>0</v>
      </c>
      <c r="D205" s="134">
        <v>7</v>
      </c>
      <c r="E205" s="135">
        <f t="shared" ref="E205:E208" si="34">D205+C205</f>
        <v>7</v>
      </c>
      <c r="F205" s="713">
        <v>0</v>
      </c>
      <c r="G205" s="714">
        <v>32</v>
      </c>
      <c r="H205" s="714">
        <v>32</v>
      </c>
      <c r="I205" s="713">
        <v>0</v>
      </c>
      <c r="J205" s="714">
        <v>119</v>
      </c>
      <c r="K205" s="141">
        <f t="shared" si="33"/>
        <v>119</v>
      </c>
      <c r="L205" s="713" t="s">
        <v>56</v>
      </c>
      <c r="M205" s="714">
        <v>169</v>
      </c>
      <c r="N205" s="141">
        <v>169</v>
      </c>
      <c r="O205" s="635" t="s">
        <v>1930</v>
      </c>
      <c r="P205" s="927">
        <v>124</v>
      </c>
    </row>
    <row r="206" spans="1:40" s="676" customFormat="1" ht="27" customHeight="1">
      <c r="A206" s="192">
        <v>125</v>
      </c>
      <c r="B206" s="240" t="s">
        <v>1284</v>
      </c>
      <c r="C206" s="137">
        <v>1</v>
      </c>
      <c r="D206" s="139">
        <v>4</v>
      </c>
      <c r="E206" s="139">
        <f t="shared" si="34"/>
        <v>5</v>
      </c>
      <c r="F206" s="137">
        <v>0</v>
      </c>
      <c r="G206" s="138">
        <v>45</v>
      </c>
      <c r="H206" s="142">
        <v>45</v>
      </c>
      <c r="I206" s="137">
        <v>0</v>
      </c>
      <c r="J206" s="138">
        <v>81</v>
      </c>
      <c r="K206" s="142">
        <f t="shared" si="33"/>
        <v>81</v>
      </c>
      <c r="L206" s="138" t="s">
        <v>56</v>
      </c>
      <c r="M206" s="138">
        <v>147</v>
      </c>
      <c r="N206" s="142">
        <v>147</v>
      </c>
      <c r="O206" s="238" t="s">
        <v>1931</v>
      </c>
      <c r="P206" s="928">
        <v>125</v>
      </c>
    </row>
    <row r="207" spans="1:40" ht="27" customHeight="1">
      <c r="A207" s="797">
        <v>126</v>
      </c>
      <c r="B207" s="271" t="s">
        <v>325</v>
      </c>
      <c r="C207" s="713">
        <v>1</v>
      </c>
      <c r="D207" s="134">
        <v>14</v>
      </c>
      <c r="E207" s="134">
        <f t="shared" si="34"/>
        <v>15</v>
      </c>
      <c r="F207" s="713">
        <v>0</v>
      </c>
      <c r="G207" s="714">
        <v>51</v>
      </c>
      <c r="H207" s="714">
        <v>51</v>
      </c>
      <c r="I207" s="713">
        <v>0</v>
      </c>
      <c r="J207" s="714">
        <v>65</v>
      </c>
      <c r="K207" s="141">
        <f t="shared" si="33"/>
        <v>65</v>
      </c>
      <c r="L207" s="714" t="s">
        <v>56</v>
      </c>
      <c r="M207" s="714">
        <v>129</v>
      </c>
      <c r="N207" s="141">
        <v>129</v>
      </c>
      <c r="O207" s="635" t="s">
        <v>1932</v>
      </c>
      <c r="P207" s="927">
        <v>126</v>
      </c>
    </row>
    <row r="208" spans="1:40" s="676" customFormat="1" ht="27" customHeight="1">
      <c r="A208" s="192">
        <v>127</v>
      </c>
      <c r="B208" s="241" t="s">
        <v>326</v>
      </c>
      <c r="C208" s="137">
        <v>1</v>
      </c>
      <c r="D208" s="139">
        <v>6</v>
      </c>
      <c r="E208" s="139">
        <f t="shared" si="34"/>
        <v>7</v>
      </c>
      <c r="F208" s="137">
        <v>0</v>
      </c>
      <c r="G208" s="138">
        <v>15</v>
      </c>
      <c r="H208" s="138">
        <v>15</v>
      </c>
      <c r="I208" s="137">
        <v>0</v>
      </c>
      <c r="J208" s="138">
        <v>57</v>
      </c>
      <c r="K208" s="142">
        <f t="shared" si="33"/>
        <v>57</v>
      </c>
      <c r="L208" s="138" t="s">
        <v>56</v>
      </c>
      <c r="M208" s="138">
        <v>72</v>
      </c>
      <c r="N208" s="142">
        <v>72</v>
      </c>
      <c r="O208" s="246" t="s">
        <v>1933</v>
      </c>
      <c r="P208" s="928">
        <v>127</v>
      </c>
      <c r="AI208" s="639"/>
      <c r="AJ208" s="639"/>
      <c r="AK208" s="639"/>
      <c r="AL208" s="639"/>
      <c r="AM208" s="639"/>
      <c r="AN208" s="639"/>
    </row>
    <row r="209" spans="1:40" ht="27" customHeight="1">
      <c r="A209" s="797">
        <v>128</v>
      </c>
      <c r="B209" s="271" t="s">
        <v>1285</v>
      </c>
      <c r="C209" s="713" t="s">
        <v>56</v>
      </c>
      <c r="D209" s="134">
        <v>1</v>
      </c>
      <c r="E209" s="134">
        <f t="shared" ref="E209:E213" si="35">D209</f>
        <v>1</v>
      </c>
      <c r="F209" s="713">
        <v>0</v>
      </c>
      <c r="G209" s="714">
        <v>44</v>
      </c>
      <c r="H209" s="714">
        <v>44</v>
      </c>
      <c r="I209" s="713">
        <v>0</v>
      </c>
      <c r="J209" s="714">
        <v>32</v>
      </c>
      <c r="K209" s="141">
        <f t="shared" si="33"/>
        <v>32</v>
      </c>
      <c r="L209" s="714" t="s">
        <v>56</v>
      </c>
      <c r="M209" s="714">
        <v>76</v>
      </c>
      <c r="N209" s="141">
        <v>76</v>
      </c>
      <c r="O209" s="635" t="s">
        <v>1934</v>
      </c>
      <c r="P209" s="927">
        <v>128</v>
      </c>
      <c r="S209"/>
      <c r="T209" s="622"/>
      <c r="U209" s="137"/>
      <c r="V209" s="139"/>
      <c r="W209" s="140"/>
      <c r="X209" s="137"/>
      <c r="Y209" s="138"/>
      <c r="Z209" s="138"/>
      <c r="AA209" s="137"/>
      <c r="AB209" s="138"/>
      <c r="AC209" s="142"/>
      <c r="AD209" s="137"/>
      <c r="AE209" s="138"/>
      <c r="AF209" s="142"/>
      <c r="AG209" s="1000"/>
      <c r="AH209" s="928"/>
      <c r="AI209"/>
      <c r="AJ209"/>
      <c r="AK209"/>
      <c r="AL209"/>
      <c r="AM209"/>
      <c r="AN209"/>
    </row>
    <row r="210" spans="1:40" s="676" customFormat="1" ht="27" customHeight="1">
      <c r="A210" s="192">
        <v>129</v>
      </c>
      <c r="B210" s="241" t="s">
        <v>1286</v>
      </c>
      <c r="C210" s="137" t="s">
        <v>56</v>
      </c>
      <c r="D210" s="139">
        <v>2</v>
      </c>
      <c r="E210" s="139">
        <f t="shared" si="35"/>
        <v>2</v>
      </c>
      <c r="F210" s="137">
        <v>0</v>
      </c>
      <c r="G210" s="138">
        <v>18</v>
      </c>
      <c r="H210" s="138">
        <v>18</v>
      </c>
      <c r="I210" s="137">
        <v>0</v>
      </c>
      <c r="J210" s="138">
        <v>45</v>
      </c>
      <c r="K210" s="142">
        <f t="shared" si="33"/>
        <v>45</v>
      </c>
      <c r="L210" s="138" t="s">
        <v>56</v>
      </c>
      <c r="M210" s="138">
        <v>80</v>
      </c>
      <c r="N210" s="142">
        <v>80</v>
      </c>
      <c r="O210" s="246" t="s">
        <v>1935</v>
      </c>
      <c r="P210" s="928">
        <v>129</v>
      </c>
      <c r="S210"/>
      <c r="T210" s="843"/>
      <c r="U210" s="713"/>
      <c r="V210" s="134"/>
      <c r="W210" s="135"/>
      <c r="X210" s="713"/>
      <c r="Y210" s="714"/>
      <c r="Z210" s="714"/>
      <c r="AA210" s="713"/>
      <c r="AB210" s="714"/>
      <c r="AC210" s="141"/>
      <c r="AD210" s="713"/>
      <c r="AE210" s="714"/>
      <c r="AF210" s="141"/>
      <c r="AG210" s="743"/>
      <c r="AH210" s="927"/>
      <c r="AI210" s="639"/>
      <c r="AJ210" s="639"/>
      <c r="AK210" s="639"/>
      <c r="AL210" s="639"/>
      <c r="AM210" s="639"/>
      <c r="AN210" s="639"/>
    </row>
    <row r="211" spans="1:40" ht="27" customHeight="1">
      <c r="A211" s="797">
        <v>130</v>
      </c>
      <c r="B211" s="271" t="s">
        <v>327</v>
      </c>
      <c r="C211" s="713" t="s">
        <v>56</v>
      </c>
      <c r="D211" s="134">
        <v>6</v>
      </c>
      <c r="E211" s="134">
        <f t="shared" si="35"/>
        <v>6</v>
      </c>
      <c r="F211" s="713">
        <v>0</v>
      </c>
      <c r="G211" s="714">
        <v>59</v>
      </c>
      <c r="H211" s="714">
        <v>59</v>
      </c>
      <c r="I211" s="713">
        <v>0</v>
      </c>
      <c r="J211" s="714">
        <v>82</v>
      </c>
      <c r="K211" s="141">
        <f t="shared" si="33"/>
        <v>82</v>
      </c>
      <c r="L211" s="714" t="s">
        <v>56</v>
      </c>
      <c r="M211" s="714">
        <v>158</v>
      </c>
      <c r="N211" s="141">
        <v>158</v>
      </c>
      <c r="O211" s="635" t="s">
        <v>1936</v>
      </c>
      <c r="P211" s="927">
        <v>130</v>
      </c>
      <c r="AI211"/>
      <c r="AJ211"/>
      <c r="AK211"/>
      <c r="AL211"/>
      <c r="AM211"/>
      <c r="AN211"/>
    </row>
    <row r="212" spans="1:40" s="676" customFormat="1" ht="27" customHeight="1">
      <c r="A212" s="192">
        <v>131</v>
      </c>
      <c r="B212" s="241" t="s">
        <v>328</v>
      </c>
      <c r="C212" s="137" t="s">
        <v>56</v>
      </c>
      <c r="D212" s="139">
        <v>5</v>
      </c>
      <c r="E212" s="139">
        <f t="shared" si="35"/>
        <v>5</v>
      </c>
      <c r="F212" s="137">
        <v>0</v>
      </c>
      <c r="G212" s="138">
        <v>39</v>
      </c>
      <c r="H212" s="138">
        <v>39</v>
      </c>
      <c r="I212" s="137">
        <v>0</v>
      </c>
      <c r="J212" s="138">
        <v>60</v>
      </c>
      <c r="K212" s="142">
        <f t="shared" si="33"/>
        <v>60</v>
      </c>
      <c r="L212" s="138" t="s">
        <v>56</v>
      </c>
      <c r="M212" s="138">
        <v>121</v>
      </c>
      <c r="N212" s="142">
        <v>121</v>
      </c>
      <c r="O212" s="246" t="s">
        <v>1937</v>
      </c>
      <c r="P212" s="928">
        <v>131</v>
      </c>
      <c r="Y212" s="639"/>
      <c r="Z212" s="639"/>
      <c r="AA212" s="639"/>
      <c r="AB212" s="639"/>
      <c r="AC212" s="639"/>
      <c r="AD212" s="639"/>
      <c r="AE212" s="639"/>
      <c r="AF212" s="639"/>
      <c r="AG212" s="639"/>
      <c r="AH212" s="639"/>
      <c r="AI212" s="639"/>
      <c r="AJ212" s="639"/>
      <c r="AK212" s="639"/>
      <c r="AL212" s="639"/>
      <c r="AM212" s="639"/>
      <c r="AN212" s="639"/>
    </row>
    <row r="213" spans="1:40" ht="23" customHeight="1">
      <c r="A213" s="797">
        <v>132</v>
      </c>
      <c r="B213" s="239" t="s">
        <v>1287</v>
      </c>
      <c r="C213" s="713" t="s">
        <v>56</v>
      </c>
      <c r="D213" s="134">
        <v>4</v>
      </c>
      <c r="E213" s="135">
        <f t="shared" si="35"/>
        <v>4</v>
      </c>
      <c r="F213" s="713">
        <v>0</v>
      </c>
      <c r="G213" s="714">
        <v>53</v>
      </c>
      <c r="H213" s="714">
        <v>53</v>
      </c>
      <c r="I213" s="713"/>
      <c r="J213" s="714">
        <v>105</v>
      </c>
      <c r="K213" s="141">
        <f t="shared" si="33"/>
        <v>105</v>
      </c>
      <c r="L213" s="714" t="s">
        <v>56</v>
      </c>
      <c r="M213" s="714">
        <v>178</v>
      </c>
      <c r="N213" s="141">
        <v>178</v>
      </c>
      <c r="O213" s="643" t="s">
        <v>1938</v>
      </c>
      <c r="P213" s="927">
        <v>132</v>
      </c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</row>
    <row r="214" spans="1:40" s="676" customFormat="1" ht="17.25" customHeight="1">
      <c r="A214" s="192"/>
      <c r="B214" s="622" t="s">
        <v>148</v>
      </c>
      <c r="C214" s="137"/>
      <c r="D214" s="139"/>
      <c r="E214" s="139"/>
      <c r="F214" s="137"/>
      <c r="G214" s="138"/>
      <c r="H214" s="142"/>
      <c r="I214" s="137"/>
      <c r="J214" s="138"/>
      <c r="K214" s="142"/>
      <c r="L214" s="137"/>
      <c r="M214" s="138"/>
      <c r="N214" s="142"/>
      <c r="O214" s="443" t="s">
        <v>37</v>
      </c>
      <c r="P214" s="928"/>
      <c r="Y214" s="639"/>
      <c r="Z214" s="639"/>
      <c r="AA214" s="639"/>
      <c r="AB214" s="639"/>
      <c r="AC214" s="639"/>
      <c r="AD214" s="639"/>
      <c r="AE214" s="639"/>
      <c r="AF214" s="639"/>
      <c r="AG214" s="639"/>
      <c r="AH214" s="639"/>
      <c r="AI214" s="639"/>
      <c r="AJ214" s="639"/>
      <c r="AK214" s="639"/>
      <c r="AL214" s="639"/>
      <c r="AM214" s="639"/>
      <c r="AN214" s="639"/>
    </row>
    <row r="215" spans="1:40" ht="23" customHeight="1">
      <c r="A215" s="797">
        <v>133</v>
      </c>
      <c r="B215" s="271" t="s">
        <v>783</v>
      </c>
      <c r="C215" s="713" t="s">
        <v>56</v>
      </c>
      <c r="D215" s="134">
        <v>5</v>
      </c>
      <c r="E215" s="134">
        <f t="shared" ref="E215:E218" si="36">D215</f>
        <v>5</v>
      </c>
      <c r="F215" s="713">
        <v>0</v>
      </c>
      <c r="G215" s="714">
        <v>43</v>
      </c>
      <c r="H215" s="714">
        <v>43</v>
      </c>
      <c r="I215" s="713">
        <v>0</v>
      </c>
      <c r="J215" s="714">
        <v>180</v>
      </c>
      <c r="K215" s="141">
        <f>J215+I215</f>
        <v>180</v>
      </c>
      <c r="L215" s="714" t="s">
        <v>56</v>
      </c>
      <c r="M215" s="714">
        <v>223</v>
      </c>
      <c r="N215" s="141">
        <v>223</v>
      </c>
      <c r="O215" s="635" t="s">
        <v>1856</v>
      </c>
      <c r="P215" s="927">
        <v>133</v>
      </c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</row>
    <row r="216" spans="1:40" s="676" customFormat="1" ht="27" customHeight="1">
      <c r="A216" s="192">
        <v>134</v>
      </c>
      <c r="B216" s="241" t="s">
        <v>329</v>
      </c>
      <c r="C216" s="137" t="s">
        <v>56</v>
      </c>
      <c r="D216" s="139">
        <v>8</v>
      </c>
      <c r="E216" s="139">
        <f t="shared" si="36"/>
        <v>8</v>
      </c>
      <c r="F216" s="137">
        <v>0</v>
      </c>
      <c r="G216" s="138">
        <v>14</v>
      </c>
      <c r="H216" s="138">
        <v>14</v>
      </c>
      <c r="I216" s="137"/>
      <c r="J216" s="138">
        <v>89</v>
      </c>
      <c r="K216" s="142">
        <f>J216+I216</f>
        <v>89</v>
      </c>
      <c r="L216" s="138" t="s">
        <v>56</v>
      </c>
      <c r="M216" s="138">
        <v>114</v>
      </c>
      <c r="N216" s="142">
        <v>114</v>
      </c>
      <c r="O216" s="246" t="s">
        <v>1939</v>
      </c>
      <c r="P216" s="928">
        <v>134</v>
      </c>
    </row>
    <row r="217" spans="1:40" ht="27" customHeight="1">
      <c r="A217" s="797">
        <v>135</v>
      </c>
      <c r="B217" s="271" t="s">
        <v>330</v>
      </c>
      <c r="C217" s="713" t="s">
        <v>56</v>
      </c>
      <c r="D217" s="134">
        <v>2</v>
      </c>
      <c r="E217" s="134">
        <f t="shared" si="36"/>
        <v>2</v>
      </c>
      <c r="F217" s="713">
        <v>0</v>
      </c>
      <c r="G217" s="714">
        <v>36</v>
      </c>
      <c r="H217" s="714">
        <v>36</v>
      </c>
      <c r="I217" s="713">
        <v>0</v>
      </c>
      <c r="J217" s="714">
        <v>85</v>
      </c>
      <c r="K217" s="141">
        <f>J217+I217</f>
        <v>85</v>
      </c>
      <c r="L217" s="714" t="s">
        <v>56</v>
      </c>
      <c r="M217" s="714">
        <v>157</v>
      </c>
      <c r="N217" s="141">
        <v>157</v>
      </c>
      <c r="O217" s="635" t="s">
        <v>1940</v>
      </c>
      <c r="P217" s="927">
        <v>135</v>
      </c>
    </row>
    <row r="218" spans="1:40" ht="27" customHeight="1">
      <c r="A218" s="192">
        <v>136</v>
      </c>
      <c r="B218" s="241" t="s">
        <v>1248</v>
      </c>
      <c r="C218" s="137" t="s">
        <v>56</v>
      </c>
      <c r="D218" s="139">
        <v>1</v>
      </c>
      <c r="E218" s="139">
        <f t="shared" si="36"/>
        <v>1</v>
      </c>
      <c r="F218" s="137">
        <v>0</v>
      </c>
      <c r="G218" s="138">
        <v>63</v>
      </c>
      <c r="H218" s="138">
        <v>63</v>
      </c>
      <c r="I218" s="137">
        <v>0</v>
      </c>
      <c r="J218" s="138">
        <v>129</v>
      </c>
      <c r="K218" s="142">
        <f>J218+I218</f>
        <v>129</v>
      </c>
      <c r="L218" s="138" t="s">
        <v>56</v>
      </c>
      <c r="M218" s="138">
        <v>192</v>
      </c>
      <c r="N218" s="142">
        <v>192</v>
      </c>
      <c r="O218" s="246" t="s">
        <v>1941</v>
      </c>
      <c r="P218" s="928">
        <v>136</v>
      </c>
    </row>
    <row r="219" spans="1:40" s="676" customFormat="1" ht="27" customHeight="1">
      <c r="A219" s="800">
        <v>137</v>
      </c>
      <c r="B219" s="801" t="s">
        <v>658</v>
      </c>
      <c r="C219" s="811">
        <v>1</v>
      </c>
      <c r="D219" s="194">
        <v>8</v>
      </c>
      <c r="E219" s="194">
        <f t="shared" ref="E219" si="37">D219+C219</f>
        <v>9</v>
      </c>
      <c r="F219" s="811">
        <v>0</v>
      </c>
      <c r="G219" s="812">
        <v>245</v>
      </c>
      <c r="H219" s="812">
        <v>245</v>
      </c>
      <c r="I219" s="811"/>
      <c r="J219" s="812">
        <v>248</v>
      </c>
      <c r="K219" s="193">
        <f>J219+I219</f>
        <v>248</v>
      </c>
      <c r="L219" s="812" t="s">
        <v>56</v>
      </c>
      <c r="M219" s="812">
        <v>555</v>
      </c>
      <c r="N219" s="193">
        <v>555</v>
      </c>
      <c r="O219" s="650" t="s">
        <v>1942</v>
      </c>
      <c r="P219" s="930">
        <v>137</v>
      </c>
    </row>
    <row r="220" spans="1:40" ht="14.25" hidden="1" customHeight="1">
      <c r="A220" s="1508" t="s">
        <v>1188</v>
      </c>
      <c r="B220" s="1508"/>
      <c r="C220" s="168"/>
      <c r="D220" s="168"/>
      <c r="E220" s="157"/>
      <c r="F220" s="168"/>
      <c r="G220" s="168"/>
      <c r="H220" s="168"/>
      <c r="I220" s="168"/>
      <c r="J220" s="168"/>
      <c r="K220" s="168"/>
      <c r="L220" s="168"/>
      <c r="M220" s="168"/>
      <c r="N220" s="168"/>
      <c r="O220" s="1509" t="s">
        <v>1297</v>
      </c>
      <c r="P220" s="1509"/>
      <c r="Q220"/>
      <c r="R220"/>
      <c r="S220"/>
      <c r="T220"/>
      <c r="U220"/>
      <c r="V220"/>
      <c r="W220"/>
      <c r="X220"/>
    </row>
    <row r="221" spans="1:40" ht="14.25" hidden="1" customHeight="1">
      <c r="A221" s="1520"/>
      <c r="B221" s="1520"/>
      <c r="C221" s="157"/>
      <c r="D221" s="157"/>
      <c r="E221" s="157"/>
      <c r="F221" s="168"/>
      <c r="G221" s="168"/>
      <c r="H221" s="168"/>
      <c r="I221" s="168"/>
      <c r="J221" s="168"/>
      <c r="K221" s="168"/>
      <c r="L221" s="1526" t="s">
        <v>1298</v>
      </c>
      <c r="M221" s="1526"/>
      <c r="N221" s="1526"/>
      <c r="O221" s="1526"/>
      <c r="P221" s="1526"/>
      <c r="Q221"/>
      <c r="R221"/>
      <c r="S221"/>
      <c r="T221"/>
      <c r="U221"/>
      <c r="V221"/>
      <c r="W221"/>
      <c r="X221"/>
    </row>
    <row r="222" spans="1:40" s="676" customFormat="1" ht="22" hidden="1" customHeight="1">
      <c r="A222" s="1438" t="s">
        <v>621</v>
      </c>
      <c r="B222" s="1468" t="s">
        <v>286</v>
      </c>
      <c r="C222" s="1320" t="s">
        <v>1307</v>
      </c>
      <c r="D222" s="1470"/>
      <c r="E222" s="1449"/>
      <c r="F222" s="1320" t="s">
        <v>1219</v>
      </c>
      <c r="G222" s="1470"/>
      <c r="H222" s="1449"/>
      <c r="I222" s="1320" t="s">
        <v>1218</v>
      </c>
      <c r="J222" s="1470"/>
      <c r="K222" s="1449"/>
      <c r="L222" s="1320" t="s">
        <v>79</v>
      </c>
      <c r="M222" s="1470"/>
      <c r="N222" s="1449"/>
      <c r="O222" s="1513" t="s">
        <v>1575</v>
      </c>
      <c r="P222" s="1471" t="s">
        <v>727</v>
      </c>
    </row>
    <row r="223" spans="1:40" s="676" customFormat="1" ht="22" hidden="1" customHeight="1">
      <c r="A223" s="1439"/>
      <c r="B223" s="1468"/>
      <c r="C223" s="1280"/>
      <c r="D223" s="1474"/>
      <c r="E223" s="1475"/>
      <c r="F223" s="1280"/>
      <c r="G223" s="1474"/>
      <c r="H223" s="1475"/>
      <c r="I223" s="1280"/>
      <c r="J223" s="1474"/>
      <c r="K223" s="1475"/>
      <c r="L223" s="1280"/>
      <c r="M223" s="1474"/>
      <c r="N223" s="1475"/>
      <c r="O223" s="1507"/>
      <c r="P223" s="1472"/>
    </row>
    <row r="224" spans="1:40" s="676" customFormat="1" ht="30" hidden="1" customHeight="1">
      <c r="A224" s="1439"/>
      <c r="B224" s="1468"/>
      <c r="C224" s="1280" t="s">
        <v>138</v>
      </c>
      <c r="D224" s="1474"/>
      <c r="E224" s="1475"/>
      <c r="F224" s="1280" t="s">
        <v>1186</v>
      </c>
      <c r="G224" s="1474"/>
      <c r="H224" s="1475"/>
      <c r="I224" s="1280" t="s">
        <v>587</v>
      </c>
      <c r="J224" s="1474"/>
      <c r="K224" s="1475"/>
      <c r="L224" s="1280" t="s">
        <v>137</v>
      </c>
      <c r="M224" s="1474"/>
      <c r="N224" s="1475"/>
      <c r="O224" s="1507"/>
      <c r="P224" s="1472"/>
    </row>
    <row r="225" spans="1:16" s="676" customFormat="1" ht="22" hidden="1" customHeight="1">
      <c r="A225" s="1439"/>
      <c r="B225" s="1468"/>
      <c r="C225" s="1280" t="s">
        <v>583</v>
      </c>
      <c r="D225" s="1474" t="s">
        <v>581</v>
      </c>
      <c r="E225" s="1474" t="s">
        <v>489</v>
      </c>
      <c r="F225" s="1280" t="s">
        <v>583</v>
      </c>
      <c r="G225" s="1474" t="s">
        <v>589</v>
      </c>
      <c r="H225" s="1474" t="s">
        <v>489</v>
      </c>
      <c r="I225" s="1280" t="s">
        <v>583</v>
      </c>
      <c r="J225" s="1474" t="s">
        <v>589</v>
      </c>
      <c r="K225" s="1474" t="s">
        <v>489</v>
      </c>
      <c r="L225" s="1280" t="s">
        <v>583</v>
      </c>
      <c r="M225" s="1474" t="s">
        <v>588</v>
      </c>
      <c r="N225" s="1475" t="s">
        <v>489</v>
      </c>
      <c r="O225" s="1507"/>
      <c r="P225" s="1472"/>
    </row>
    <row r="226" spans="1:16" s="676" customFormat="1" ht="22" hidden="1" customHeight="1">
      <c r="A226" s="1439"/>
      <c r="B226" s="1468"/>
      <c r="C226" s="1280"/>
      <c r="D226" s="1474"/>
      <c r="E226" s="1474"/>
      <c r="F226" s="1280"/>
      <c r="G226" s="1474"/>
      <c r="H226" s="1474"/>
      <c r="I226" s="1280"/>
      <c r="J226" s="1474"/>
      <c r="K226" s="1474"/>
      <c r="L226" s="1280"/>
      <c r="M226" s="1474"/>
      <c r="N226" s="1475"/>
      <c r="O226" s="1507"/>
      <c r="P226" s="1472"/>
    </row>
    <row r="227" spans="1:16" s="676" customFormat="1" ht="30" hidden="1" customHeight="1">
      <c r="A227" s="1462"/>
      <c r="B227" s="1468"/>
      <c r="C227" s="872" t="s">
        <v>133</v>
      </c>
      <c r="D227" s="873" t="s">
        <v>134</v>
      </c>
      <c r="E227" s="960" t="s">
        <v>100</v>
      </c>
      <c r="F227" s="872" t="s">
        <v>133</v>
      </c>
      <c r="G227" s="873" t="s">
        <v>134</v>
      </c>
      <c r="H227" s="960" t="s">
        <v>100</v>
      </c>
      <c r="I227" s="872" t="s">
        <v>133</v>
      </c>
      <c r="J227" s="873" t="s">
        <v>134</v>
      </c>
      <c r="K227" s="871" t="s">
        <v>100</v>
      </c>
      <c r="L227" s="872" t="s">
        <v>133</v>
      </c>
      <c r="M227" s="873" t="s">
        <v>134</v>
      </c>
      <c r="N227" s="893" t="s">
        <v>100</v>
      </c>
      <c r="O227" s="1514"/>
      <c r="P227" s="1473"/>
    </row>
    <row r="228" spans="1:16" s="676" customFormat="1" ht="24" customHeight="1">
      <c r="A228" s="797"/>
      <c r="B228" s="843" t="s">
        <v>149</v>
      </c>
      <c r="C228" s="713"/>
      <c r="D228" s="134"/>
      <c r="E228" s="134"/>
      <c r="F228" s="713"/>
      <c r="G228" s="714"/>
      <c r="H228" s="714"/>
      <c r="I228" s="713"/>
      <c r="J228" s="714"/>
      <c r="K228" s="141"/>
      <c r="L228" s="714"/>
      <c r="M228" s="714"/>
      <c r="N228" s="141"/>
      <c r="O228" s="727" t="s">
        <v>38</v>
      </c>
      <c r="P228" s="927"/>
    </row>
    <row r="229" spans="1:16" ht="30" customHeight="1">
      <c r="A229" s="192">
        <v>138</v>
      </c>
      <c r="B229" s="241" t="s">
        <v>784</v>
      </c>
      <c r="C229" s="137">
        <v>1</v>
      </c>
      <c r="D229" s="139">
        <v>23</v>
      </c>
      <c r="E229" s="139">
        <f>D229+C229</f>
        <v>24</v>
      </c>
      <c r="F229" s="137">
        <v>0</v>
      </c>
      <c r="G229" s="138">
        <v>172</v>
      </c>
      <c r="H229" s="138">
        <v>172</v>
      </c>
      <c r="I229" s="137">
        <v>0</v>
      </c>
      <c r="J229" s="138">
        <f>365-63</f>
        <v>302</v>
      </c>
      <c r="K229" s="142">
        <f>J229+I229</f>
        <v>302</v>
      </c>
      <c r="L229" s="138" t="s">
        <v>56</v>
      </c>
      <c r="M229" s="138">
        <v>396</v>
      </c>
      <c r="N229" s="142">
        <v>396</v>
      </c>
      <c r="O229" s="246" t="s">
        <v>1911</v>
      </c>
      <c r="P229" s="928">
        <v>138</v>
      </c>
    </row>
    <row r="230" spans="1:16" s="676" customFormat="1" ht="30" customHeight="1">
      <c r="A230" s="797">
        <v>139</v>
      </c>
      <c r="B230" s="271" t="s">
        <v>818</v>
      </c>
      <c r="C230" s="713" t="s">
        <v>56</v>
      </c>
      <c r="D230" s="134">
        <v>10</v>
      </c>
      <c r="E230" s="134">
        <f t="shared" ref="E230:E232" si="38">D230</f>
        <v>10</v>
      </c>
      <c r="F230" s="713">
        <v>0</v>
      </c>
      <c r="G230" s="714">
        <v>86</v>
      </c>
      <c r="H230" s="714">
        <v>86</v>
      </c>
      <c r="I230" s="713">
        <v>0</v>
      </c>
      <c r="J230" s="714">
        <v>108</v>
      </c>
      <c r="K230" s="141">
        <f>J230+I230</f>
        <v>108</v>
      </c>
      <c r="L230" s="714" t="s">
        <v>56</v>
      </c>
      <c r="M230" s="714">
        <v>304</v>
      </c>
      <c r="N230" s="141">
        <v>304</v>
      </c>
      <c r="O230" s="635" t="s">
        <v>1916</v>
      </c>
      <c r="P230" s="927">
        <v>139</v>
      </c>
    </row>
    <row r="231" spans="1:16" ht="24" customHeight="1">
      <c r="A231" s="192">
        <v>140</v>
      </c>
      <c r="B231" s="241" t="s">
        <v>804</v>
      </c>
      <c r="C231" s="137" t="s">
        <v>56</v>
      </c>
      <c r="D231" s="139">
        <v>6</v>
      </c>
      <c r="E231" s="139">
        <f t="shared" si="38"/>
        <v>6</v>
      </c>
      <c r="F231" s="137">
        <v>0</v>
      </c>
      <c r="G231" s="138">
        <v>86</v>
      </c>
      <c r="H231" s="138">
        <v>86</v>
      </c>
      <c r="I231" s="137">
        <v>0</v>
      </c>
      <c r="J231" s="138">
        <v>216</v>
      </c>
      <c r="K231" s="142">
        <f>J231+I231</f>
        <v>216</v>
      </c>
      <c r="L231" s="138" t="s">
        <v>56</v>
      </c>
      <c r="M231" s="138">
        <v>348</v>
      </c>
      <c r="N231" s="142">
        <v>348</v>
      </c>
      <c r="O231" s="246" t="s">
        <v>1910</v>
      </c>
      <c r="P231" s="928">
        <v>140</v>
      </c>
    </row>
    <row r="232" spans="1:16" s="676" customFormat="1" ht="30" customHeight="1">
      <c r="A232" s="797">
        <v>141</v>
      </c>
      <c r="B232" s="271" t="s">
        <v>1288</v>
      </c>
      <c r="C232" s="713" t="s">
        <v>56</v>
      </c>
      <c r="D232" s="134">
        <v>5</v>
      </c>
      <c r="E232" s="134">
        <f t="shared" si="38"/>
        <v>5</v>
      </c>
      <c r="F232" s="713">
        <v>0</v>
      </c>
      <c r="G232" s="714">
        <v>40</v>
      </c>
      <c r="H232" s="714">
        <v>40</v>
      </c>
      <c r="I232" s="713">
        <v>0</v>
      </c>
      <c r="J232" s="714">
        <v>63</v>
      </c>
      <c r="K232" s="141">
        <f>J232+I232</f>
        <v>63</v>
      </c>
      <c r="L232" s="714" t="s">
        <v>56</v>
      </c>
      <c r="M232" s="714">
        <v>123</v>
      </c>
      <c r="N232" s="141">
        <v>123</v>
      </c>
      <c r="O232" s="635" t="s">
        <v>1943</v>
      </c>
      <c r="P232" s="927">
        <v>141</v>
      </c>
    </row>
    <row r="233" spans="1:16" ht="24" customHeight="1">
      <c r="A233" s="192"/>
      <c r="B233" s="622" t="s">
        <v>150</v>
      </c>
      <c r="C233" s="137"/>
      <c r="D233" s="139"/>
      <c r="E233" s="139"/>
      <c r="F233" s="137"/>
      <c r="G233" s="138"/>
      <c r="H233" s="138"/>
      <c r="I233" s="137"/>
      <c r="J233" s="138"/>
      <c r="K233" s="142"/>
      <c r="L233" s="138"/>
      <c r="M233" s="138"/>
      <c r="N233" s="142"/>
      <c r="O233" s="443" t="s">
        <v>39</v>
      </c>
      <c r="P233" s="928"/>
    </row>
    <row r="234" spans="1:16" ht="24" customHeight="1">
      <c r="A234" s="797">
        <v>142</v>
      </c>
      <c r="B234" s="271" t="s">
        <v>783</v>
      </c>
      <c r="C234" s="713">
        <v>2</v>
      </c>
      <c r="D234" s="134">
        <v>9</v>
      </c>
      <c r="E234" s="134">
        <f t="shared" ref="E234:E236" si="39">D234+C234</f>
        <v>11</v>
      </c>
      <c r="F234" s="713">
        <v>0</v>
      </c>
      <c r="G234" s="714">
        <v>26</v>
      </c>
      <c r="H234" s="141">
        <v>26</v>
      </c>
      <c r="I234" s="713">
        <v>0</v>
      </c>
      <c r="J234" s="714">
        <v>54</v>
      </c>
      <c r="K234" s="141">
        <f>J234+I234</f>
        <v>54</v>
      </c>
      <c r="L234" s="714" t="s">
        <v>56</v>
      </c>
      <c r="M234" s="714">
        <v>93</v>
      </c>
      <c r="N234" s="141">
        <v>93</v>
      </c>
      <c r="O234" s="643" t="s">
        <v>1944</v>
      </c>
      <c r="P234" s="927">
        <v>142</v>
      </c>
    </row>
    <row r="235" spans="1:16" s="676" customFormat="1" ht="30" customHeight="1">
      <c r="A235" s="192">
        <v>143</v>
      </c>
      <c r="B235" s="240" t="s">
        <v>1249</v>
      </c>
      <c r="C235" s="137">
        <v>11</v>
      </c>
      <c r="D235" s="139">
        <v>4</v>
      </c>
      <c r="E235" s="140">
        <f t="shared" si="39"/>
        <v>15</v>
      </c>
      <c r="F235" s="137">
        <v>0</v>
      </c>
      <c r="G235" s="138">
        <v>16</v>
      </c>
      <c r="H235" s="142">
        <v>16</v>
      </c>
      <c r="I235" s="137">
        <v>0</v>
      </c>
      <c r="J235" s="138">
        <v>50</v>
      </c>
      <c r="K235" s="142">
        <f>J235+I235</f>
        <v>50</v>
      </c>
      <c r="L235" s="137" t="s">
        <v>56</v>
      </c>
      <c r="M235" s="138">
        <v>66</v>
      </c>
      <c r="N235" s="142">
        <v>66</v>
      </c>
      <c r="O235" s="238" t="s">
        <v>1945</v>
      </c>
      <c r="P235" s="928">
        <v>143</v>
      </c>
    </row>
    <row r="236" spans="1:16" ht="24" customHeight="1">
      <c r="A236" s="797">
        <v>144</v>
      </c>
      <c r="B236" s="271" t="s">
        <v>820</v>
      </c>
      <c r="C236" s="713">
        <v>3</v>
      </c>
      <c r="D236" s="134">
        <v>5</v>
      </c>
      <c r="E236" s="135">
        <f t="shared" si="39"/>
        <v>8</v>
      </c>
      <c r="F236" s="713">
        <v>0</v>
      </c>
      <c r="G236" s="714">
        <v>52</v>
      </c>
      <c r="H236" s="141">
        <v>52</v>
      </c>
      <c r="I236" s="713">
        <v>0</v>
      </c>
      <c r="J236" s="714">
        <v>98</v>
      </c>
      <c r="K236" s="141">
        <f>J236+I236</f>
        <v>98</v>
      </c>
      <c r="L236" s="713" t="s">
        <v>56</v>
      </c>
      <c r="M236" s="714">
        <v>150</v>
      </c>
      <c r="N236" s="141">
        <v>150</v>
      </c>
      <c r="O236" s="643" t="s">
        <v>1911</v>
      </c>
      <c r="P236" s="931">
        <v>144</v>
      </c>
    </row>
    <row r="237" spans="1:16" s="676" customFormat="1" ht="30" customHeight="1">
      <c r="A237" s="192">
        <v>145</v>
      </c>
      <c r="B237" s="240" t="s">
        <v>821</v>
      </c>
      <c r="C237" s="137" t="s">
        <v>56</v>
      </c>
      <c r="D237" s="139">
        <v>3</v>
      </c>
      <c r="E237" s="140">
        <f>D237</f>
        <v>3</v>
      </c>
      <c r="F237" s="137">
        <v>0</v>
      </c>
      <c r="G237" s="138">
        <v>11</v>
      </c>
      <c r="H237" s="142">
        <v>11</v>
      </c>
      <c r="I237" s="137">
        <v>0</v>
      </c>
      <c r="J237" s="138">
        <v>62</v>
      </c>
      <c r="K237" s="142">
        <f>J237+I237</f>
        <v>62</v>
      </c>
      <c r="L237" s="137" t="s">
        <v>56</v>
      </c>
      <c r="M237" s="138">
        <v>36</v>
      </c>
      <c r="N237" s="142">
        <v>36</v>
      </c>
      <c r="O237" s="238" t="s">
        <v>1946</v>
      </c>
      <c r="P237" s="932">
        <v>145</v>
      </c>
    </row>
    <row r="238" spans="1:16" ht="24" customHeight="1">
      <c r="A238" s="797"/>
      <c r="B238" s="843" t="s">
        <v>151</v>
      </c>
      <c r="C238" s="713"/>
      <c r="D238" s="134"/>
      <c r="E238" s="135"/>
      <c r="F238" s="713"/>
      <c r="G238" s="714"/>
      <c r="H238" s="141"/>
      <c r="I238" s="713"/>
      <c r="J238" s="714"/>
      <c r="K238" s="141"/>
      <c r="L238" s="713"/>
      <c r="M238" s="714"/>
      <c r="N238" s="141"/>
      <c r="O238" s="743" t="s">
        <v>40</v>
      </c>
      <c r="P238" s="927"/>
    </row>
    <row r="239" spans="1:16" ht="24" customHeight="1">
      <c r="A239" s="192">
        <v>146</v>
      </c>
      <c r="B239" s="241" t="s">
        <v>822</v>
      </c>
      <c r="C239" s="137">
        <v>8</v>
      </c>
      <c r="D239" s="139">
        <v>19</v>
      </c>
      <c r="E239" s="140">
        <f t="shared" ref="E239:E245" si="40">D239+C239</f>
        <v>27</v>
      </c>
      <c r="F239" s="137">
        <v>0</v>
      </c>
      <c r="G239" s="138">
        <v>65</v>
      </c>
      <c r="H239" s="142">
        <v>65</v>
      </c>
      <c r="I239" s="137">
        <v>0</v>
      </c>
      <c r="J239" s="138">
        <v>116</v>
      </c>
      <c r="K239" s="142">
        <f t="shared" ref="K239:K245" si="41">J239+I239</f>
        <v>116</v>
      </c>
      <c r="L239" s="137" t="s">
        <v>56</v>
      </c>
      <c r="M239" s="138">
        <v>204</v>
      </c>
      <c r="N239" s="142">
        <v>204</v>
      </c>
      <c r="O239" s="238" t="s">
        <v>1947</v>
      </c>
      <c r="P239" s="932">
        <v>146</v>
      </c>
    </row>
    <row r="240" spans="1:16" s="676" customFormat="1" ht="24" customHeight="1">
      <c r="A240" s="797">
        <v>147</v>
      </c>
      <c r="B240" s="271" t="s">
        <v>823</v>
      </c>
      <c r="C240" s="713">
        <v>20</v>
      </c>
      <c r="D240" s="134">
        <v>33</v>
      </c>
      <c r="E240" s="135">
        <f t="shared" si="40"/>
        <v>53</v>
      </c>
      <c r="F240" s="713">
        <v>0</v>
      </c>
      <c r="G240" s="714">
        <v>88</v>
      </c>
      <c r="H240" s="141">
        <v>88</v>
      </c>
      <c r="I240" s="713">
        <v>0</v>
      </c>
      <c r="J240" s="714">
        <v>135</v>
      </c>
      <c r="K240" s="141">
        <f t="shared" si="41"/>
        <v>135</v>
      </c>
      <c r="L240" s="713" t="s">
        <v>56</v>
      </c>
      <c r="M240" s="714">
        <v>233</v>
      </c>
      <c r="N240" s="141">
        <v>233</v>
      </c>
      <c r="O240" s="643" t="s">
        <v>1948</v>
      </c>
      <c r="P240" s="931">
        <v>147</v>
      </c>
    </row>
    <row r="241" spans="1:24" ht="30" customHeight="1">
      <c r="A241" s="192">
        <v>148</v>
      </c>
      <c r="B241" s="241" t="s">
        <v>778</v>
      </c>
      <c r="C241" s="137">
        <v>8</v>
      </c>
      <c r="D241" s="139">
        <v>12</v>
      </c>
      <c r="E241" s="140">
        <f t="shared" si="40"/>
        <v>20</v>
      </c>
      <c r="F241" s="137">
        <v>0</v>
      </c>
      <c r="G241" s="138">
        <v>27</v>
      </c>
      <c r="H241" s="142">
        <v>27</v>
      </c>
      <c r="I241" s="137">
        <v>0</v>
      </c>
      <c r="J241" s="138">
        <v>100</v>
      </c>
      <c r="K241" s="142">
        <f t="shared" si="41"/>
        <v>100</v>
      </c>
      <c r="L241" s="137" t="s">
        <v>56</v>
      </c>
      <c r="M241" s="138">
        <v>127</v>
      </c>
      <c r="N241" s="142">
        <v>127</v>
      </c>
      <c r="O241" s="238" t="s">
        <v>1922</v>
      </c>
      <c r="P241" s="932">
        <v>148</v>
      </c>
    </row>
    <row r="242" spans="1:24" ht="30" customHeight="1">
      <c r="A242" s="797">
        <v>149</v>
      </c>
      <c r="B242" s="271" t="s">
        <v>486</v>
      </c>
      <c r="C242" s="713">
        <v>2</v>
      </c>
      <c r="D242" s="134">
        <v>6</v>
      </c>
      <c r="E242" s="135">
        <f t="shared" si="40"/>
        <v>8</v>
      </c>
      <c r="F242" s="713">
        <v>0</v>
      </c>
      <c r="G242" s="714">
        <v>25</v>
      </c>
      <c r="H242" s="141">
        <v>25</v>
      </c>
      <c r="I242" s="713">
        <v>0</v>
      </c>
      <c r="J242" s="714">
        <v>57</v>
      </c>
      <c r="K242" s="141">
        <f t="shared" si="41"/>
        <v>57</v>
      </c>
      <c r="L242" s="713" t="s">
        <v>56</v>
      </c>
      <c r="M242" s="714">
        <v>136</v>
      </c>
      <c r="N242" s="141">
        <v>136</v>
      </c>
      <c r="O242" s="643" t="s">
        <v>1949</v>
      </c>
      <c r="P242" s="931">
        <v>149</v>
      </c>
    </row>
    <row r="243" spans="1:24" ht="30" customHeight="1">
      <c r="A243" s="192">
        <v>150</v>
      </c>
      <c r="B243" s="241" t="s">
        <v>824</v>
      </c>
      <c r="C243" s="137" t="s">
        <v>56</v>
      </c>
      <c r="D243" s="139">
        <v>13</v>
      </c>
      <c r="E243" s="140">
        <f>D243</f>
        <v>13</v>
      </c>
      <c r="F243" s="137">
        <v>0</v>
      </c>
      <c r="G243" s="138">
        <v>44</v>
      </c>
      <c r="H243" s="142">
        <v>44</v>
      </c>
      <c r="I243" s="137">
        <v>0</v>
      </c>
      <c r="J243" s="138">
        <v>59</v>
      </c>
      <c r="K243" s="142">
        <f t="shared" si="41"/>
        <v>59</v>
      </c>
      <c r="L243" s="137" t="s">
        <v>56</v>
      </c>
      <c r="M243" s="138">
        <v>115</v>
      </c>
      <c r="N243" s="142">
        <v>115</v>
      </c>
      <c r="O243" s="238" t="s">
        <v>1950</v>
      </c>
      <c r="P243" s="932">
        <v>150</v>
      </c>
    </row>
    <row r="244" spans="1:24" ht="30" customHeight="1">
      <c r="A244" s="797">
        <v>151</v>
      </c>
      <c r="B244" s="271" t="s">
        <v>1289</v>
      </c>
      <c r="C244" s="713">
        <v>4</v>
      </c>
      <c r="D244" s="134">
        <v>12</v>
      </c>
      <c r="E244" s="135">
        <f t="shared" si="40"/>
        <v>16</v>
      </c>
      <c r="F244" s="713">
        <v>0</v>
      </c>
      <c r="G244" s="714">
        <v>28</v>
      </c>
      <c r="H244" s="141">
        <v>28</v>
      </c>
      <c r="I244" s="713">
        <v>0</v>
      </c>
      <c r="J244" s="714">
        <v>139</v>
      </c>
      <c r="K244" s="141">
        <f t="shared" si="41"/>
        <v>139</v>
      </c>
      <c r="L244" s="713" t="s">
        <v>56</v>
      </c>
      <c r="M244" s="714">
        <v>167</v>
      </c>
      <c r="N244" s="141">
        <v>167</v>
      </c>
      <c r="O244" s="643" t="s">
        <v>1972</v>
      </c>
      <c r="P244" s="931">
        <v>151</v>
      </c>
    </row>
    <row r="245" spans="1:24" ht="28" customHeight="1">
      <c r="A245" s="586">
        <v>152</v>
      </c>
      <c r="B245" s="297" t="s">
        <v>826</v>
      </c>
      <c r="C245" s="364">
        <v>2</v>
      </c>
      <c r="D245" s="365">
        <v>9</v>
      </c>
      <c r="E245" s="366">
        <f t="shared" si="40"/>
        <v>11</v>
      </c>
      <c r="F245" s="364">
        <v>0</v>
      </c>
      <c r="G245" s="367">
        <v>31</v>
      </c>
      <c r="H245" s="368">
        <v>31</v>
      </c>
      <c r="I245" s="364">
        <v>0</v>
      </c>
      <c r="J245" s="367">
        <v>100</v>
      </c>
      <c r="K245" s="368">
        <f t="shared" si="41"/>
        <v>100</v>
      </c>
      <c r="L245" s="364" t="s">
        <v>56</v>
      </c>
      <c r="M245" s="367">
        <v>181</v>
      </c>
      <c r="N245" s="368">
        <v>181</v>
      </c>
      <c r="O245" s="293" t="s">
        <v>1951</v>
      </c>
      <c r="P245" s="1001">
        <v>152</v>
      </c>
    </row>
    <row r="246" spans="1:24" ht="14.25" hidden="1" customHeight="1">
      <c r="A246" s="1508" t="s">
        <v>1188</v>
      </c>
      <c r="B246" s="1508"/>
      <c r="C246" s="168"/>
      <c r="D246" s="168"/>
      <c r="E246" s="157"/>
      <c r="F246" s="168"/>
      <c r="G246" s="168"/>
      <c r="H246" s="168"/>
      <c r="I246" s="168"/>
      <c r="J246" s="168"/>
      <c r="K246" s="168"/>
      <c r="L246" s="168"/>
      <c r="M246" s="168"/>
      <c r="N246" s="168"/>
      <c r="O246" s="1509" t="s">
        <v>1297</v>
      </c>
      <c r="P246" s="1509"/>
      <c r="Q246"/>
      <c r="R246"/>
      <c r="S246"/>
      <c r="T246"/>
      <c r="U246"/>
      <c r="V246"/>
      <c r="W246"/>
      <c r="X246"/>
    </row>
    <row r="247" spans="1:24" ht="14.25" hidden="1" customHeight="1">
      <c r="A247" s="1520"/>
      <c r="B247" s="1520"/>
      <c r="C247" s="157"/>
      <c r="D247" s="157"/>
      <c r="E247" s="157"/>
      <c r="F247" s="168"/>
      <c r="G247" s="168"/>
      <c r="H247" s="168"/>
      <c r="I247" s="168"/>
      <c r="J247" s="168"/>
      <c r="K247" s="168"/>
      <c r="L247" s="1526" t="s">
        <v>1298</v>
      </c>
      <c r="M247" s="1526"/>
      <c r="N247" s="1526"/>
      <c r="O247" s="1526"/>
      <c r="P247" s="1526"/>
      <c r="Q247"/>
      <c r="R247"/>
      <c r="S247"/>
      <c r="T247"/>
      <c r="U247"/>
      <c r="V247"/>
      <c r="W247"/>
      <c r="X247"/>
    </row>
    <row r="248" spans="1:24" ht="18" hidden="1" customHeight="1">
      <c r="A248" s="1438" t="s">
        <v>621</v>
      </c>
      <c r="B248" s="1438" t="s">
        <v>286</v>
      </c>
      <c r="C248" s="1320" t="s">
        <v>1307</v>
      </c>
      <c r="D248" s="1470"/>
      <c r="E248" s="1449"/>
      <c r="F248" s="1320" t="s">
        <v>1219</v>
      </c>
      <c r="G248" s="1470"/>
      <c r="H248" s="1449"/>
      <c r="I248" s="1320" t="s">
        <v>1218</v>
      </c>
      <c r="J248" s="1470"/>
      <c r="K248" s="1449"/>
      <c r="L248" s="1320" t="s">
        <v>79</v>
      </c>
      <c r="M248" s="1470"/>
      <c r="N248" s="1449"/>
      <c r="O248" s="1438" t="s">
        <v>1575</v>
      </c>
      <c r="P248" s="1471" t="s">
        <v>727</v>
      </c>
      <c r="R248" s="11">
        <v>2</v>
      </c>
      <c r="S248" s="11" t="s">
        <v>85</v>
      </c>
    </row>
    <row r="249" spans="1:24" ht="18" hidden="1" customHeight="1">
      <c r="A249" s="1439"/>
      <c r="B249" s="1439"/>
      <c r="C249" s="1280"/>
      <c r="D249" s="1474"/>
      <c r="E249" s="1475"/>
      <c r="F249" s="1280"/>
      <c r="G249" s="1474"/>
      <c r="H249" s="1475"/>
      <c r="I249" s="1280"/>
      <c r="J249" s="1474"/>
      <c r="K249" s="1475"/>
      <c r="L249" s="1280"/>
      <c r="M249" s="1474"/>
      <c r="N249" s="1475"/>
      <c r="O249" s="1439"/>
      <c r="P249" s="1472"/>
    </row>
    <row r="250" spans="1:24" ht="18" hidden="1" customHeight="1">
      <c r="A250" s="1439"/>
      <c r="B250" s="1439"/>
      <c r="C250" s="1280" t="s">
        <v>138</v>
      </c>
      <c r="D250" s="1474"/>
      <c r="E250" s="1475"/>
      <c r="F250" s="1280" t="s">
        <v>1186</v>
      </c>
      <c r="G250" s="1474"/>
      <c r="H250" s="1475"/>
      <c r="I250" s="1280" t="s">
        <v>587</v>
      </c>
      <c r="J250" s="1474"/>
      <c r="K250" s="1475"/>
      <c r="L250" s="1280" t="s">
        <v>137</v>
      </c>
      <c r="M250" s="1474"/>
      <c r="N250" s="1475"/>
      <c r="O250" s="1439"/>
      <c r="P250" s="1472"/>
      <c r="Q250" s="2"/>
      <c r="R250" s="2"/>
    </row>
    <row r="251" spans="1:24" ht="18" hidden="1" customHeight="1">
      <c r="A251" s="1439"/>
      <c r="B251" s="1439"/>
      <c r="C251" s="1002" t="s">
        <v>583</v>
      </c>
      <c r="D251" s="1003" t="s">
        <v>581</v>
      </c>
      <c r="E251" s="1003" t="s">
        <v>489</v>
      </c>
      <c r="F251" s="1002" t="s">
        <v>583</v>
      </c>
      <c r="G251" s="1003" t="s">
        <v>589</v>
      </c>
      <c r="H251" s="1003" t="s">
        <v>489</v>
      </c>
      <c r="I251" s="1002" t="s">
        <v>583</v>
      </c>
      <c r="J251" s="1003" t="s">
        <v>589</v>
      </c>
      <c r="K251" s="1003" t="s">
        <v>489</v>
      </c>
      <c r="L251" s="1002" t="s">
        <v>583</v>
      </c>
      <c r="M251" s="1003" t="s">
        <v>588</v>
      </c>
      <c r="N251" s="1004" t="s">
        <v>489</v>
      </c>
      <c r="O251" s="1439"/>
      <c r="P251" s="1472"/>
    </row>
    <row r="252" spans="1:24" ht="18" hidden="1" customHeight="1">
      <c r="A252" s="1462"/>
      <c r="B252" s="1462"/>
      <c r="C252" s="872" t="s">
        <v>133</v>
      </c>
      <c r="D252" s="873" t="s">
        <v>134</v>
      </c>
      <c r="E252" s="960" t="s">
        <v>100</v>
      </c>
      <c r="F252" s="872" t="s">
        <v>133</v>
      </c>
      <c r="G252" s="873" t="s">
        <v>134</v>
      </c>
      <c r="H252" s="960" t="s">
        <v>100</v>
      </c>
      <c r="I252" s="872" t="s">
        <v>133</v>
      </c>
      <c r="J252" s="873" t="s">
        <v>134</v>
      </c>
      <c r="K252" s="871" t="s">
        <v>100</v>
      </c>
      <c r="L252" s="872" t="s">
        <v>133</v>
      </c>
      <c r="M252" s="873" t="s">
        <v>134</v>
      </c>
      <c r="N252" s="893" t="s">
        <v>100</v>
      </c>
      <c r="O252" s="1462"/>
      <c r="P252" s="1473"/>
    </row>
    <row r="253" spans="1:24" ht="28" customHeight="1">
      <c r="A253" s="797"/>
      <c r="B253" s="843" t="s">
        <v>827</v>
      </c>
      <c r="C253" s="713"/>
      <c r="D253" s="134"/>
      <c r="E253" s="135"/>
      <c r="F253" s="713"/>
      <c r="G253" s="714"/>
      <c r="H253" s="141"/>
      <c r="I253" s="713"/>
      <c r="J253" s="714"/>
      <c r="K253" s="141"/>
      <c r="L253" s="713"/>
      <c r="M253" s="714"/>
      <c r="N253" s="141"/>
      <c r="O253" s="743" t="s">
        <v>41</v>
      </c>
      <c r="P253" s="927"/>
    </row>
    <row r="254" spans="1:24" s="676" customFormat="1" ht="28" customHeight="1">
      <c r="A254" s="192">
        <v>153</v>
      </c>
      <c r="B254" s="241" t="s">
        <v>823</v>
      </c>
      <c r="C254" s="137">
        <v>1</v>
      </c>
      <c r="D254" s="139">
        <v>5</v>
      </c>
      <c r="E254" s="140">
        <f t="shared" ref="E254:E256" si="42">D254+C254</f>
        <v>6</v>
      </c>
      <c r="F254" s="137">
        <v>0</v>
      </c>
      <c r="G254" s="138">
        <v>22</v>
      </c>
      <c r="H254" s="142">
        <v>22</v>
      </c>
      <c r="I254" s="137">
        <v>0</v>
      </c>
      <c r="J254" s="138">
        <v>67</v>
      </c>
      <c r="K254" s="142">
        <f>J254+I254</f>
        <v>67</v>
      </c>
      <c r="L254" s="137" t="s">
        <v>56</v>
      </c>
      <c r="M254" s="138">
        <v>113</v>
      </c>
      <c r="N254" s="142">
        <v>113</v>
      </c>
      <c r="O254" s="238" t="s">
        <v>1952</v>
      </c>
      <c r="P254" s="928">
        <v>153</v>
      </c>
    </row>
    <row r="255" spans="1:24" ht="28" customHeight="1">
      <c r="A255" s="797">
        <v>154</v>
      </c>
      <c r="B255" s="271" t="s">
        <v>784</v>
      </c>
      <c r="C255" s="713">
        <v>1</v>
      </c>
      <c r="D255" s="134">
        <v>8</v>
      </c>
      <c r="E255" s="135">
        <f t="shared" si="42"/>
        <v>9</v>
      </c>
      <c r="F255" s="713">
        <v>0</v>
      </c>
      <c r="G255" s="714">
        <v>31</v>
      </c>
      <c r="H255" s="141">
        <v>31</v>
      </c>
      <c r="I255" s="713">
        <v>0</v>
      </c>
      <c r="J255" s="714">
        <v>67</v>
      </c>
      <c r="K255" s="141">
        <f>J255+I255</f>
        <v>67</v>
      </c>
      <c r="L255" s="713" t="s">
        <v>56</v>
      </c>
      <c r="M255" s="714">
        <v>116</v>
      </c>
      <c r="N255" s="141">
        <v>116</v>
      </c>
      <c r="O255" s="643" t="s">
        <v>1911</v>
      </c>
      <c r="P255" s="927">
        <v>154</v>
      </c>
    </row>
    <row r="256" spans="1:24" s="676" customFormat="1" ht="28" customHeight="1">
      <c r="A256" s="192">
        <v>155</v>
      </c>
      <c r="B256" s="240" t="s">
        <v>778</v>
      </c>
      <c r="C256" s="137">
        <v>1</v>
      </c>
      <c r="D256" s="139">
        <v>1</v>
      </c>
      <c r="E256" s="140">
        <f t="shared" si="42"/>
        <v>2</v>
      </c>
      <c r="F256" s="137">
        <v>0</v>
      </c>
      <c r="G256" s="138">
        <v>17</v>
      </c>
      <c r="H256" s="142">
        <v>17</v>
      </c>
      <c r="I256" s="137">
        <v>0</v>
      </c>
      <c r="J256" s="138">
        <f>36+31</f>
        <v>67</v>
      </c>
      <c r="K256" s="142">
        <f>J256+I256</f>
        <v>67</v>
      </c>
      <c r="L256" s="137" t="s">
        <v>56</v>
      </c>
      <c r="M256" s="138">
        <v>84</v>
      </c>
      <c r="N256" s="142">
        <v>84</v>
      </c>
      <c r="O256" s="238" t="s">
        <v>1916</v>
      </c>
      <c r="P256" s="928">
        <v>155</v>
      </c>
    </row>
    <row r="257" spans="1:24" ht="28" customHeight="1">
      <c r="A257" s="797"/>
      <c r="B257" s="1005" t="s">
        <v>121</v>
      </c>
      <c r="C257" s="713"/>
      <c r="D257" s="134"/>
      <c r="E257" s="135"/>
      <c r="F257" s="713"/>
      <c r="G257" s="714"/>
      <c r="H257" s="141"/>
      <c r="I257" s="713"/>
      <c r="J257" s="714"/>
      <c r="K257" s="141"/>
      <c r="L257" s="714"/>
      <c r="M257" s="714"/>
      <c r="N257" s="714"/>
      <c r="O257" s="743" t="s">
        <v>22</v>
      </c>
      <c r="P257" s="927"/>
    </row>
    <row r="258" spans="1:24" s="676" customFormat="1" ht="28" customHeight="1">
      <c r="A258" s="192">
        <v>156</v>
      </c>
      <c r="B258" s="315" t="s">
        <v>783</v>
      </c>
      <c r="C258" s="137" t="s">
        <v>56</v>
      </c>
      <c r="D258" s="139">
        <v>7</v>
      </c>
      <c r="E258" s="140">
        <f t="shared" ref="E258:E261" si="43">D258</f>
        <v>7</v>
      </c>
      <c r="F258" s="137">
        <v>0</v>
      </c>
      <c r="G258" s="138">
        <v>50</v>
      </c>
      <c r="H258" s="142">
        <v>50</v>
      </c>
      <c r="I258" s="137">
        <v>0</v>
      </c>
      <c r="J258" s="138">
        <v>83</v>
      </c>
      <c r="K258" s="142">
        <f>J258+I258</f>
        <v>83</v>
      </c>
      <c r="L258" s="138" t="s">
        <v>56</v>
      </c>
      <c r="M258" s="138">
        <v>151</v>
      </c>
      <c r="N258" s="138">
        <v>151</v>
      </c>
      <c r="O258" s="238" t="s">
        <v>1944</v>
      </c>
      <c r="P258" s="928">
        <v>156</v>
      </c>
    </row>
    <row r="259" spans="1:24" ht="28" customHeight="1">
      <c r="A259" s="797">
        <v>157</v>
      </c>
      <c r="B259" s="814" t="s">
        <v>784</v>
      </c>
      <c r="C259" s="713" t="s">
        <v>56</v>
      </c>
      <c r="D259" s="134">
        <v>13</v>
      </c>
      <c r="E259" s="135">
        <f t="shared" si="43"/>
        <v>13</v>
      </c>
      <c r="F259" s="713">
        <v>0</v>
      </c>
      <c r="G259" s="714">
        <v>65</v>
      </c>
      <c r="H259" s="141">
        <v>65</v>
      </c>
      <c r="I259" s="713">
        <v>0</v>
      </c>
      <c r="J259" s="714">
        <v>121</v>
      </c>
      <c r="K259" s="141">
        <f>J259+I259</f>
        <v>121</v>
      </c>
      <c r="L259" s="714" t="s">
        <v>56</v>
      </c>
      <c r="M259" s="714">
        <v>202</v>
      </c>
      <c r="N259" s="714">
        <v>202</v>
      </c>
      <c r="O259" s="643" t="s">
        <v>1911</v>
      </c>
      <c r="P259" s="927">
        <v>157</v>
      </c>
    </row>
    <row r="260" spans="1:24" s="676" customFormat="1" ht="28" customHeight="1">
      <c r="A260" s="192">
        <v>158</v>
      </c>
      <c r="B260" s="315" t="s">
        <v>1250</v>
      </c>
      <c r="C260" s="137" t="s">
        <v>56</v>
      </c>
      <c r="D260" s="139">
        <v>2</v>
      </c>
      <c r="E260" s="140">
        <f t="shared" si="43"/>
        <v>2</v>
      </c>
      <c r="F260" s="137">
        <v>0</v>
      </c>
      <c r="G260" s="138" t="s">
        <v>56</v>
      </c>
      <c r="H260" s="142" t="s">
        <v>56</v>
      </c>
      <c r="I260" s="137">
        <v>0</v>
      </c>
      <c r="J260" s="138">
        <v>0</v>
      </c>
      <c r="K260" s="142">
        <f>J260+I260</f>
        <v>0</v>
      </c>
      <c r="L260" s="138" t="s">
        <v>56</v>
      </c>
      <c r="M260" s="138">
        <v>0</v>
      </c>
      <c r="N260" s="138">
        <v>0</v>
      </c>
      <c r="O260" s="238" t="s">
        <v>1953</v>
      </c>
      <c r="P260" s="928">
        <v>158</v>
      </c>
    </row>
    <row r="261" spans="1:24" s="676" customFormat="1" ht="28" customHeight="1">
      <c r="A261" s="797">
        <v>159</v>
      </c>
      <c r="B261" s="239" t="s">
        <v>332</v>
      </c>
      <c r="C261" s="713" t="s">
        <v>56</v>
      </c>
      <c r="D261" s="134">
        <v>4</v>
      </c>
      <c r="E261" s="135">
        <f t="shared" si="43"/>
        <v>4</v>
      </c>
      <c r="F261" s="713">
        <v>0</v>
      </c>
      <c r="G261" s="714">
        <v>21</v>
      </c>
      <c r="H261" s="141">
        <v>21</v>
      </c>
      <c r="I261" s="713"/>
      <c r="J261" s="714">
        <v>42</v>
      </c>
      <c r="K261" s="141">
        <f>J261+I261</f>
        <v>42</v>
      </c>
      <c r="L261" s="714" t="s">
        <v>56</v>
      </c>
      <c r="M261" s="714">
        <v>76</v>
      </c>
      <c r="N261" s="714">
        <v>76</v>
      </c>
      <c r="O261" s="643" t="s">
        <v>1954</v>
      </c>
      <c r="P261" s="927">
        <v>159</v>
      </c>
    </row>
    <row r="262" spans="1:24" ht="28" customHeight="1">
      <c r="A262" s="604"/>
      <c r="B262" s="1006" t="s">
        <v>122</v>
      </c>
      <c r="C262" s="849"/>
      <c r="D262" s="491"/>
      <c r="E262" s="842"/>
      <c r="F262" s="849"/>
      <c r="G262" s="491"/>
      <c r="H262" s="963"/>
      <c r="I262" s="849"/>
      <c r="J262" s="491"/>
      <c r="K262" s="870"/>
      <c r="L262" s="849"/>
      <c r="M262" s="491"/>
      <c r="N262" s="963"/>
      <c r="O262" s="426" t="s">
        <v>23</v>
      </c>
      <c r="P262" s="1008"/>
    </row>
    <row r="263" spans="1:24" s="676" customFormat="1" ht="28" customHeight="1">
      <c r="A263" s="797">
        <v>160</v>
      </c>
      <c r="B263" s="814" t="s">
        <v>780</v>
      </c>
      <c r="C263" s="713">
        <v>2</v>
      </c>
      <c r="D263" s="134">
        <v>4</v>
      </c>
      <c r="E263" s="135">
        <f t="shared" ref="E263:E264" si="44">D263+C263</f>
        <v>6</v>
      </c>
      <c r="F263" s="713">
        <v>0</v>
      </c>
      <c r="G263" s="714">
        <v>10</v>
      </c>
      <c r="H263" s="141">
        <v>10</v>
      </c>
      <c r="I263" s="713">
        <v>0</v>
      </c>
      <c r="J263" s="714">
        <v>58</v>
      </c>
      <c r="K263" s="141">
        <f>J263+I263</f>
        <v>58</v>
      </c>
      <c r="L263" s="714" t="s">
        <v>56</v>
      </c>
      <c r="M263" s="714">
        <v>68</v>
      </c>
      <c r="N263" s="714">
        <v>68</v>
      </c>
      <c r="O263" s="643" t="s">
        <v>1909</v>
      </c>
      <c r="P263" s="927">
        <v>160</v>
      </c>
    </row>
    <row r="264" spans="1:24" ht="28" customHeight="1">
      <c r="A264" s="192">
        <v>161</v>
      </c>
      <c r="B264" s="315" t="s">
        <v>822</v>
      </c>
      <c r="C264" s="137">
        <v>2</v>
      </c>
      <c r="D264" s="139">
        <v>9</v>
      </c>
      <c r="E264" s="140">
        <f t="shared" si="44"/>
        <v>11</v>
      </c>
      <c r="F264" s="137">
        <v>0</v>
      </c>
      <c r="G264" s="138">
        <v>9</v>
      </c>
      <c r="H264" s="142">
        <v>9</v>
      </c>
      <c r="I264" s="137">
        <v>0</v>
      </c>
      <c r="J264" s="138">
        <v>51</v>
      </c>
      <c r="K264" s="142">
        <f>J264+I264</f>
        <v>51</v>
      </c>
      <c r="L264" s="138" t="s">
        <v>56</v>
      </c>
      <c r="M264" s="138">
        <v>60</v>
      </c>
      <c r="N264" s="138">
        <v>60</v>
      </c>
      <c r="O264" s="238" t="s">
        <v>1947</v>
      </c>
      <c r="P264" s="932">
        <v>161</v>
      </c>
    </row>
    <row r="265" spans="1:24" ht="28" customHeight="1">
      <c r="A265" s="797">
        <v>162</v>
      </c>
      <c r="B265" s="814" t="s">
        <v>333</v>
      </c>
      <c r="C265" s="713" t="s">
        <v>56</v>
      </c>
      <c r="D265" s="134">
        <v>3</v>
      </c>
      <c r="E265" s="135">
        <f t="shared" ref="E265:E266" si="45">D265</f>
        <v>3</v>
      </c>
      <c r="F265" s="713">
        <v>0</v>
      </c>
      <c r="G265" s="714">
        <v>32</v>
      </c>
      <c r="H265" s="141">
        <v>32</v>
      </c>
      <c r="I265" s="713">
        <v>0</v>
      </c>
      <c r="J265" s="714">
        <v>63</v>
      </c>
      <c r="K265" s="141">
        <f>J265+I265</f>
        <v>63</v>
      </c>
      <c r="L265" s="714" t="s">
        <v>56</v>
      </c>
      <c r="M265" s="714">
        <v>95</v>
      </c>
      <c r="N265" s="714">
        <v>95</v>
      </c>
      <c r="O265" s="643" t="s">
        <v>1955</v>
      </c>
      <c r="P265" s="927">
        <v>162</v>
      </c>
    </row>
    <row r="266" spans="1:24" s="676" customFormat="1" ht="28" customHeight="1">
      <c r="A266" s="192">
        <v>163</v>
      </c>
      <c r="B266" s="315" t="s">
        <v>660</v>
      </c>
      <c r="C266" s="137" t="s">
        <v>56</v>
      </c>
      <c r="D266" s="139">
        <v>3</v>
      </c>
      <c r="E266" s="140">
        <f t="shared" si="45"/>
        <v>3</v>
      </c>
      <c r="F266" s="137">
        <v>0</v>
      </c>
      <c r="G266" s="138">
        <v>8</v>
      </c>
      <c r="H266" s="142">
        <v>8</v>
      </c>
      <c r="I266" s="137">
        <v>0</v>
      </c>
      <c r="J266" s="138">
        <v>49</v>
      </c>
      <c r="K266" s="142">
        <f>J266+I266</f>
        <v>49</v>
      </c>
      <c r="L266" s="138" t="s">
        <v>56</v>
      </c>
      <c r="M266" s="138">
        <v>57</v>
      </c>
      <c r="N266" s="138">
        <v>57</v>
      </c>
      <c r="O266" s="238" t="s">
        <v>1956</v>
      </c>
      <c r="P266" s="932">
        <v>163</v>
      </c>
    </row>
    <row r="267" spans="1:24" ht="28" customHeight="1">
      <c r="A267" s="797"/>
      <c r="B267" s="1005" t="s">
        <v>123</v>
      </c>
      <c r="C267" s="713"/>
      <c r="D267" s="134"/>
      <c r="E267" s="135"/>
      <c r="F267" s="713"/>
      <c r="G267" s="714"/>
      <c r="H267" s="141"/>
      <c r="I267" s="713"/>
      <c r="J267" s="714"/>
      <c r="K267" s="141"/>
      <c r="L267" s="714"/>
      <c r="M267" s="714"/>
      <c r="N267" s="714"/>
      <c r="O267" s="743" t="s">
        <v>42</v>
      </c>
      <c r="P267" s="931"/>
    </row>
    <row r="268" spans="1:24" s="676" customFormat="1" ht="28" customHeight="1">
      <c r="A268" s="192">
        <v>164</v>
      </c>
      <c r="B268" s="315" t="s">
        <v>780</v>
      </c>
      <c r="C268" s="137" t="s">
        <v>56</v>
      </c>
      <c r="D268" s="139">
        <v>7</v>
      </c>
      <c r="E268" s="140">
        <f>D268</f>
        <v>7</v>
      </c>
      <c r="F268" s="137">
        <v>0</v>
      </c>
      <c r="G268" s="138">
        <v>60</v>
      </c>
      <c r="H268" s="142">
        <v>60</v>
      </c>
      <c r="I268" s="137">
        <v>0</v>
      </c>
      <c r="J268" s="138">
        <v>545</v>
      </c>
      <c r="K268" s="142">
        <f>J268+I268</f>
        <v>545</v>
      </c>
      <c r="L268" s="138" t="s">
        <v>56</v>
      </c>
      <c r="M268" s="138">
        <v>523</v>
      </c>
      <c r="N268" s="138">
        <v>523</v>
      </c>
      <c r="O268" s="238" t="s">
        <v>1909</v>
      </c>
      <c r="P268" s="932">
        <v>164</v>
      </c>
    </row>
    <row r="269" spans="1:24" s="676" customFormat="1" ht="28" customHeight="1">
      <c r="A269" s="797"/>
      <c r="B269" s="1005" t="s">
        <v>153</v>
      </c>
      <c r="C269" s="713"/>
      <c r="D269" s="134"/>
      <c r="E269" s="135"/>
      <c r="F269" s="713"/>
      <c r="G269" s="714"/>
      <c r="H269" s="141"/>
      <c r="I269" s="713"/>
      <c r="J269" s="714"/>
      <c r="K269" s="141"/>
      <c r="L269" s="714"/>
      <c r="M269" s="714"/>
      <c r="N269" s="714"/>
      <c r="O269" s="743" t="s">
        <v>44</v>
      </c>
      <c r="P269" s="931"/>
    </row>
    <row r="270" spans="1:24" s="676" customFormat="1" ht="28" customHeight="1">
      <c r="A270" s="192">
        <v>165</v>
      </c>
      <c r="B270" s="315" t="s">
        <v>778</v>
      </c>
      <c r="C270" s="137" t="s">
        <v>56</v>
      </c>
      <c r="D270" s="139">
        <v>8</v>
      </c>
      <c r="E270" s="140">
        <f t="shared" ref="E270:E271" si="46">D270</f>
        <v>8</v>
      </c>
      <c r="F270" s="137">
        <v>0</v>
      </c>
      <c r="G270" s="138">
        <v>37</v>
      </c>
      <c r="H270" s="142">
        <v>37</v>
      </c>
      <c r="I270" s="137">
        <v>0</v>
      </c>
      <c r="J270" s="138">
        <v>81</v>
      </c>
      <c r="K270" s="142">
        <f>J270+I270</f>
        <v>81</v>
      </c>
      <c r="L270" s="138" t="s">
        <v>56</v>
      </c>
      <c r="M270" s="138">
        <v>118</v>
      </c>
      <c r="N270" s="138">
        <v>118</v>
      </c>
      <c r="O270" s="238" t="s">
        <v>1922</v>
      </c>
      <c r="P270" s="932">
        <v>165</v>
      </c>
    </row>
    <row r="271" spans="1:24" s="676" customFormat="1" ht="28" customHeight="1">
      <c r="A271" s="800">
        <v>166</v>
      </c>
      <c r="B271" s="816" t="s">
        <v>784</v>
      </c>
      <c r="C271" s="811" t="s">
        <v>56</v>
      </c>
      <c r="D271" s="194">
        <v>4</v>
      </c>
      <c r="E271" s="195">
        <f t="shared" si="46"/>
        <v>4</v>
      </c>
      <c r="F271" s="811">
        <v>0</v>
      </c>
      <c r="G271" s="812">
        <v>34</v>
      </c>
      <c r="H271" s="193">
        <v>34</v>
      </c>
      <c r="I271" s="811">
        <v>0</v>
      </c>
      <c r="J271" s="812">
        <v>67</v>
      </c>
      <c r="K271" s="193">
        <f>J271+I271</f>
        <v>67</v>
      </c>
      <c r="L271" s="812" t="s">
        <v>56</v>
      </c>
      <c r="M271" s="812">
        <v>101</v>
      </c>
      <c r="N271" s="812">
        <v>101</v>
      </c>
      <c r="O271" s="696" t="s">
        <v>1881</v>
      </c>
      <c r="P271" s="1105">
        <v>166</v>
      </c>
    </row>
    <row r="272" spans="1:24" ht="14.25" hidden="1" customHeight="1">
      <c r="A272" s="1508" t="s">
        <v>1188</v>
      </c>
      <c r="B272" s="1508"/>
      <c r="C272" s="168"/>
      <c r="D272" s="168"/>
      <c r="E272" s="157"/>
      <c r="F272" s="168"/>
      <c r="G272" s="168"/>
      <c r="H272" s="168"/>
      <c r="I272" s="168"/>
      <c r="J272" s="168"/>
      <c r="K272" s="168"/>
      <c r="L272" s="168"/>
      <c r="M272" s="168"/>
      <c r="N272" s="168"/>
      <c r="O272" s="1509" t="s">
        <v>1297</v>
      </c>
      <c r="P272" s="1509"/>
      <c r="Q272"/>
      <c r="R272"/>
      <c r="S272"/>
      <c r="T272"/>
      <c r="U272"/>
      <c r="V272"/>
      <c r="W272"/>
      <c r="X272"/>
    </row>
    <row r="273" spans="1:24" ht="14.25" hidden="1" customHeight="1">
      <c r="A273" s="1520"/>
      <c r="B273" s="1520"/>
      <c r="C273" s="157"/>
      <c r="D273" s="157"/>
      <c r="E273" s="157"/>
      <c r="F273" s="168"/>
      <c r="G273" s="168"/>
      <c r="H273" s="168"/>
      <c r="I273" s="168"/>
      <c r="J273" s="168"/>
      <c r="K273" s="168"/>
      <c r="L273" s="1526" t="s">
        <v>1298</v>
      </c>
      <c r="M273" s="1526"/>
      <c r="N273" s="1526"/>
      <c r="O273" s="1526"/>
      <c r="P273" s="1526"/>
      <c r="Q273"/>
      <c r="R273"/>
      <c r="S273"/>
      <c r="T273"/>
      <c r="U273"/>
      <c r="V273"/>
      <c r="W273"/>
      <c r="X273"/>
    </row>
    <row r="274" spans="1:24" ht="24.75" hidden="1" customHeight="1">
      <c r="A274" s="1438" t="s">
        <v>621</v>
      </c>
      <c r="B274" s="1468" t="s">
        <v>286</v>
      </c>
      <c r="C274" s="1320" t="s">
        <v>1307</v>
      </c>
      <c r="D274" s="1470"/>
      <c r="E274" s="1449"/>
      <c r="F274" s="1320" t="s">
        <v>1219</v>
      </c>
      <c r="G274" s="1470"/>
      <c r="H274" s="1449"/>
      <c r="I274" s="1320" t="s">
        <v>1218</v>
      </c>
      <c r="J274" s="1470"/>
      <c r="K274" s="1449"/>
      <c r="L274" s="1320" t="s">
        <v>79</v>
      </c>
      <c r="M274" s="1470"/>
      <c r="N274" s="1449"/>
      <c r="O274" s="1513" t="s">
        <v>1575</v>
      </c>
      <c r="P274" s="1471" t="s">
        <v>727</v>
      </c>
    </row>
    <row r="275" spans="1:24" ht="18" hidden="1" customHeight="1">
      <c r="A275" s="1439"/>
      <c r="B275" s="1468"/>
      <c r="C275" s="1280"/>
      <c r="D275" s="1474"/>
      <c r="E275" s="1475"/>
      <c r="F275" s="1280"/>
      <c r="G275" s="1474"/>
      <c r="H275" s="1475"/>
      <c r="I275" s="1280"/>
      <c r="J275" s="1474"/>
      <c r="K275" s="1475"/>
      <c r="L275" s="1280"/>
      <c r="M275" s="1474"/>
      <c r="N275" s="1475"/>
      <c r="O275" s="1507"/>
      <c r="P275" s="1472"/>
    </row>
    <row r="276" spans="1:24" ht="16.5" hidden="1" customHeight="1">
      <c r="A276" s="1439"/>
      <c r="B276" s="1468"/>
      <c r="C276" s="1280" t="s">
        <v>138</v>
      </c>
      <c r="D276" s="1474"/>
      <c r="E276" s="1475"/>
      <c r="F276" s="1280" t="s">
        <v>1186</v>
      </c>
      <c r="G276" s="1474"/>
      <c r="H276" s="1475"/>
      <c r="I276" s="1280" t="s">
        <v>587</v>
      </c>
      <c r="J276" s="1474"/>
      <c r="K276" s="1475"/>
      <c r="L276" s="1280" t="s">
        <v>137</v>
      </c>
      <c r="M276" s="1474"/>
      <c r="N276" s="1475"/>
      <c r="O276" s="1507"/>
      <c r="P276" s="1472"/>
    </row>
    <row r="277" spans="1:24" ht="18" hidden="1" customHeight="1">
      <c r="A277" s="1439"/>
      <c r="B277" s="1468"/>
      <c r="C277" s="1280" t="s">
        <v>583</v>
      </c>
      <c r="D277" s="1474" t="s">
        <v>581</v>
      </c>
      <c r="E277" s="1474" t="s">
        <v>489</v>
      </c>
      <c r="F277" s="1280" t="s">
        <v>583</v>
      </c>
      <c r="G277" s="1474" t="s">
        <v>589</v>
      </c>
      <c r="H277" s="1474" t="s">
        <v>489</v>
      </c>
      <c r="I277" s="1280" t="s">
        <v>583</v>
      </c>
      <c r="J277" s="1474" t="s">
        <v>589</v>
      </c>
      <c r="K277" s="1474" t="s">
        <v>489</v>
      </c>
      <c r="L277" s="1280" t="s">
        <v>583</v>
      </c>
      <c r="M277" s="1474" t="s">
        <v>588</v>
      </c>
      <c r="N277" s="1475" t="s">
        <v>489</v>
      </c>
      <c r="O277" s="1507"/>
      <c r="P277" s="1472"/>
    </row>
    <row r="278" spans="1:24" ht="18" hidden="1" customHeight="1">
      <c r="A278" s="1439"/>
      <c r="B278" s="1468"/>
      <c r="C278" s="1280"/>
      <c r="D278" s="1474"/>
      <c r="E278" s="1474"/>
      <c r="F278" s="1280"/>
      <c r="G278" s="1474"/>
      <c r="H278" s="1474"/>
      <c r="I278" s="1280"/>
      <c r="J278" s="1474"/>
      <c r="K278" s="1474"/>
      <c r="L278" s="1280"/>
      <c r="M278" s="1474"/>
      <c r="N278" s="1475"/>
      <c r="O278" s="1507"/>
      <c r="P278" s="1472"/>
    </row>
    <row r="279" spans="1:24" ht="18.75" hidden="1" customHeight="1">
      <c r="A279" s="1462"/>
      <c r="B279" s="1468"/>
      <c r="C279" s="872" t="s">
        <v>133</v>
      </c>
      <c r="D279" s="873" t="s">
        <v>134</v>
      </c>
      <c r="E279" s="960" t="s">
        <v>100</v>
      </c>
      <c r="F279" s="872" t="s">
        <v>133</v>
      </c>
      <c r="G279" s="873" t="s">
        <v>134</v>
      </c>
      <c r="H279" s="960" t="s">
        <v>100</v>
      </c>
      <c r="I279" s="872" t="s">
        <v>133</v>
      </c>
      <c r="J279" s="873" t="s">
        <v>134</v>
      </c>
      <c r="K279" s="871" t="s">
        <v>100</v>
      </c>
      <c r="L279" s="872" t="s">
        <v>133</v>
      </c>
      <c r="M279" s="873" t="s">
        <v>134</v>
      </c>
      <c r="N279" s="893" t="s">
        <v>100</v>
      </c>
      <c r="O279" s="1514"/>
      <c r="P279" s="1473"/>
    </row>
    <row r="280" spans="1:24" ht="30" customHeight="1">
      <c r="A280" s="192"/>
      <c r="B280" s="1009" t="s">
        <v>154</v>
      </c>
      <c r="C280" s="137"/>
      <c r="D280" s="139"/>
      <c r="E280" s="140"/>
      <c r="F280" s="137"/>
      <c r="G280" s="138"/>
      <c r="H280" s="142"/>
      <c r="I280" s="137"/>
      <c r="J280" s="138"/>
      <c r="K280" s="142"/>
      <c r="L280" s="138"/>
      <c r="M280" s="138"/>
      <c r="N280" s="138"/>
      <c r="O280" s="1000" t="s">
        <v>45</v>
      </c>
      <c r="P280" s="932"/>
    </row>
    <row r="281" spans="1:24" s="676" customFormat="1" ht="30" customHeight="1">
      <c r="A281" s="797">
        <v>167</v>
      </c>
      <c r="B281" s="239" t="s">
        <v>804</v>
      </c>
      <c r="C281" s="713" t="s">
        <v>56</v>
      </c>
      <c r="D281" s="134">
        <v>15</v>
      </c>
      <c r="E281" s="135">
        <f t="shared" ref="E281:E286" si="47">D281</f>
        <v>15</v>
      </c>
      <c r="F281" s="713">
        <v>0</v>
      </c>
      <c r="G281" s="714">
        <v>73</v>
      </c>
      <c r="H281" s="141">
        <v>73</v>
      </c>
      <c r="I281" s="713">
        <v>0</v>
      </c>
      <c r="J281" s="714">
        <v>114</v>
      </c>
      <c r="K281" s="141">
        <f t="shared" ref="K281:K287" si="48">J281+I281</f>
        <v>114</v>
      </c>
      <c r="L281" s="714" t="s">
        <v>56</v>
      </c>
      <c r="M281" s="714">
        <v>264</v>
      </c>
      <c r="N281" s="714">
        <v>264</v>
      </c>
      <c r="O281" s="643" t="s">
        <v>1910</v>
      </c>
      <c r="P281" s="931">
        <v>167</v>
      </c>
    </row>
    <row r="282" spans="1:24" ht="30" customHeight="1">
      <c r="A282" s="192">
        <v>168</v>
      </c>
      <c r="B282" s="315" t="s">
        <v>780</v>
      </c>
      <c r="C282" s="137" t="s">
        <v>56</v>
      </c>
      <c r="D282" s="139">
        <v>2</v>
      </c>
      <c r="E282" s="140">
        <f t="shared" si="47"/>
        <v>2</v>
      </c>
      <c r="F282" s="137">
        <v>0</v>
      </c>
      <c r="G282" s="138">
        <v>30</v>
      </c>
      <c r="H282" s="142">
        <v>30</v>
      </c>
      <c r="I282" s="137">
        <v>0</v>
      </c>
      <c r="J282" s="138">
        <v>240</v>
      </c>
      <c r="K282" s="142">
        <f t="shared" si="48"/>
        <v>240</v>
      </c>
      <c r="L282" s="137" t="s">
        <v>56</v>
      </c>
      <c r="M282" s="138">
        <v>137</v>
      </c>
      <c r="N282" s="142">
        <v>137</v>
      </c>
      <c r="O282" s="238" t="s">
        <v>1849</v>
      </c>
      <c r="P282" s="932">
        <v>168</v>
      </c>
    </row>
    <row r="283" spans="1:24" s="676" customFormat="1" ht="30" customHeight="1">
      <c r="A283" s="797">
        <v>169</v>
      </c>
      <c r="B283" s="814" t="s">
        <v>778</v>
      </c>
      <c r="C283" s="713" t="s">
        <v>56</v>
      </c>
      <c r="D283" s="134">
        <v>7</v>
      </c>
      <c r="E283" s="135">
        <f t="shared" si="47"/>
        <v>7</v>
      </c>
      <c r="F283" s="713">
        <v>0</v>
      </c>
      <c r="G283" s="714">
        <v>28</v>
      </c>
      <c r="H283" s="141">
        <v>28</v>
      </c>
      <c r="I283" s="713">
        <v>0</v>
      </c>
      <c r="J283" s="714">
        <v>71</v>
      </c>
      <c r="K283" s="141">
        <f t="shared" si="48"/>
        <v>71</v>
      </c>
      <c r="L283" s="714" t="s">
        <v>56</v>
      </c>
      <c r="M283" s="714">
        <v>89</v>
      </c>
      <c r="N283" s="714">
        <v>89</v>
      </c>
      <c r="O283" s="643" t="s">
        <v>1916</v>
      </c>
      <c r="P283" s="931">
        <v>169</v>
      </c>
    </row>
    <row r="284" spans="1:24" ht="30" customHeight="1">
      <c r="A284" s="192">
        <v>170</v>
      </c>
      <c r="B284" s="315" t="s">
        <v>829</v>
      </c>
      <c r="C284" s="137" t="s">
        <v>56</v>
      </c>
      <c r="D284" s="139">
        <v>6</v>
      </c>
      <c r="E284" s="140">
        <f t="shared" si="47"/>
        <v>6</v>
      </c>
      <c r="F284" s="137">
        <v>0</v>
      </c>
      <c r="G284" s="138">
        <v>73</v>
      </c>
      <c r="H284" s="142">
        <v>73</v>
      </c>
      <c r="I284" s="137">
        <v>0</v>
      </c>
      <c r="J284" s="138">
        <v>96</v>
      </c>
      <c r="K284" s="142">
        <f t="shared" si="48"/>
        <v>96</v>
      </c>
      <c r="L284" s="138" t="s">
        <v>56</v>
      </c>
      <c r="M284" s="138">
        <v>225</v>
      </c>
      <c r="N284" s="138">
        <v>225</v>
      </c>
      <c r="O284" s="238" t="s">
        <v>1957</v>
      </c>
      <c r="P284" s="932">
        <v>170</v>
      </c>
    </row>
    <row r="285" spans="1:24" ht="30" customHeight="1">
      <c r="A285" s="797">
        <v>170</v>
      </c>
      <c r="B285" s="814" t="s">
        <v>334</v>
      </c>
      <c r="C285" s="713" t="s">
        <v>56</v>
      </c>
      <c r="D285" s="134">
        <v>1</v>
      </c>
      <c r="E285" s="135">
        <f t="shared" si="47"/>
        <v>1</v>
      </c>
      <c r="F285" s="713">
        <v>0</v>
      </c>
      <c r="G285" s="714">
        <v>27</v>
      </c>
      <c r="H285" s="141">
        <v>27</v>
      </c>
      <c r="I285" s="713">
        <v>0</v>
      </c>
      <c r="J285" s="714">
        <v>29</v>
      </c>
      <c r="K285" s="141">
        <f t="shared" si="48"/>
        <v>29</v>
      </c>
      <c r="L285" s="713" t="s">
        <v>56</v>
      </c>
      <c r="M285" s="714">
        <v>56</v>
      </c>
      <c r="N285" s="714">
        <v>56</v>
      </c>
      <c r="O285" s="643" t="s">
        <v>1958</v>
      </c>
      <c r="P285" s="931">
        <v>170</v>
      </c>
    </row>
    <row r="286" spans="1:24" s="676" customFormat="1" ht="30" customHeight="1">
      <c r="A286" s="192">
        <v>171</v>
      </c>
      <c r="B286" s="315" t="s">
        <v>830</v>
      </c>
      <c r="C286" s="1010" t="s">
        <v>56</v>
      </c>
      <c r="D286" s="213">
        <v>2</v>
      </c>
      <c r="E286" s="295">
        <f t="shared" si="47"/>
        <v>2</v>
      </c>
      <c r="F286" s="1010">
        <v>0</v>
      </c>
      <c r="G286" s="213">
        <v>75</v>
      </c>
      <c r="H286" s="295">
        <v>75</v>
      </c>
      <c r="I286" s="1010">
        <v>0</v>
      </c>
      <c r="J286" s="213">
        <v>85</v>
      </c>
      <c r="K286" s="311">
        <f t="shared" si="48"/>
        <v>85</v>
      </c>
      <c r="L286" s="137" t="s">
        <v>56</v>
      </c>
      <c r="M286" s="138">
        <v>215</v>
      </c>
      <c r="N286" s="142">
        <v>215</v>
      </c>
      <c r="O286" s="238" t="s">
        <v>1959</v>
      </c>
      <c r="P286" s="932">
        <v>171</v>
      </c>
    </row>
    <row r="287" spans="1:24" s="676" customFormat="1" ht="30" customHeight="1">
      <c r="A287" s="797">
        <v>172</v>
      </c>
      <c r="B287" s="239" t="s">
        <v>831</v>
      </c>
      <c r="C287" s="713" t="s">
        <v>56</v>
      </c>
      <c r="D287" s="134">
        <v>3</v>
      </c>
      <c r="E287" s="135">
        <f>D287</f>
        <v>3</v>
      </c>
      <c r="F287" s="713">
        <v>0</v>
      </c>
      <c r="G287" s="714">
        <v>44</v>
      </c>
      <c r="H287" s="141">
        <v>44</v>
      </c>
      <c r="I287" s="713">
        <v>0</v>
      </c>
      <c r="J287" s="714">
        <v>114</v>
      </c>
      <c r="K287" s="141">
        <f t="shared" si="48"/>
        <v>114</v>
      </c>
      <c r="L287" s="713" t="s">
        <v>56</v>
      </c>
      <c r="M287" s="714">
        <v>185</v>
      </c>
      <c r="N287" s="141">
        <v>185</v>
      </c>
      <c r="O287" s="643" t="s">
        <v>1960</v>
      </c>
      <c r="P287" s="927">
        <v>172</v>
      </c>
    </row>
    <row r="288" spans="1:24" ht="30" customHeight="1">
      <c r="A288" s="192"/>
      <c r="B288" s="1009" t="s">
        <v>155</v>
      </c>
      <c r="C288" s="137"/>
      <c r="D288" s="139"/>
      <c r="E288" s="139"/>
      <c r="F288" s="137"/>
      <c r="G288" s="138"/>
      <c r="H288" s="142"/>
      <c r="I288" s="137"/>
      <c r="J288" s="138"/>
      <c r="K288" s="142"/>
      <c r="L288" s="137"/>
      <c r="M288" s="138"/>
      <c r="N288" s="138"/>
      <c r="O288" s="1011" t="s">
        <v>46</v>
      </c>
      <c r="P288" s="928"/>
    </row>
    <row r="289" spans="1:24" s="676" customFormat="1" ht="30" customHeight="1">
      <c r="A289" s="797">
        <v>173</v>
      </c>
      <c r="B289" s="814" t="s">
        <v>783</v>
      </c>
      <c r="C289" s="713">
        <v>15</v>
      </c>
      <c r="D289" s="714">
        <v>30</v>
      </c>
      <c r="E289" s="134">
        <f t="shared" ref="E289:E291" si="49">D289+C289</f>
        <v>45</v>
      </c>
      <c r="F289" s="713">
        <v>0</v>
      </c>
      <c r="G289" s="714">
        <v>181</v>
      </c>
      <c r="H289" s="714">
        <v>181</v>
      </c>
      <c r="I289" s="713">
        <v>0</v>
      </c>
      <c r="J289" s="714">
        <v>154</v>
      </c>
      <c r="K289" s="714">
        <f>J289+I289</f>
        <v>154</v>
      </c>
      <c r="L289" s="713" t="s">
        <v>56</v>
      </c>
      <c r="M289" s="714">
        <v>371</v>
      </c>
      <c r="N289" s="714">
        <v>371</v>
      </c>
      <c r="O289" s="644" t="s">
        <v>1856</v>
      </c>
      <c r="P289" s="927">
        <v>173</v>
      </c>
    </row>
    <row r="290" spans="1:24" s="676" customFormat="1" ht="30" customHeight="1">
      <c r="A290" s="192">
        <v>174</v>
      </c>
      <c r="B290" s="315" t="s">
        <v>784</v>
      </c>
      <c r="C290" s="137">
        <v>7</v>
      </c>
      <c r="D290" s="139">
        <v>19</v>
      </c>
      <c r="E290" s="139">
        <f t="shared" si="49"/>
        <v>26</v>
      </c>
      <c r="F290" s="137">
        <v>0</v>
      </c>
      <c r="G290" s="138">
        <v>94</v>
      </c>
      <c r="H290" s="138">
        <v>94</v>
      </c>
      <c r="I290" s="137">
        <v>0</v>
      </c>
      <c r="J290" s="138">
        <v>122</v>
      </c>
      <c r="K290" s="138">
        <f>J290+I290</f>
        <v>122</v>
      </c>
      <c r="L290" s="137" t="s">
        <v>56</v>
      </c>
      <c r="M290" s="138">
        <v>237</v>
      </c>
      <c r="N290" s="138">
        <v>237</v>
      </c>
      <c r="O290" s="316" t="s">
        <v>1881</v>
      </c>
      <c r="P290" s="928">
        <v>174</v>
      </c>
    </row>
    <row r="291" spans="1:24" ht="30" customHeight="1">
      <c r="A291" s="797">
        <v>175</v>
      </c>
      <c r="B291" s="814" t="s">
        <v>778</v>
      </c>
      <c r="C291" s="713">
        <v>2</v>
      </c>
      <c r="D291" s="714">
        <v>4</v>
      </c>
      <c r="E291" s="134">
        <f t="shared" si="49"/>
        <v>6</v>
      </c>
      <c r="F291" s="713">
        <v>0</v>
      </c>
      <c r="G291" s="714">
        <v>31</v>
      </c>
      <c r="H291" s="714">
        <v>31</v>
      </c>
      <c r="I291" s="713">
        <v>0</v>
      </c>
      <c r="J291" s="714">
        <v>50</v>
      </c>
      <c r="K291" s="714">
        <f>J291+I291</f>
        <v>50</v>
      </c>
      <c r="L291" s="713" t="s">
        <v>56</v>
      </c>
      <c r="M291" s="714">
        <v>81</v>
      </c>
      <c r="N291" s="714">
        <v>81</v>
      </c>
      <c r="O291" s="644" t="s">
        <v>1961</v>
      </c>
      <c r="P291" s="927">
        <v>175</v>
      </c>
    </row>
    <row r="292" spans="1:24" s="676" customFormat="1" ht="30" customHeight="1">
      <c r="A292" s="192"/>
      <c r="B292" s="1009" t="s">
        <v>156</v>
      </c>
      <c r="C292" s="137"/>
      <c r="D292" s="138"/>
      <c r="E292" s="139"/>
      <c r="F292" s="137"/>
      <c r="G292" s="138"/>
      <c r="H292" s="138"/>
      <c r="I292" s="137"/>
      <c r="J292" s="138"/>
      <c r="K292" s="138"/>
      <c r="L292" s="137"/>
      <c r="M292" s="138"/>
      <c r="N292" s="138"/>
      <c r="O292" s="1011" t="s">
        <v>47</v>
      </c>
      <c r="P292" s="928"/>
    </row>
    <row r="293" spans="1:24" ht="30" customHeight="1">
      <c r="A293" s="797">
        <v>176</v>
      </c>
      <c r="B293" s="814" t="s">
        <v>780</v>
      </c>
      <c r="C293" s="713">
        <v>3</v>
      </c>
      <c r="D293" s="134">
        <v>11</v>
      </c>
      <c r="E293" s="134">
        <f t="shared" ref="E293:E295" si="50">D293+C293</f>
        <v>14</v>
      </c>
      <c r="F293" s="713">
        <v>0</v>
      </c>
      <c r="G293" s="714">
        <v>68</v>
      </c>
      <c r="H293" s="714">
        <v>68</v>
      </c>
      <c r="I293" s="713">
        <v>0</v>
      </c>
      <c r="J293" s="714">
        <v>395</v>
      </c>
      <c r="K293" s="714">
        <f>J293+I293</f>
        <v>395</v>
      </c>
      <c r="L293" s="713" t="s">
        <v>56</v>
      </c>
      <c r="M293" s="714">
        <v>463</v>
      </c>
      <c r="N293" s="714">
        <v>463</v>
      </c>
      <c r="O293" s="644" t="s">
        <v>1849</v>
      </c>
      <c r="P293" s="927">
        <v>176</v>
      </c>
    </row>
    <row r="294" spans="1:24" s="676" customFormat="1" ht="30" customHeight="1">
      <c r="A294" s="192">
        <v>177</v>
      </c>
      <c r="B294" s="315" t="s">
        <v>1290</v>
      </c>
      <c r="C294" s="137">
        <v>1</v>
      </c>
      <c r="D294" s="138">
        <v>1</v>
      </c>
      <c r="E294" s="139">
        <f t="shared" si="50"/>
        <v>2</v>
      </c>
      <c r="F294" s="137">
        <v>0</v>
      </c>
      <c r="G294" s="138">
        <v>26</v>
      </c>
      <c r="H294" s="138">
        <v>26</v>
      </c>
      <c r="I294" s="137">
        <v>0</v>
      </c>
      <c r="J294" s="138">
        <v>30</v>
      </c>
      <c r="K294" s="138">
        <f>J294+I294</f>
        <v>30</v>
      </c>
      <c r="L294" s="137" t="s">
        <v>56</v>
      </c>
      <c r="M294" s="138">
        <v>56</v>
      </c>
      <c r="N294" s="138">
        <v>56</v>
      </c>
      <c r="O294" s="316" t="s">
        <v>1962</v>
      </c>
      <c r="P294" s="928">
        <v>177</v>
      </c>
    </row>
    <row r="295" spans="1:24" ht="30" customHeight="1">
      <c r="A295" s="797">
        <v>178</v>
      </c>
      <c r="B295" s="239" t="s">
        <v>822</v>
      </c>
      <c r="C295" s="713">
        <v>6</v>
      </c>
      <c r="D295" s="134">
        <v>18</v>
      </c>
      <c r="E295" s="135">
        <f t="shared" si="50"/>
        <v>24</v>
      </c>
      <c r="F295" s="713">
        <v>0</v>
      </c>
      <c r="G295" s="714">
        <v>51</v>
      </c>
      <c r="H295" s="141">
        <v>51</v>
      </c>
      <c r="I295" s="713">
        <v>0</v>
      </c>
      <c r="J295" s="714">
        <v>177</v>
      </c>
      <c r="K295" s="141">
        <f>J295+I295</f>
        <v>177</v>
      </c>
      <c r="L295" s="713" t="s">
        <v>56</v>
      </c>
      <c r="M295" s="714">
        <v>254</v>
      </c>
      <c r="N295" s="141">
        <v>254</v>
      </c>
      <c r="O295" s="643" t="s">
        <v>1963</v>
      </c>
      <c r="P295" s="927">
        <v>178</v>
      </c>
    </row>
    <row r="296" spans="1:24" s="676" customFormat="1" ht="30" customHeight="1">
      <c r="A296" s="586">
        <v>179</v>
      </c>
      <c r="B296" s="373" t="s">
        <v>833</v>
      </c>
      <c r="C296" s="364" t="s">
        <v>56</v>
      </c>
      <c r="D296" s="365">
        <v>4</v>
      </c>
      <c r="E296" s="365">
        <f>D296</f>
        <v>4</v>
      </c>
      <c r="F296" s="364">
        <v>0</v>
      </c>
      <c r="G296" s="367">
        <v>60</v>
      </c>
      <c r="H296" s="367">
        <v>60</v>
      </c>
      <c r="I296" s="364">
        <v>0</v>
      </c>
      <c r="J296" s="367">
        <v>70</v>
      </c>
      <c r="K296" s="367">
        <f>J296+I296</f>
        <v>70</v>
      </c>
      <c r="L296" s="364" t="s">
        <v>56</v>
      </c>
      <c r="M296" s="367">
        <v>154</v>
      </c>
      <c r="N296" s="367">
        <v>154</v>
      </c>
      <c r="O296" s="1013" t="s">
        <v>1964</v>
      </c>
      <c r="P296" s="929">
        <v>179</v>
      </c>
    </row>
    <row r="297" spans="1:24" ht="20" hidden="1" customHeight="1">
      <c r="A297" s="1508" t="s">
        <v>1188</v>
      </c>
      <c r="B297" s="1508"/>
      <c r="C297" s="168"/>
      <c r="D297" s="168"/>
      <c r="E297" s="157"/>
      <c r="F297" s="168"/>
      <c r="G297" s="168"/>
      <c r="H297" s="168"/>
      <c r="I297" s="168"/>
      <c r="J297" s="168"/>
      <c r="K297" s="168"/>
      <c r="L297" s="168"/>
      <c r="M297" s="168"/>
      <c r="N297" s="168"/>
      <c r="O297" s="1509" t="s">
        <v>1297</v>
      </c>
      <c r="P297" s="1509"/>
      <c r="Q297"/>
      <c r="R297"/>
      <c r="S297"/>
      <c r="T297"/>
      <c r="U297"/>
      <c r="V297"/>
      <c r="W297"/>
      <c r="X297"/>
    </row>
    <row r="298" spans="1:24" ht="20" hidden="1" customHeight="1">
      <c r="A298" s="1520"/>
      <c r="B298" s="1520"/>
      <c r="C298" s="157"/>
      <c r="D298" s="157"/>
      <c r="E298" s="157"/>
      <c r="F298" s="168"/>
      <c r="G298" s="168"/>
      <c r="H298" s="168"/>
      <c r="I298" s="168"/>
      <c r="J298" s="168"/>
      <c r="K298" s="168"/>
      <c r="L298" s="1526" t="s">
        <v>1298</v>
      </c>
      <c r="M298" s="1526"/>
      <c r="N298" s="1526"/>
      <c r="O298" s="1526"/>
      <c r="P298" s="1526"/>
      <c r="Q298"/>
      <c r="R298"/>
      <c r="S298"/>
      <c r="T298"/>
      <c r="U298"/>
      <c r="V298"/>
      <c r="W298"/>
      <c r="X298"/>
    </row>
    <row r="299" spans="1:24" s="676" customFormat="1" ht="20" hidden="1" customHeight="1">
      <c r="A299" s="1438" t="s">
        <v>621</v>
      </c>
      <c r="B299" s="1468" t="s">
        <v>286</v>
      </c>
      <c r="C299" s="1320" t="s">
        <v>1307</v>
      </c>
      <c r="D299" s="1470"/>
      <c r="E299" s="1449"/>
      <c r="F299" s="1320" t="s">
        <v>1219</v>
      </c>
      <c r="G299" s="1470"/>
      <c r="H299" s="1449"/>
      <c r="I299" s="1320" t="s">
        <v>1218</v>
      </c>
      <c r="J299" s="1470"/>
      <c r="K299" s="1449"/>
      <c r="L299" s="1320" t="s">
        <v>79</v>
      </c>
      <c r="M299" s="1470"/>
      <c r="N299" s="1449"/>
      <c r="O299" s="1513" t="s">
        <v>1575</v>
      </c>
      <c r="P299" s="1471" t="s">
        <v>727</v>
      </c>
    </row>
    <row r="300" spans="1:24" ht="20" hidden="1" customHeight="1">
      <c r="A300" s="1439"/>
      <c r="B300" s="1468"/>
      <c r="C300" s="1280"/>
      <c r="D300" s="1474"/>
      <c r="E300" s="1475"/>
      <c r="F300" s="1280"/>
      <c r="G300" s="1474"/>
      <c r="H300" s="1475"/>
      <c r="I300" s="1280"/>
      <c r="J300" s="1474"/>
      <c r="K300" s="1475"/>
      <c r="L300" s="1280"/>
      <c r="M300" s="1474"/>
      <c r="N300" s="1475"/>
      <c r="O300" s="1507"/>
      <c r="P300" s="1472"/>
    </row>
    <row r="301" spans="1:24" s="676" customFormat="1" ht="20" hidden="1" customHeight="1">
      <c r="A301" s="1439"/>
      <c r="B301" s="1468"/>
      <c r="C301" s="1280" t="s">
        <v>138</v>
      </c>
      <c r="D301" s="1474"/>
      <c r="E301" s="1475"/>
      <c r="F301" s="1280" t="s">
        <v>1186</v>
      </c>
      <c r="G301" s="1474"/>
      <c r="H301" s="1475"/>
      <c r="I301" s="1280" t="s">
        <v>587</v>
      </c>
      <c r="J301" s="1474"/>
      <c r="K301" s="1475"/>
      <c r="L301" s="1280" t="s">
        <v>137</v>
      </c>
      <c r="M301" s="1474"/>
      <c r="N301" s="1475"/>
      <c r="O301" s="1507"/>
      <c r="P301" s="1472"/>
      <c r="R301" s="815"/>
      <c r="T301" s="32"/>
    </row>
    <row r="302" spans="1:24" s="676" customFormat="1" ht="20" hidden="1" customHeight="1">
      <c r="A302" s="1439"/>
      <c r="B302" s="1468"/>
      <c r="C302" s="1280" t="s">
        <v>583</v>
      </c>
      <c r="D302" s="1474" t="s">
        <v>581</v>
      </c>
      <c r="E302" s="1474" t="s">
        <v>489</v>
      </c>
      <c r="F302" s="1280" t="s">
        <v>583</v>
      </c>
      <c r="G302" s="1474" t="s">
        <v>589</v>
      </c>
      <c r="H302" s="1474" t="s">
        <v>489</v>
      </c>
      <c r="I302" s="1280" t="s">
        <v>583</v>
      </c>
      <c r="J302" s="1474" t="s">
        <v>589</v>
      </c>
      <c r="K302" s="1474" t="s">
        <v>489</v>
      </c>
      <c r="L302" s="1280" t="s">
        <v>583</v>
      </c>
      <c r="M302" s="1474" t="s">
        <v>588</v>
      </c>
      <c r="N302" s="1475" t="s">
        <v>489</v>
      </c>
      <c r="O302" s="1507"/>
      <c r="P302" s="1472"/>
      <c r="R302" s="815"/>
      <c r="T302" s="32"/>
    </row>
    <row r="303" spans="1:24" ht="20" hidden="1" customHeight="1">
      <c r="A303" s="1439"/>
      <c r="B303" s="1468"/>
      <c r="C303" s="1280"/>
      <c r="D303" s="1474"/>
      <c r="E303" s="1474"/>
      <c r="F303" s="1280"/>
      <c r="G303" s="1474"/>
      <c r="H303" s="1474"/>
      <c r="I303" s="1280"/>
      <c r="J303" s="1474"/>
      <c r="K303" s="1474"/>
      <c r="L303" s="1280"/>
      <c r="M303" s="1474"/>
      <c r="N303" s="1475"/>
      <c r="O303" s="1507"/>
      <c r="P303" s="1472"/>
    </row>
    <row r="304" spans="1:24" s="676" customFormat="1" ht="20" hidden="1" customHeight="1">
      <c r="A304" s="1462"/>
      <c r="B304" s="1468"/>
      <c r="C304" s="872" t="s">
        <v>133</v>
      </c>
      <c r="D304" s="873" t="s">
        <v>134</v>
      </c>
      <c r="E304" s="960" t="s">
        <v>100</v>
      </c>
      <c r="F304" s="872" t="s">
        <v>133</v>
      </c>
      <c r="G304" s="873" t="s">
        <v>134</v>
      </c>
      <c r="H304" s="960" t="s">
        <v>100</v>
      </c>
      <c r="I304" s="872" t="s">
        <v>133</v>
      </c>
      <c r="J304" s="873" t="s">
        <v>134</v>
      </c>
      <c r="K304" s="871" t="s">
        <v>100</v>
      </c>
      <c r="L304" s="872" t="s">
        <v>133</v>
      </c>
      <c r="M304" s="873" t="s">
        <v>134</v>
      </c>
      <c r="N304" s="893" t="s">
        <v>100</v>
      </c>
      <c r="O304" s="1514"/>
      <c r="P304" s="1473"/>
      <c r="R304" s="815"/>
      <c r="T304" s="32"/>
    </row>
    <row r="305" spans="1:24" ht="36.75" customHeight="1">
      <c r="A305" s="797"/>
      <c r="B305" s="1005" t="s">
        <v>157</v>
      </c>
      <c r="C305" s="713"/>
      <c r="D305" s="134"/>
      <c r="E305" s="134"/>
      <c r="F305" s="713"/>
      <c r="G305" s="714"/>
      <c r="H305" s="714"/>
      <c r="I305" s="713"/>
      <c r="J305" s="714"/>
      <c r="K305" s="714"/>
      <c r="L305" s="713"/>
      <c r="M305" s="714"/>
      <c r="N305" s="714"/>
      <c r="O305" s="1012" t="s">
        <v>48</v>
      </c>
      <c r="P305" s="927"/>
    </row>
    <row r="306" spans="1:24" ht="32" customHeight="1">
      <c r="A306" s="192">
        <v>180</v>
      </c>
      <c r="B306" s="315" t="s">
        <v>784</v>
      </c>
      <c r="C306" s="137">
        <v>1</v>
      </c>
      <c r="D306" s="138">
        <v>19</v>
      </c>
      <c r="E306" s="139">
        <f t="shared" ref="E306" si="51">D306+C306</f>
        <v>20</v>
      </c>
      <c r="F306" s="137">
        <v>0</v>
      </c>
      <c r="G306" s="138">
        <v>131</v>
      </c>
      <c r="H306" s="138">
        <v>131</v>
      </c>
      <c r="I306" s="137">
        <v>0</v>
      </c>
      <c r="J306" s="138">
        <v>511</v>
      </c>
      <c r="K306" s="138">
        <f>J306+I306</f>
        <v>511</v>
      </c>
      <c r="L306" s="137" t="s">
        <v>56</v>
      </c>
      <c r="M306" s="138">
        <v>514</v>
      </c>
      <c r="N306" s="138">
        <v>514</v>
      </c>
      <c r="O306" s="316" t="s">
        <v>1881</v>
      </c>
      <c r="P306" s="928">
        <v>180</v>
      </c>
    </row>
    <row r="307" spans="1:24" ht="38.25" customHeight="1">
      <c r="A307" s="797">
        <v>181</v>
      </c>
      <c r="B307" s="814" t="s">
        <v>1247</v>
      </c>
      <c r="C307" s="713" t="s">
        <v>56</v>
      </c>
      <c r="D307" s="134">
        <v>2</v>
      </c>
      <c r="E307" s="134">
        <f t="shared" ref="E307:E309" si="52">D307</f>
        <v>2</v>
      </c>
      <c r="F307" s="713">
        <v>0</v>
      </c>
      <c r="G307" s="714" t="s">
        <v>56</v>
      </c>
      <c r="H307" s="714" t="s">
        <v>56</v>
      </c>
      <c r="I307" s="713">
        <v>0</v>
      </c>
      <c r="J307" s="714">
        <v>65</v>
      </c>
      <c r="K307" s="714">
        <f>J307+I307</f>
        <v>65</v>
      </c>
      <c r="L307" s="713" t="s">
        <v>56</v>
      </c>
      <c r="M307" s="714">
        <v>65</v>
      </c>
      <c r="N307" s="714">
        <v>65</v>
      </c>
      <c r="O307" s="644" t="s">
        <v>1915</v>
      </c>
      <c r="P307" s="927">
        <v>181</v>
      </c>
    </row>
    <row r="308" spans="1:24" ht="32" customHeight="1">
      <c r="A308" s="192">
        <v>182</v>
      </c>
      <c r="B308" s="315" t="s">
        <v>778</v>
      </c>
      <c r="C308" s="137" t="s">
        <v>56</v>
      </c>
      <c r="D308" s="138">
        <v>9</v>
      </c>
      <c r="E308" s="139">
        <f t="shared" si="52"/>
        <v>9</v>
      </c>
      <c r="F308" s="137">
        <v>0</v>
      </c>
      <c r="G308" s="138">
        <v>45</v>
      </c>
      <c r="H308" s="138">
        <v>45</v>
      </c>
      <c r="I308" s="137">
        <v>0</v>
      </c>
      <c r="J308" s="138">
        <v>58</v>
      </c>
      <c r="K308" s="138">
        <f>J308+I308</f>
        <v>58</v>
      </c>
      <c r="L308" s="137" t="s">
        <v>56</v>
      </c>
      <c r="M308" s="138">
        <v>103</v>
      </c>
      <c r="N308" s="138">
        <v>103</v>
      </c>
      <c r="O308" s="316" t="s">
        <v>1830</v>
      </c>
      <c r="P308" s="928">
        <v>182</v>
      </c>
      <c r="Q308" s="16"/>
    </row>
    <row r="309" spans="1:24" ht="32" customHeight="1">
      <c r="A309" s="797">
        <v>183</v>
      </c>
      <c r="B309" s="814" t="s">
        <v>717</v>
      </c>
      <c r="C309" s="713" t="s">
        <v>56</v>
      </c>
      <c r="D309" s="714">
        <v>7</v>
      </c>
      <c r="E309" s="134">
        <f t="shared" si="52"/>
        <v>7</v>
      </c>
      <c r="F309" s="713">
        <v>0</v>
      </c>
      <c r="G309" s="714">
        <v>91</v>
      </c>
      <c r="H309" s="714">
        <v>91</v>
      </c>
      <c r="I309" s="713">
        <v>0</v>
      </c>
      <c r="J309" s="714">
        <v>102</v>
      </c>
      <c r="K309" s="714">
        <f>J309+I309</f>
        <v>102</v>
      </c>
      <c r="L309" s="713" t="s">
        <v>56</v>
      </c>
      <c r="M309" s="714">
        <v>228</v>
      </c>
      <c r="N309" s="714">
        <v>228</v>
      </c>
      <c r="O309" s="644" t="s">
        <v>1965</v>
      </c>
      <c r="P309" s="927">
        <v>183</v>
      </c>
      <c r="Q309" s="44"/>
    </row>
    <row r="310" spans="1:24" ht="32" customHeight="1">
      <c r="A310" s="192"/>
      <c r="B310" s="1009" t="s">
        <v>129</v>
      </c>
      <c r="C310" s="137"/>
      <c r="D310" s="138"/>
      <c r="E310" s="139"/>
      <c r="F310" s="137"/>
      <c r="G310" s="138"/>
      <c r="H310" s="138"/>
      <c r="I310" s="137"/>
      <c r="J310" s="138"/>
      <c r="K310" s="138"/>
      <c r="L310" s="137"/>
      <c r="M310" s="138"/>
      <c r="N310" s="138"/>
      <c r="O310" s="1011" t="s">
        <v>24</v>
      </c>
      <c r="P310" s="928"/>
    </row>
    <row r="311" spans="1:24" ht="32" customHeight="1">
      <c r="A311" s="797">
        <v>184</v>
      </c>
      <c r="B311" s="814" t="s">
        <v>778</v>
      </c>
      <c r="C311" s="713" t="s">
        <v>56</v>
      </c>
      <c r="D311" s="134">
        <v>3</v>
      </c>
      <c r="E311" s="134">
        <f t="shared" ref="E311:E312" si="53">D311</f>
        <v>3</v>
      </c>
      <c r="F311" s="713">
        <v>0</v>
      </c>
      <c r="G311" s="714">
        <v>61</v>
      </c>
      <c r="H311" s="714">
        <v>61</v>
      </c>
      <c r="I311" s="713">
        <v>0</v>
      </c>
      <c r="J311" s="714">
        <v>163</v>
      </c>
      <c r="K311" s="714">
        <f>J311+I311</f>
        <v>163</v>
      </c>
      <c r="L311" s="713" t="s">
        <v>56</v>
      </c>
      <c r="M311" s="714">
        <v>224</v>
      </c>
      <c r="N311" s="714">
        <v>224</v>
      </c>
      <c r="O311" s="644" t="s">
        <v>1830</v>
      </c>
      <c r="P311" s="927">
        <v>184</v>
      </c>
    </row>
    <row r="312" spans="1:24" ht="32" customHeight="1">
      <c r="A312" s="192">
        <v>185</v>
      </c>
      <c r="B312" s="315" t="s">
        <v>335</v>
      </c>
      <c r="C312" s="137" t="s">
        <v>56</v>
      </c>
      <c r="D312" s="138">
        <v>4</v>
      </c>
      <c r="E312" s="140">
        <f t="shared" si="53"/>
        <v>4</v>
      </c>
      <c r="F312" s="137">
        <v>0</v>
      </c>
      <c r="G312" s="138">
        <v>54</v>
      </c>
      <c r="H312" s="138">
        <v>54</v>
      </c>
      <c r="I312" s="137">
        <v>0</v>
      </c>
      <c r="J312" s="138">
        <v>188</v>
      </c>
      <c r="K312" s="138">
        <f>J312+I312</f>
        <v>188</v>
      </c>
      <c r="L312" s="137" t="s">
        <v>56</v>
      </c>
      <c r="M312" s="138">
        <v>269</v>
      </c>
      <c r="N312" s="142">
        <v>269</v>
      </c>
      <c r="O312" s="238" t="s">
        <v>1966</v>
      </c>
      <c r="P312" s="928">
        <v>185</v>
      </c>
      <c r="R312" s="179"/>
      <c r="T312" s="16"/>
    </row>
    <row r="313" spans="1:24" s="676" customFormat="1" ht="42" customHeight="1">
      <c r="A313" s="797"/>
      <c r="B313" s="724" t="s">
        <v>164</v>
      </c>
      <c r="C313" s="713"/>
      <c r="D313" s="714"/>
      <c r="E313" s="134"/>
      <c r="F313" s="713"/>
      <c r="G313" s="714"/>
      <c r="H313" s="141"/>
      <c r="I313" s="713"/>
      <c r="J313" s="714"/>
      <c r="K313" s="141"/>
      <c r="L313" s="713"/>
      <c r="M313" s="714"/>
      <c r="N313" s="714"/>
      <c r="O313" s="1012" t="s">
        <v>25</v>
      </c>
      <c r="P313" s="927"/>
      <c r="R313" s="815"/>
      <c r="T313" s="32"/>
    </row>
    <row r="314" spans="1:24" s="676" customFormat="1" ht="33" customHeight="1">
      <c r="A314" s="192">
        <v>186</v>
      </c>
      <c r="B314" s="315" t="s">
        <v>778</v>
      </c>
      <c r="C314" s="137">
        <v>11</v>
      </c>
      <c r="D314" s="139">
        <v>8</v>
      </c>
      <c r="E314" s="139">
        <f t="shared" ref="E314:E317" si="54">D314+C314</f>
        <v>19</v>
      </c>
      <c r="F314" s="137">
        <v>0</v>
      </c>
      <c r="G314" s="138">
        <v>37</v>
      </c>
      <c r="H314" s="138">
        <v>37</v>
      </c>
      <c r="I314" s="137">
        <v>0</v>
      </c>
      <c r="J314" s="138">
        <v>187</v>
      </c>
      <c r="K314" s="138">
        <f>J314+I314</f>
        <v>187</v>
      </c>
      <c r="L314" s="137" t="s">
        <v>56</v>
      </c>
      <c r="M314" s="138">
        <v>262</v>
      </c>
      <c r="N314" s="138">
        <v>262</v>
      </c>
      <c r="O314" s="316" t="s">
        <v>1922</v>
      </c>
      <c r="P314" s="928">
        <v>186</v>
      </c>
      <c r="R314" s="815"/>
      <c r="T314" s="32"/>
    </row>
    <row r="315" spans="1:24" ht="37.5" customHeight="1">
      <c r="A315" s="797">
        <v>187</v>
      </c>
      <c r="B315" s="814" t="s">
        <v>336</v>
      </c>
      <c r="C315" s="713">
        <v>11</v>
      </c>
      <c r="D315" s="714">
        <v>16</v>
      </c>
      <c r="E315" s="134">
        <f t="shared" si="54"/>
        <v>27</v>
      </c>
      <c r="F315" s="713">
        <v>0</v>
      </c>
      <c r="G315" s="714">
        <v>8</v>
      </c>
      <c r="H315" s="714">
        <v>8</v>
      </c>
      <c r="I315" s="713">
        <v>0</v>
      </c>
      <c r="J315" s="714">
        <v>73</v>
      </c>
      <c r="K315" s="714">
        <f>J315+I315</f>
        <v>73</v>
      </c>
      <c r="L315" s="713" t="s">
        <v>56</v>
      </c>
      <c r="M315" s="714">
        <v>91</v>
      </c>
      <c r="N315" s="714">
        <v>91</v>
      </c>
      <c r="O315" s="644" t="s">
        <v>1967</v>
      </c>
      <c r="P315" s="927">
        <v>187</v>
      </c>
      <c r="R315" s="179"/>
      <c r="T315" s="16"/>
    </row>
    <row r="316" spans="1:24" s="676" customFormat="1" ht="32" customHeight="1">
      <c r="A316" s="192">
        <v>188</v>
      </c>
      <c r="B316" s="315" t="s">
        <v>784</v>
      </c>
      <c r="C316" s="137">
        <v>2</v>
      </c>
      <c r="D316" s="139">
        <v>26</v>
      </c>
      <c r="E316" s="139">
        <f t="shared" si="54"/>
        <v>28</v>
      </c>
      <c r="F316" s="137">
        <v>0</v>
      </c>
      <c r="G316" s="138">
        <v>63</v>
      </c>
      <c r="H316" s="142">
        <v>63</v>
      </c>
      <c r="I316" s="137">
        <v>0</v>
      </c>
      <c r="J316" s="138">
        <f>357-58</f>
        <v>299</v>
      </c>
      <c r="K316" s="138">
        <f>J316+I316</f>
        <v>299</v>
      </c>
      <c r="L316" s="137" t="s">
        <v>56</v>
      </c>
      <c r="M316" s="138">
        <v>343</v>
      </c>
      <c r="N316" s="142">
        <v>343</v>
      </c>
      <c r="O316" s="238" t="s">
        <v>1881</v>
      </c>
      <c r="P316" s="928">
        <v>188</v>
      </c>
      <c r="R316" s="815"/>
      <c r="T316" s="32"/>
    </row>
    <row r="317" spans="1:24" ht="45" customHeight="1">
      <c r="A317" s="325">
        <v>189</v>
      </c>
      <c r="B317" s="239" t="s">
        <v>783</v>
      </c>
      <c r="C317" s="713">
        <v>15</v>
      </c>
      <c r="D317" s="714">
        <v>16</v>
      </c>
      <c r="E317" s="135">
        <f t="shared" si="54"/>
        <v>31</v>
      </c>
      <c r="F317" s="713">
        <v>0</v>
      </c>
      <c r="G317" s="714">
        <v>52</v>
      </c>
      <c r="H317" s="141">
        <v>52</v>
      </c>
      <c r="I317" s="713">
        <v>0</v>
      </c>
      <c r="J317" s="714">
        <v>362</v>
      </c>
      <c r="K317" s="141">
        <f>J317+I317</f>
        <v>362</v>
      </c>
      <c r="L317" s="713" t="s">
        <v>56</v>
      </c>
      <c r="M317" s="714">
        <v>446</v>
      </c>
      <c r="N317" s="141">
        <v>446</v>
      </c>
      <c r="O317" s="643" t="s">
        <v>1944</v>
      </c>
      <c r="P317" s="878">
        <v>189</v>
      </c>
      <c r="R317" s="179"/>
      <c r="T317" s="16"/>
    </row>
    <row r="318" spans="1:24" s="676" customFormat="1" ht="40.5" customHeight="1">
      <c r="A318" s="397">
        <v>190</v>
      </c>
      <c r="B318" s="297" t="s">
        <v>337</v>
      </c>
      <c r="C318" s="364" t="s">
        <v>56</v>
      </c>
      <c r="D318" s="365">
        <v>6</v>
      </c>
      <c r="E318" s="366">
        <f>D318</f>
        <v>6</v>
      </c>
      <c r="F318" s="367">
        <v>0</v>
      </c>
      <c r="G318" s="367">
        <v>49</v>
      </c>
      <c r="H318" s="368">
        <v>49</v>
      </c>
      <c r="I318" s="364">
        <v>0</v>
      </c>
      <c r="J318" s="367">
        <v>58</v>
      </c>
      <c r="K318" s="368">
        <f>J318+I318</f>
        <v>58</v>
      </c>
      <c r="L318" s="364" t="s">
        <v>56</v>
      </c>
      <c r="M318" s="367">
        <v>125</v>
      </c>
      <c r="N318" s="368">
        <v>125</v>
      </c>
      <c r="O318" s="293" t="s">
        <v>1968</v>
      </c>
      <c r="P318" s="880">
        <v>190</v>
      </c>
      <c r="R318" s="815"/>
      <c r="T318" s="32"/>
    </row>
    <row r="319" spans="1:24" ht="20" hidden="1" customHeight="1">
      <c r="A319" s="1508" t="s">
        <v>1188</v>
      </c>
      <c r="B319" s="1508"/>
      <c r="C319" s="168"/>
      <c r="D319" s="168"/>
      <c r="E319" s="157"/>
      <c r="F319" s="168"/>
      <c r="G319" s="168"/>
      <c r="H319" s="168"/>
      <c r="I319" s="168"/>
      <c r="J319" s="168"/>
      <c r="K319" s="168"/>
      <c r="L319" s="168"/>
      <c r="M319" s="168"/>
      <c r="N319" s="168"/>
      <c r="O319" s="1509" t="s">
        <v>1297</v>
      </c>
      <c r="P319" s="1509"/>
      <c r="Q319"/>
      <c r="R319"/>
      <c r="S319"/>
      <c r="T319"/>
      <c r="U319"/>
      <c r="V319"/>
      <c r="W319"/>
      <c r="X319"/>
    </row>
    <row r="320" spans="1:24" ht="20" hidden="1" customHeight="1">
      <c r="A320" s="1508"/>
      <c r="B320" s="1508"/>
      <c r="C320" s="157"/>
      <c r="D320" s="157"/>
      <c r="E320" s="157"/>
      <c r="F320" s="168"/>
      <c r="G320" s="168"/>
      <c r="H320" s="168"/>
      <c r="I320" s="168"/>
      <c r="J320" s="168"/>
      <c r="K320" s="168"/>
      <c r="L320" s="1509" t="s">
        <v>1298</v>
      </c>
      <c r="M320" s="1509"/>
      <c r="N320" s="1509"/>
      <c r="O320" s="1509"/>
      <c r="P320" s="1509"/>
      <c r="Q320"/>
      <c r="R320"/>
      <c r="S320"/>
      <c r="T320"/>
      <c r="U320"/>
      <c r="V320"/>
      <c r="W320"/>
      <c r="X320"/>
    </row>
    <row r="321" spans="1:20" s="676" customFormat="1" ht="20" hidden="1" customHeight="1">
      <c r="A321" s="1438" t="s">
        <v>621</v>
      </c>
      <c r="B321" s="1468" t="s">
        <v>286</v>
      </c>
      <c r="C321" s="1320" t="s">
        <v>1307</v>
      </c>
      <c r="D321" s="1470"/>
      <c r="E321" s="1449"/>
      <c r="F321" s="1320" t="s">
        <v>1219</v>
      </c>
      <c r="G321" s="1470"/>
      <c r="H321" s="1449"/>
      <c r="I321" s="1320" t="s">
        <v>1218</v>
      </c>
      <c r="J321" s="1470"/>
      <c r="K321" s="1449"/>
      <c r="L321" s="1320" t="s">
        <v>79</v>
      </c>
      <c r="M321" s="1470"/>
      <c r="N321" s="1449"/>
      <c r="O321" s="1513" t="s">
        <v>1575</v>
      </c>
      <c r="P321" s="1471" t="s">
        <v>727</v>
      </c>
      <c r="R321" s="815"/>
      <c r="T321" s="32"/>
    </row>
    <row r="322" spans="1:20" s="676" customFormat="1" ht="20" hidden="1" customHeight="1">
      <c r="A322" s="1439"/>
      <c r="B322" s="1468"/>
      <c r="C322" s="1280"/>
      <c r="D322" s="1474"/>
      <c r="E322" s="1475"/>
      <c r="F322" s="1280"/>
      <c r="G322" s="1474"/>
      <c r="H322" s="1475"/>
      <c r="I322" s="1280"/>
      <c r="J322" s="1474"/>
      <c r="K322" s="1475"/>
      <c r="L322" s="1280"/>
      <c r="M322" s="1474"/>
      <c r="N322" s="1475"/>
      <c r="O322" s="1507"/>
      <c r="P322" s="1472"/>
      <c r="R322" s="815"/>
      <c r="T322" s="32"/>
    </row>
    <row r="323" spans="1:20" s="676" customFormat="1" ht="20" hidden="1" customHeight="1">
      <c r="A323" s="1439"/>
      <c r="B323" s="1468"/>
      <c r="C323" s="1280" t="s">
        <v>138</v>
      </c>
      <c r="D323" s="1474"/>
      <c r="E323" s="1475"/>
      <c r="F323" s="1280" t="s">
        <v>1186</v>
      </c>
      <c r="G323" s="1474"/>
      <c r="H323" s="1475"/>
      <c r="I323" s="1280" t="s">
        <v>587</v>
      </c>
      <c r="J323" s="1474"/>
      <c r="K323" s="1475"/>
      <c r="L323" s="1280" t="s">
        <v>137</v>
      </c>
      <c r="M323" s="1474"/>
      <c r="N323" s="1475"/>
      <c r="O323" s="1507"/>
      <c r="P323" s="1472"/>
      <c r="R323" s="815"/>
      <c r="T323" s="32"/>
    </row>
    <row r="324" spans="1:20" s="676" customFormat="1" ht="20" hidden="1" customHeight="1">
      <c r="A324" s="1439"/>
      <c r="B324" s="1468"/>
      <c r="C324" s="1280" t="s">
        <v>583</v>
      </c>
      <c r="D324" s="1474" t="s">
        <v>581</v>
      </c>
      <c r="E324" s="1474" t="s">
        <v>489</v>
      </c>
      <c r="F324" s="1280" t="s">
        <v>583</v>
      </c>
      <c r="G324" s="1474" t="s">
        <v>589</v>
      </c>
      <c r="H324" s="1474" t="s">
        <v>489</v>
      </c>
      <c r="I324" s="1280" t="s">
        <v>583</v>
      </c>
      <c r="J324" s="1474" t="s">
        <v>589</v>
      </c>
      <c r="K324" s="1474" t="s">
        <v>489</v>
      </c>
      <c r="L324" s="1280" t="s">
        <v>583</v>
      </c>
      <c r="M324" s="1474" t="s">
        <v>588</v>
      </c>
      <c r="N324" s="1475" t="s">
        <v>489</v>
      </c>
      <c r="O324" s="1507"/>
      <c r="P324" s="1472"/>
      <c r="R324" s="815"/>
      <c r="T324" s="32"/>
    </row>
    <row r="325" spans="1:20" s="676" customFormat="1" ht="20" hidden="1" customHeight="1">
      <c r="A325" s="1439"/>
      <c r="B325" s="1468"/>
      <c r="C325" s="1280"/>
      <c r="D325" s="1474"/>
      <c r="E325" s="1474"/>
      <c r="F325" s="1280"/>
      <c r="G325" s="1474"/>
      <c r="H325" s="1474"/>
      <c r="I325" s="1280"/>
      <c r="J325" s="1474"/>
      <c r="K325" s="1474"/>
      <c r="L325" s="1280"/>
      <c r="M325" s="1474"/>
      <c r="N325" s="1475"/>
      <c r="O325" s="1507"/>
      <c r="P325" s="1472"/>
      <c r="R325" s="815"/>
      <c r="T325" s="32"/>
    </row>
    <row r="326" spans="1:20" s="676" customFormat="1" ht="20" hidden="1" customHeight="1">
      <c r="A326" s="1462"/>
      <c r="B326" s="1468"/>
      <c r="C326" s="872" t="s">
        <v>133</v>
      </c>
      <c r="D326" s="873" t="s">
        <v>134</v>
      </c>
      <c r="E326" s="960" t="s">
        <v>100</v>
      </c>
      <c r="F326" s="872" t="s">
        <v>133</v>
      </c>
      <c r="G326" s="873" t="s">
        <v>134</v>
      </c>
      <c r="H326" s="960" t="s">
        <v>100</v>
      </c>
      <c r="I326" s="872" t="s">
        <v>133</v>
      </c>
      <c r="J326" s="873" t="s">
        <v>134</v>
      </c>
      <c r="K326" s="871" t="s">
        <v>100</v>
      </c>
      <c r="L326" s="872" t="s">
        <v>133</v>
      </c>
      <c r="M326" s="873" t="s">
        <v>134</v>
      </c>
      <c r="N326" s="893" t="s">
        <v>100</v>
      </c>
      <c r="O326" s="1514"/>
      <c r="P326" s="1473"/>
      <c r="R326" s="815"/>
      <c r="T326" s="32"/>
    </row>
    <row r="327" spans="1:20" s="676" customFormat="1" ht="30" customHeight="1">
      <c r="A327" s="325"/>
      <c r="B327" s="843" t="s">
        <v>131</v>
      </c>
      <c r="C327" s="713"/>
      <c r="D327" s="134"/>
      <c r="E327" s="135"/>
      <c r="F327" s="714"/>
      <c r="G327" s="714"/>
      <c r="H327" s="141"/>
      <c r="I327" s="713"/>
      <c r="J327" s="714"/>
      <c r="K327" s="141"/>
      <c r="L327" s="713"/>
      <c r="M327" s="714"/>
      <c r="N327" s="141"/>
      <c r="O327" s="743" t="s">
        <v>49</v>
      </c>
      <c r="P327" s="878"/>
      <c r="R327" s="815"/>
      <c r="T327" s="32"/>
    </row>
    <row r="328" spans="1:20" ht="30" customHeight="1">
      <c r="A328" s="396">
        <v>191</v>
      </c>
      <c r="B328" s="241" t="s">
        <v>822</v>
      </c>
      <c r="C328" s="137" t="s">
        <v>56</v>
      </c>
      <c r="D328" s="138">
        <v>8</v>
      </c>
      <c r="E328" s="140">
        <f t="shared" ref="E328:E329" si="55">D328</f>
        <v>8</v>
      </c>
      <c r="F328" s="138">
        <v>0</v>
      </c>
      <c r="G328" s="138">
        <v>36</v>
      </c>
      <c r="H328" s="142">
        <v>36</v>
      </c>
      <c r="I328" s="137">
        <v>0</v>
      </c>
      <c r="J328" s="138">
        <v>116</v>
      </c>
      <c r="K328" s="142">
        <f>J328+I328</f>
        <v>116</v>
      </c>
      <c r="L328" s="137" t="s">
        <v>56</v>
      </c>
      <c r="M328" s="138">
        <v>108</v>
      </c>
      <c r="N328" s="142">
        <v>108</v>
      </c>
      <c r="O328" s="238" t="s">
        <v>1947</v>
      </c>
      <c r="P328" s="879">
        <v>191</v>
      </c>
      <c r="R328" s="179"/>
      <c r="T328" s="16"/>
    </row>
    <row r="329" spans="1:20" s="676" customFormat="1" ht="30" customHeight="1">
      <c r="A329" s="325">
        <v>192</v>
      </c>
      <c r="B329" s="271" t="s">
        <v>780</v>
      </c>
      <c r="C329" s="713" t="s">
        <v>56</v>
      </c>
      <c r="D329" s="134">
        <v>2</v>
      </c>
      <c r="E329" s="135">
        <f t="shared" si="55"/>
        <v>2</v>
      </c>
      <c r="F329" s="714">
        <v>0</v>
      </c>
      <c r="G329" s="714">
        <v>36</v>
      </c>
      <c r="H329" s="141">
        <v>36</v>
      </c>
      <c r="I329" s="713">
        <v>0</v>
      </c>
      <c r="J329" s="714">
        <v>44</v>
      </c>
      <c r="K329" s="141">
        <f>J329+I329</f>
        <v>44</v>
      </c>
      <c r="L329" s="713" t="s">
        <v>56</v>
      </c>
      <c r="M329" s="714">
        <v>80</v>
      </c>
      <c r="N329" s="141">
        <v>80</v>
      </c>
      <c r="O329" s="643" t="s">
        <v>1849</v>
      </c>
      <c r="P329" s="878">
        <v>192</v>
      </c>
    </row>
    <row r="330" spans="1:20" ht="30" customHeight="1">
      <c r="A330" s="396">
        <v>193</v>
      </c>
      <c r="B330" s="241" t="s">
        <v>804</v>
      </c>
      <c r="C330" s="137">
        <v>1</v>
      </c>
      <c r="D330" s="138">
        <v>5</v>
      </c>
      <c r="E330" s="140">
        <f t="shared" ref="E330" si="56">D330+C330</f>
        <v>6</v>
      </c>
      <c r="F330" s="138">
        <v>0</v>
      </c>
      <c r="G330" s="138">
        <v>23</v>
      </c>
      <c r="H330" s="142">
        <v>23</v>
      </c>
      <c r="I330" s="137">
        <v>0</v>
      </c>
      <c r="J330" s="138">
        <v>46</v>
      </c>
      <c r="K330" s="142">
        <f>J330+I330</f>
        <v>46</v>
      </c>
      <c r="L330" s="137" t="s">
        <v>56</v>
      </c>
      <c r="M330" s="138">
        <v>86</v>
      </c>
      <c r="N330" s="142">
        <v>86</v>
      </c>
      <c r="O330" s="238" t="s">
        <v>1891</v>
      </c>
      <c r="P330" s="879">
        <v>193</v>
      </c>
    </row>
    <row r="331" spans="1:20" s="676" customFormat="1" ht="30" customHeight="1">
      <c r="A331" s="325">
        <v>194</v>
      </c>
      <c r="B331" s="271" t="s">
        <v>1251</v>
      </c>
      <c r="C331" s="713" t="s">
        <v>56</v>
      </c>
      <c r="D331" s="134">
        <v>1</v>
      </c>
      <c r="E331" s="135">
        <f>D331</f>
        <v>1</v>
      </c>
      <c r="F331" s="714">
        <v>0</v>
      </c>
      <c r="G331" s="714">
        <v>37</v>
      </c>
      <c r="H331" s="141">
        <v>37</v>
      </c>
      <c r="I331" s="713">
        <v>0</v>
      </c>
      <c r="J331" s="714">
        <v>44</v>
      </c>
      <c r="K331" s="141">
        <f>J331+I331</f>
        <v>44</v>
      </c>
      <c r="L331" s="713" t="s">
        <v>56</v>
      </c>
      <c r="M331" s="714">
        <v>81</v>
      </c>
      <c r="N331" s="141">
        <v>81</v>
      </c>
      <c r="O331" s="643" t="s">
        <v>1915</v>
      </c>
      <c r="P331" s="1248">
        <v>194</v>
      </c>
    </row>
    <row r="332" spans="1:20" ht="30" customHeight="1">
      <c r="A332" s="396"/>
      <c r="B332" s="622" t="s">
        <v>158</v>
      </c>
      <c r="C332" s="137"/>
      <c r="D332" s="139"/>
      <c r="E332" s="140"/>
      <c r="F332" s="138"/>
      <c r="G332" s="138"/>
      <c r="H332" s="142"/>
      <c r="I332" s="137"/>
      <c r="J332" s="138"/>
      <c r="K332" s="142"/>
      <c r="L332" s="137"/>
      <c r="M332" s="138"/>
      <c r="N332" s="142"/>
      <c r="O332" s="1000" t="s">
        <v>50</v>
      </c>
      <c r="P332" s="879"/>
    </row>
    <row r="333" spans="1:20" ht="30" customHeight="1">
      <c r="A333" s="325">
        <v>195</v>
      </c>
      <c r="B333" s="271" t="s">
        <v>778</v>
      </c>
      <c r="C333" s="713" t="s">
        <v>56</v>
      </c>
      <c r="D333" s="714">
        <v>6</v>
      </c>
      <c r="E333" s="135">
        <f t="shared" ref="E333:E335" si="57">D333</f>
        <v>6</v>
      </c>
      <c r="F333" s="714">
        <v>0</v>
      </c>
      <c r="G333" s="714">
        <v>16</v>
      </c>
      <c r="H333" s="141">
        <v>16</v>
      </c>
      <c r="I333" s="713">
        <v>0</v>
      </c>
      <c r="J333" s="714">
        <v>62</v>
      </c>
      <c r="K333" s="141">
        <f>J333+I333</f>
        <v>62</v>
      </c>
      <c r="L333" s="713" t="s">
        <v>56</v>
      </c>
      <c r="M333" s="714">
        <v>105</v>
      </c>
      <c r="N333" s="141">
        <v>105</v>
      </c>
      <c r="O333" s="643" t="s">
        <v>1830</v>
      </c>
      <c r="P333" s="878">
        <v>195</v>
      </c>
    </row>
    <row r="334" spans="1:20" s="676" customFormat="1" ht="30" customHeight="1">
      <c r="A334" s="396">
        <v>196</v>
      </c>
      <c r="B334" s="241" t="s">
        <v>822</v>
      </c>
      <c r="C334" s="137" t="s">
        <v>56</v>
      </c>
      <c r="D334" s="139">
        <v>6</v>
      </c>
      <c r="E334" s="140">
        <f t="shared" si="57"/>
        <v>6</v>
      </c>
      <c r="F334" s="138">
        <v>0</v>
      </c>
      <c r="G334" s="138">
        <v>33</v>
      </c>
      <c r="H334" s="142">
        <v>33</v>
      </c>
      <c r="I334" s="137">
        <v>0</v>
      </c>
      <c r="J334" s="138">
        <v>43</v>
      </c>
      <c r="K334" s="142">
        <f>J334+I334</f>
        <v>43</v>
      </c>
      <c r="L334" s="137" t="s">
        <v>56</v>
      </c>
      <c r="M334" s="138">
        <v>96</v>
      </c>
      <c r="N334" s="142">
        <v>96</v>
      </c>
      <c r="O334" s="238" t="s">
        <v>1963</v>
      </c>
      <c r="P334" s="879">
        <v>196</v>
      </c>
      <c r="Q334" s="673"/>
      <c r="R334" s="673"/>
      <c r="S334" s="673"/>
    </row>
    <row r="335" spans="1:20" ht="30" customHeight="1">
      <c r="A335" s="664">
        <v>197</v>
      </c>
      <c r="B335" s="801" t="s">
        <v>1291</v>
      </c>
      <c r="C335" s="811" t="s">
        <v>56</v>
      </c>
      <c r="D335" s="812">
        <v>0</v>
      </c>
      <c r="E335" s="195">
        <f t="shared" si="57"/>
        <v>0</v>
      </c>
      <c r="F335" s="812">
        <v>0</v>
      </c>
      <c r="G335" s="812">
        <v>14</v>
      </c>
      <c r="H335" s="193">
        <v>14</v>
      </c>
      <c r="I335" s="811">
        <v>0</v>
      </c>
      <c r="J335" s="812">
        <v>35</v>
      </c>
      <c r="K335" s="193">
        <f>J335+I335</f>
        <v>35</v>
      </c>
      <c r="L335" s="811" t="s">
        <v>56</v>
      </c>
      <c r="M335" s="812">
        <v>62</v>
      </c>
      <c r="N335" s="193">
        <v>62</v>
      </c>
      <c r="O335" s="696" t="s">
        <v>1969</v>
      </c>
      <c r="P335" s="895">
        <v>197</v>
      </c>
    </row>
    <row r="336" spans="1:20" s="676" customFormat="1" ht="30" customHeight="1">
      <c r="A336" s="1501" t="s">
        <v>761</v>
      </c>
      <c r="B336" s="1501"/>
      <c r="C336" s="1501"/>
      <c r="D336" s="1501"/>
      <c r="E336" s="1501"/>
      <c r="F336" s="1501"/>
      <c r="G336" s="1501"/>
      <c r="H336" s="1501"/>
      <c r="I336" s="1501"/>
      <c r="J336" s="1502" t="s">
        <v>1973</v>
      </c>
      <c r="K336" s="1502"/>
      <c r="L336" s="1502"/>
      <c r="M336" s="1502"/>
      <c r="N336" s="1502"/>
      <c r="O336" s="1502"/>
      <c r="P336" s="1502"/>
    </row>
    <row r="337" spans="2:33" ht="30" customHeight="1"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</row>
    <row r="338" spans="2:33" ht="30" customHeight="1"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</row>
    <row r="339" spans="2:33" ht="30" customHeight="1"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R339"/>
      <c r="S339"/>
      <c r="T339"/>
      <c r="U339"/>
      <c r="V339"/>
      <c r="W339"/>
      <c r="X339"/>
      <c r="Y339"/>
      <c r="Z339"/>
      <c r="AA339"/>
      <c r="AB339"/>
      <c r="AC339"/>
      <c r="AD339"/>
      <c r="AE339"/>
      <c r="AF339"/>
      <c r="AG339"/>
    </row>
    <row r="340" spans="2:33" ht="26.25" customHeight="1">
      <c r="R340"/>
      <c r="S340"/>
      <c r="T340"/>
      <c r="U340"/>
      <c r="V340"/>
      <c r="W340"/>
      <c r="X340"/>
      <c r="Y340"/>
      <c r="Z340"/>
      <c r="AA340"/>
      <c r="AB340"/>
      <c r="AC340"/>
      <c r="AD340"/>
      <c r="AE340"/>
      <c r="AF340"/>
      <c r="AG340"/>
    </row>
    <row r="341" spans="2:33" ht="15" customHeight="1">
      <c r="R341"/>
      <c r="S341"/>
      <c r="T341"/>
      <c r="U341"/>
      <c r="V341"/>
      <c r="W341"/>
      <c r="X341"/>
      <c r="Y341"/>
      <c r="Z341"/>
      <c r="AA341"/>
      <c r="AB341"/>
      <c r="AC341"/>
      <c r="AD341"/>
      <c r="AE341"/>
      <c r="AF341"/>
      <c r="AG341"/>
    </row>
    <row r="342" spans="2:33">
      <c r="R342"/>
      <c r="S342"/>
      <c r="T342"/>
      <c r="U342"/>
      <c r="V342"/>
      <c r="W342"/>
      <c r="X342"/>
      <c r="Y342"/>
      <c r="Z342"/>
      <c r="AA342"/>
      <c r="AB342"/>
      <c r="AC342"/>
      <c r="AD342"/>
      <c r="AE342"/>
      <c r="AF342"/>
      <c r="AG342"/>
    </row>
    <row r="344" spans="2:33" ht="36" customHeight="1"/>
    <row r="345" spans="2:33" ht="41.25" customHeight="1"/>
    <row r="346" spans="2:33" ht="44.25" customHeight="1"/>
    <row r="347" spans="2:33" ht="43.5" customHeight="1"/>
    <row r="348" spans="2:33" ht="36" customHeight="1"/>
    <row r="349" spans="2:33" ht="36" customHeight="1"/>
    <row r="350" spans="2:33" ht="42.75" customHeight="1">
      <c r="Q350" s="17"/>
      <c r="R350" s="17"/>
      <c r="S350" s="17"/>
      <c r="T350" s="17"/>
    </row>
    <row r="351" spans="2:33" s="196" customFormat="1" ht="36" customHeight="1"/>
    <row r="352" spans="2:33" s="196" customFormat="1" ht="44.25" customHeight="1"/>
    <row r="353" spans="2:18" ht="34" customHeight="1"/>
    <row r="354" spans="2:18" ht="34" customHeight="1">
      <c r="B354" s="537"/>
      <c r="C354" s="537"/>
      <c r="D354" s="537"/>
      <c r="E354" s="537"/>
      <c r="F354" s="537"/>
      <c r="G354" s="537"/>
      <c r="H354" s="537"/>
      <c r="I354" s="537"/>
      <c r="J354" s="537"/>
      <c r="K354" s="537"/>
      <c r="L354" s="537"/>
      <c r="M354" s="537"/>
      <c r="N354" s="537"/>
      <c r="O354" s="537"/>
      <c r="P354" s="537"/>
      <c r="R354" s="17"/>
    </row>
    <row r="355" spans="2:18" ht="34" customHeight="1">
      <c r="D355" s="399"/>
      <c r="E355" s="399"/>
      <c r="F355" s="1492"/>
      <c r="G355" s="1492"/>
      <c r="H355" s="1492"/>
      <c r="I355" s="1492"/>
      <c r="J355" s="1492"/>
      <c r="K355" s="1492"/>
      <c r="L355" s="1492"/>
      <c r="M355" s="1492"/>
      <c r="N355" s="1492"/>
      <c r="O355" s="399"/>
      <c r="P355" s="18"/>
      <c r="R355" s="17"/>
    </row>
    <row r="356" spans="2:18" ht="34" customHeight="1">
      <c r="D356" s="399"/>
      <c r="E356" s="399"/>
      <c r="F356" s="1492"/>
      <c r="G356" s="1492"/>
      <c r="H356" s="1492"/>
      <c r="I356" s="1492"/>
      <c r="J356" s="1492"/>
      <c r="K356" s="1492"/>
      <c r="L356" s="1492"/>
      <c r="M356" s="1492"/>
      <c r="N356" s="1492"/>
      <c r="O356" s="399"/>
      <c r="P356" s="18"/>
      <c r="R356" s="17"/>
    </row>
    <row r="357" spans="2:18" ht="34" customHeight="1">
      <c r="D357" s="399"/>
      <c r="E357" s="399"/>
      <c r="F357" s="1492"/>
      <c r="G357" s="1492"/>
      <c r="H357" s="1492"/>
      <c r="I357" s="1492"/>
      <c r="J357" s="1492"/>
      <c r="K357" s="1492"/>
      <c r="L357" s="1492"/>
      <c r="M357" s="1492"/>
      <c r="N357" s="1492"/>
      <c r="O357" s="399"/>
      <c r="P357" s="18"/>
      <c r="R357" s="17"/>
    </row>
    <row r="358" spans="2:18" ht="34" customHeight="1">
      <c r="D358" s="399"/>
      <c r="E358" s="399"/>
      <c r="F358" s="1492"/>
      <c r="G358" s="1492"/>
      <c r="H358" s="1492"/>
      <c r="I358" s="1492"/>
      <c r="J358" s="1492"/>
      <c r="K358" s="1492"/>
      <c r="L358" s="1492"/>
      <c r="M358" s="1492"/>
      <c r="N358" s="1492"/>
      <c r="O358" s="399"/>
      <c r="P358" s="18"/>
    </row>
    <row r="359" spans="2:18" ht="34" customHeight="1">
      <c r="D359" s="399"/>
      <c r="E359" s="399"/>
      <c r="F359" s="1492"/>
      <c r="G359" s="1492"/>
      <c r="H359" s="1492"/>
      <c r="I359" s="1492"/>
      <c r="J359" s="1492"/>
      <c r="K359" s="1492"/>
      <c r="L359" s="1492"/>
      <c r="M359" s="1492"/>
      <c r="N359" s="1492"/>
      <c r="O359" s="399"/>
      <c r="P359" s="18"/>
    </row>
    <row r="360" spans="2:18" ht="34" customHeight="1">
      <c r="D360" s="399"/>
      <c r="E360" s="399"/>
      <c r="F360" s="1492"/>
      <c r="G360" s="1492"/>
      <c r="H360" s="1492"/>
      <c r="I360" s="1492"/>
      <c r="J360" s="1492"/>
      <c r="K360" s="1492"/>
      <c r="L360" s="1492"/>
      <c r="M360" s="1492"/>
      <c r="N360" s="1492"/>
      <c r="O360" s="399"/>
      <c r="P360" s="18"/>
    </row>
    <row r="361" spans="2:18" ht="34" customHeight="1">
      <c r="D361" s="399"/>
      <c r="E361" s="399"/>
      <c r="F361" s="1492"/>
      <c r="G361" s="1492"/>
      <c r="H361" s="1492"/>
      <c r="I361" s="1492"/>
      <c r="J361" s="1492"/>
      <c r="K361" s="1492"/>
      <c r="L361" s="1492"/>
      <c r="M361" s="1492"/>
      <c r="N361" s="1492"/>
      <c r="O361" s="399"/>
      <c r="P361" s="18"/>
    </row>
    <row r="362" spans="2:18" ht="34" customHeight="1">
      <c r="D362" s="399"/>
      <c r="E362" s="399"/>
      <c r="F362" s="1492"/>
      <c r="G362" s="1492"/>
      <c r="H362" s="1492"/>
      <c r="I362" s="1492"/>
      <c r="J362" s="1492"/>
      <c r="K362" s="1492"/>
      <c r="L362" s="1492"/>
      <c r="M362" s="1492"/>
      <c r="N362" s="1492"/>
      <c r="O362" s="399"/>
      <c r="P362" s="18"/>
    </row>
    <row r="363" spans="2:18" ht="34" customHeight="1">
      <c r="D363" s="399"/>
      <c r="E363" s="399"/>
      <c r="F363" s="1492"/>
      <c r="G363" s="1492"/>
      <c r="H363" s="1492"/>
      <c r="I363" s="1492"/>
      <c r="J363" s="1492"/>
      <c r="K363" s="1492"/>
      <c r="L363" s="1492"/>
      <c r="M363" s="1492"/>
      <c r="N363" s="1492"/>
      <c r="O363" s="399"/>
      <c r="P363" s="18"/>
    </row>
    <row r="364" spans="2:18" ht="34" customHeight="1">
      <c r="D364" s="399"/>
      <c r="E364" s="399"/>
      <c r="F364" s="1492"/>
      <c r="G364" s="1492"/>
      <c r="H364" s="1492"/>
      <c r="I364" s="1492"/>
      <c r="J364" s="1492"/>
      <c r="K364" s="1492"/>
      <c r="L364" s="1492"/>
      <c r="M364" s="1492"/>
      <c r="N364" s="1492"/>
      <c r="O364" s="399"/>
      <c r="P364" s="18"/>
    </row>
    <row r="365" spans="2:18" ht="34" customHeight="1">
      <c r="D365" s="18"/>
      <c r="E365" s="18"/>
      <c r="F365" s="1500"/>
      <c r="G365" s="1500"/>
      <c r="H365" s="1492"/>
      <c r="I365" s="1492"/>
      <c r="J365" s="1492"/>
      <c r="K365" s="1492"/>
      <c r="L365" s="1492"/>
      <c r="M365" s="1492"/>
      <c r="N365" s="1492"/>
      <c r="O365" s="399"/>
      <c r="P365" s="18"/>
    </row>
    <row r="366" spans="2:18" ht="34" customHeight="1">
      <c r="D366" s="18"/>
      <c r="E366" s="18"/>
      <c r="F366" s="1500"/>
      <c r="G366" s="1500"/>
      <c r="H366" s="1492"/>
      <c r="I366" s="1492"/>
      <c r="J366" s="1492"/>
      <c r="K366" s="1492"/>
      <c r="L366" s="1492"/>
      <c r="M366" s="1492"/>
      <c r="N366" s="1492"/>
      <c r="O366" s="399"/>
      <c r="P366" s="18"/>
    </row>
    <row r="367" spans="2:18" ht="34" customHeight="1">
      <c r="D367" s="18"/>
      <c r="E367" s="18"/>
      <c r="F367" s="1500"/>
      <c r="G367" s="1500"/>
      <c r="H367" s="1492"/>
      <c r="I367" s="1500"/>
      <c r="J367" s="1500"/>
      <c r="K367" s="1500"/>
      <c r="L367" s="1500"/>
      <c r="M367" s="1500"/>
      <c r="N367" s="1500"/>
      <c r="O367" s="399"/>
      <c r="P367" s="18"/>
      <c r="R367" s="17"/>
    </row>
    <row r="368" spans="2:18" ht="34" customHeight="1">
      <c r="D368" s="18"/>
      <c r="E368" s="18"/>
      <c r="F368" s="1500"/>
      <c r="G368" s="1500"/>
      <c r="H368" s="1492"/>
      <c r="I368" s="1500"/>
      <c r="J368" s="1500"/>
      <c r="K368" s="1500"/>
      <c r="L368" s="1500"/>
      <c r="M368" s="1500"/>
      <c r="N368" s="1500"/>
      <c r="O368" s="399"/>
      <c r="P368" s="18"/>
      <c r="R368" s="17"/>
    </row>
    <row r="369" spans="3:18" ht="34" customHeight="1">
      <c r="D369" s="399"/>
      <c r="E369" s="399"/>
      <c r="F369" s="1492"/>
      <c r="G369" s="1492"/>
      <c r="H369" s="1492"/>
      <c r="I369" s="1492"/>
      <c r="J369" s="1492"/>
      <c r="K369" s="1492"/>
      <c r="L369" s="1492"/>
      <c r="M369" s="1492"/>
      <c r="N369" s="1492"/>
      <c r="O369" s="399"/>
      <c r="P369" s="18"/>
      <c r="R369" s="17"/>
    </row>
    <row r="370" spans="3:18" ht="34" customHeight="1">
      <c r="D370" s="399"/>
      <c r="E370" s="399"/>
      <c r="F370" s="1492"/>
      <c r="G370" s="1492"/>
      <c r="H370" s="1492"/>
      <c r="I370" s="1492"/>
      <c r="J370" s="1492"/>
      <c r="K370" s="1492"/>
      <c r="L370" s="1492"/>
      <c r="M370" s="1492"/>
      <c r="N370" s="1492"/>
      <c r="O370" s="399"/>
      <c r="P370" s="18"/>
      <c r="R370" s="17"/>
    </row>
    <row r="371" spans="3:18" ht="34" customHeight="1">
      <c r="D371" s="399"/>
      <c r="E371" s="399"/>
      <c r="F371" s="1492"/>
      <c r="G371" s="1492"/>
      <c r="H371" s="1492"/>
      <c r="I371" s="1492"/>
      <c r="J371" s="1492"/>
      <c r="K371" s="1492"/>
      <c r="L371" s="1492"/>
      <c r="M371" s="1492"/>
      <c r="N371" s="1492"/>
      <c r="O371" s="399"/>
      <c r="P371" s="18"/>
      <c r="R371" s="17"/>
    </row>
    <row r="372" spans="3:18" ht="34" customHeight="1">
      <c r="D372" s="399"/>
      <c r="E372" s="399"/>
      <c r="F372" s="1492"/>
      <c r="G372" s="1492"/>
      <c r="H372" s="1492"/>
      <c r="I372" s="1492"/>
      <c r="J372" s="1492"/>
      <c r="K372" s="1492"/>
      <c r="L372" s="1492"/>
      <c r="M372" s="1492"/>
      <c r="N372" s="1492"/>
      <c r="O372" s="399"/>
      <c r="P372" s="18"/>
      <c r="R372" s="17"/>
    </row>
    <row r="373" spans="3:18" ht="34" customHeight="1">
      <c r="D373" s="18"/>
      <c r="E373" s="18"/>
      <c r="F373" s="1500"/>
      <c r="G373" s="1500"/>
      <c r="H373" s="1492"/>
      <c r="I373" s="1500"/>
      <c r="J373" s="1500"/>
      <c r="K373" s="1500"/>
      <c r="L373" s="1500"/>
      <c r="M373" s="1500"/>
      <c r="N373" s="1500"/>
      <c r="O373" s="399"/>
      <c r="P373" s="18"/>
      <c r="R373" s="17"/>
    </row>
    <row r="374" spans="3:18" ht="34" customHeight="1">
      <c r="D374" s="18"/>
      <c r="E374" s="18"/>
      <c r="F374" s="1500"/>
      <c r="G374" s="1500"/>
      <c r="H374" s="1492"/>
      <c r="I374" s="1500"/>
      <c r="J374" s="1500"/>
      <c r="K374" s="1500"/>
      <c r="L374" s="1500"/>
      <c r="M374" s="1500"/>
      <c r="N374" s="1500"/>
      <c r="O374" s="399"/>
      <c r="P374" s="18"/>
      <c r="R374" s="17"/>
    </row>
    <row r="375" spans="3:18" ht="34" customHeight="1">
      <c r="C375" s="1496"/>
      <c r="D375" s="1496"/>
      <c r="E375" s="1496"/>
      <c r="F375" s="1496"/>
      <c r="G375" s="1496"/>
      <c r="H375" s="1496"/>
      <c r="I375" s="1496"/>
      <c r="J375" s="1497"/>
      <c r="K375" s="1497"/>
      <c r="L375" s="1497"/>
      <c r="M375" s="1497"/>
      <c r="N375" s="1497"/>
      <c r="O375" s="1497"/>
      <c r="P375" s="18"/>
      <c r="R375" s="17"/>
    </row>
    <row r="376" spans="3:18" ht="25" customHeight="1">
      <c r="C376" s="1496"/>
      <c r="D376" s="1496"/>
      <c r="E376" s="1496"/>
      <c r="F376" s="1496"/>
      <c r="G376" s="1496"/>
      <c r="H376" s="1496"/>
      <c r="I376" s="1496"/>
      <c r="J376" s="1497"/>
      <c r="K376" s="1497"/>
      <c r="L376" s="1497"/>
      <c r="M376" s="1497"/>
      <c r="N376" s="1497"/>
      <c r="O376" s="1497"/>
      <c r="P376" s="18"/>
      <c r="R376" s="17"/>
    </row>
    <row r="377" spans="3:18" ht="25" customHeight="1">
      <c r="C377" s="1495"/>
      <c r="D377" s="1495"/>
      <c r="E377" s="1495"/>
      <c r="F377" s="1495"/>
      <c r="G377" s="1495"/>
      <c r="H377" s="1495"/>
      <c r="I377" s="1495"/>
      <c r="J377" s="1495"/>
      <c r="K377" s="1495"/>
      <c r="L377" s="1495"/>
      <c r="M377" s="1495"/>
      <c r="N377" s="1495"/>
      <c r="O377" s="1495"/>
      <c r="P377" s="557"/>
      <c r="R377" s="17"/>
    </row>
    <row r="378" spans="3:18" ht="25" customHeight="1">
      <c r="D378" s="557"/>
      <c r="E378" s="557"/>
      <c r="F378" s="557"/>
      <c r="G378" s="557"/>
      <c r="H378" s="557"/>
      <c r="I378" s="557"/>
      <c r="J378" s="557"/>
      <c r="K378" s="557"/>
      <c r="L378" s="557"/>
      <c r="M378" s="557"/>
      <c r="N378" s="557"/>
      <c r="O378" s="1495"/>
      <c r="P378" s="557"/>
      <c r="R378" s="17"/>
    </row>
    <row r="379" spans="3:18" ht="25" customHeight="1">
      <c r="D379" s="18"/>
      <c r="E379" s="18"/>
      <c r="F379" s="18"/>
      <c r="G379" s="18"/>
      <c r="H379" s="557"/>
      <c r="I379" s="18"/>
      <c r="J379" s="18"/>
      <c r="K379" s="557"/>
      <c r="L379" s="18"/>
      <c r="M379" s="18"/>
      <c r="N379" s="557"/>
      <c r="O379" s="1495"/>
      <c r="P379" s="557"/>
      <c r="R379" s="17"/>
    </row>
    <row r="380" spans="3:18" ht="25" customHeight="1">
      <c r="D380" s="557"/>
      <c r="E380" s="557"/>
      <c r="F380" s="557"/>
      <c r="G380" s="557"/>
      <c r="H380" s="557"/>
      <c r="I380" s="557"/>
      <c r="J380" s="557"/>
      <c r="K380" s="557"/>
      <c r="L380" s="557"/>
      <c r="M380" s="557"/>
      <c r="N380" s="557"/>
      <c r="O380" s="1495"/>
      <c r="P380" s="557"/>
      <c r="R380" s="17"/>
    </row>
    <row r="381" spans="3:18" ht="25" customHeight="1">
      <c r="D381" s="399"/>
      <c r="E381" s="399"/>
      <c r="F381" s="1492"/>
      <c r="G381" s="1492"/>
      <c r="H381" s="1492"/>
      <c r="I381" s="1492"/>
      <c r="J381" s="1492"/>
      <c r="K381" s="1492"/>
      <c r="L381" s="1492"/>
      <c r="M381" s="1492"/>
      <c r="N381" s="1492"/>
      <c r="O381" s="399"/>
      <c r="P381" s="18"/>
      <c r="R381" s="17"/>
    </row>
    <row r="382" spans="3:18" ht="32" customHeight="1">
      <c r="D382" s="399"/>
      <c r="E382" s="399"/>
      <c r="F382" s="1492"/>
      <c r="G382" s="1492"/>
      <c r="H382" s="1492"/>
      <c r="I382" s="1492"/>
      <c r="J382" s="1492"/>
      <c r="K382" s="1492"/>
      <c r="L382" s="1492"/>
      <c r="M382" s="1492"/>
      <c r="N382" s="1492"/>
      <c r="O382" s="399"/>
      <c r="P382" s="18"/>
      <c r="R382" s="17"/>
    </row>
    <row r="383" spans="3:18" ht="32" customHeight="1">
      <c r="D383" s="399"/>
      <c r="E383" s="399"/>
      <c r="F383" s="1492"/>
      <c r="G383" s="1492"/>
      <c r="H383" s="1492"/>
      <c r="I383" s="1492"/>
      <c r="J383" s="1492"/>
      <c r="K383" s="1492"/>
      <c r="L383" s="1492"/>
      <c r="M383" s="1492"/>
      <c r="N383" s="1492"/>
      <c r="O383" s="399"/>
      <c r="P383" s="18"/>
      <c r="R383" s="17"/>
    </row>
    <row r="384" spans="3:18" ht="32" customHeight="1">
      <c r="D384" s="399"/>
      <c r="E384" s="399"/>
      <c r="F384" s="1492"/>
      <c r="G384" s="1492"/>
      <c r="H384" s="1492"/>
      <c r="I384" s="1492"/>
      <c r="J384" s="1492"/>
      <c r="K384" s="1492"/>
      <c r="L384" s="1492"/>
      <c r="M384" s="1492"/>
      <c r="N384" s="1492"/>
      <c r="O384" s="399"/>
      <c r="P384" s="18"/>
      <c r="R384" s="17"/>
    </row>
    <row r="385" spans="4:16" ht="32" customHeight="1">
      <c r="D385" s="399"/>
      <c r="E385" s="399"/>
      <c r="F385" s="1492"/>
      <c r="G385" s="1492"/>
      <c r="H385" s="1492"/>
      <c r="I385" s="1492"/>
      <c r="J385" s="1492"/>
      <c r="K385" s="1492"/>
      <c r="L385" s="1492"/>
      <c r="M385" s="1492"/>
      <c r="N385" s="1492"/>
      <c r="O385" s="399"/>
      <c r="P385" s="18"/>
    </row>
    <row r="386" spans="4:16" ht="32" customHeight="1">
      <c r="D386" s="399"/>
      <c r="E386" s="399"/>
      <c r="F386" s="1492"/>
      <c r="G386" s="1492"/>
      <c r="H386" s="1492"/>
      <c r="I386" s="1492"/>
      <c r="J386" s="1492"/>
      <c r="K386" s="1492"/>
      <c r="L386" s="1492"/>
      <c r="M386" s="1492"/>
      <c r="N386" s="1492"/>
      <c r="O386" s="399"/>
      <c r="P386" s="18"/>
    </row>
    <row r="387" spans="4:16" ht="32" customHeight="1">
      <c r="D387" s="18"/>
      <c r="E387" s="18"/>
      <c r="F387" s="1500"/>
      <c r="G387" s="1500"/>
      <c r="H387" s="1492"/>
      <c r="I387" s="1492"/>
      <c r="J387" s="1492"/>
      <c r="K387" s="1492"/>
      <c r="L387" s="1492"/>
      <c r="M387" s="1492"/>
      <c r="N387" s="1492"/>
      <c r="O387" s="399"/>
      <c r="P387" s="18"/>
    </row>
    <row r="388" spans="4:16" ht="32" customHeight="1">
      <c r="D388" s="18"/>
      <c r="E388" s="18"/>
      <c r="F388" s="1500"/>
      <c r="G388" s="1500"/>
      <c r="H388" s="1492"/>
      <c r="I388" s="1492"/>
      <c r="J388" s="1492"/>
      <c r="K388" s="1492"/>
      <c r="L388" s="1492"/>
      <c r="M388" s="1492"/>
      <c r="N388" s="1492"/>
      <c r="O388" s="399"/>
      <c r="P388" s="18"/>
    </row>
    <row r="389" spans="4:16" ht="32" customHeight="1">
      <c r="D389" s="399"/>
      <c r="E389" s="399"/>
      <c r="F389" s="1492"/>
      <c r="G389" s="1492"/>
      <c r="H389" s="1492"/>
      <c r="I389" s="1492"/>
      <c r="J389" s="1492"/>
      <c r="K389" s="1492"/>
      <c r="L389" s="1492"/>
      <c r="M389" s="1492"/>
      <c r="N389" s="1492"/>
      <c r="O389" s="399"/>
      <c r="P389" s="18"/>
    </row>
    <row r="390" spans="4:16" ht="32" customHeight="1">
      <c r="D390" s="399"/>
      <c r="E390" s="399"/>
      <c r="F390" s="1492"/>
      <c r="G390" s="1492"/>
      <c r="H390" s="1492"/>
      <c r="I390" s="1492"/>
      <c r="J390" s="1492"/>
      <c r="K390" s="1492"/>
      <c r="L390" s="1492"/>
      <c r="M390" s="1492"/>
      <c r="N390" s="1492"/>
      <c r="O390" s="399"/>
      <c r="P390" s="18"/>
    </row>
    <row r="391" spans="4:16" ht="32" customHeight="1">
      <c r="D391" s="399"/>
      <c r="E391" s="399"/>
      <c r="F391" s="1492"/>
      <c r="G391" s="1492"/>
      <c r="H391" s="1492"/>
      <c r="I391" s="1492"/>
      <c r="J391" s="1492"/>
      <c r="K391" s="1492"/>
      <c r="L391" s="1492"/>
      <c r="M391" s="1492"/>
      <c r="N391" s="1492"/>
      <c r="O391" s="399"/>
      <c r="P391" s="18"/>
    </row>
    <row r="392" spans="4:16" ht="32" customHeight="1">
      <c r="D392" s="399"/>
      <c r="E392" s="399"/>
      <c r="F392" s="1492"/>
      <c r="G392" s="1492"/>
      <c r="H392" s="1492"/>
      <c r="I392" s="1492"/>
      <c r="J392" s="1492"/>
      <c r="K392" s="1492"/>
      <c r="L392" s="1492"/>
      <c r="M392" s="1492"/>
      <c r="N392" s="1492"/>
      <c r="O392" s="399"/>
      <c r="P392" s="18"/>
    </row>
    <row r="393" spans="4:16" ht="32" customHeight="1">
      <c r="D393" s="399"/>
      <c r="E393" s="399"/>
      <c r="F393" s="1492"/>
      <c r="G393" s="1492"/>
      <c r="H393" s="1492"/>
      <c r="I393" s="1492"/>
      <c r="J393" s="1492"/>
      <c r="K393" s="1492"/>
      <c r="L393" s="1492"/>
      <c r="M393" s="1492"/>
      <c r="N393" s="1492"/>
      <c r="O393" s="399"/>
      <c r="P393" s="18"/>
    </row>
    <row r="394" spans="4:16" ht="32" customHeight="1">
      <c r="D394" s="399"/>
      <c r="E394" s="399"/>
      <c r="F394" s="1492"/>
      <c r="G394" s="1492"/>
      <c r="H394" s="1492"/>
      <c r="I394" s="1492"/>
      <c r="J394" s="1492"/>
      <c r="K394" s="1492"/>
      <c r="L394" s="1492"/>
      <c r="M394" s="1492"/>
      <c r="N394" s="1492"/>
      <c r="O394" s="399"/>
      <c r="P394" s="18"/>
    </row>
    <row r="395" spans="4:16" ht="32" customHeight="1">
      <c r="D395" s="399"/>
      <c r="E395" s="399"/>
      <c r="F395" s="1492"/>
      <c r="G395" s="1492"/>
      <c r="H395" s="1492"/>
      <c r="I395" s="1492"/>
      <c r="J395" s="1492"/>
      <c r="K395" s="1492"/>
      <c r="L395" s="1492"/>
      <c r="M395" s="1492"/>
      <c r="N395" s="1492"/>
      <c r="O395" s="399"/>
      <c r="P395" s="18"/>
    </row>
    <row r="396" spans="4:16" ht="32" customHeight="1">
      <c r="D396" s="399"/>
      <c r="E396" s="399"/>
      <c r="F396" s="1492"/>
      <c r="G396" s="1492"/>
      <c r="H396" s="1492"/>
      <c r="I396" s="1492"/>
      <c r="J396" s="1492"/>
      <c r="K396" s="1492"/>
      <c r="L396" s="1492"/>
      <c r="M396" s="1492"/>
      <c r="N396" s="1492"/>
      <c r="O396" s="399"/>
      <c r="P396" s="18"/>
    </row>
    <row r="397" spans="4:16" ht="32" customHeight="1">
      <c r="D397" s="399"/>
      <c r="E397" s="399"/>
      <c r="F397" s="1492"/>
      <c r="G397" s="1492"/>
      <c r="H397" s="1492"/>
      <c r="I397" s="1492"/>
      <c r="J397" s="1492"/>
      <c r="K397" s="1492"/>
      <c r="L397" s="1492"/>
      <c r="M397" s="1492"/>
      <c r="N397" s="1492"/>
      <c r="O397" s="399"/>
      <c r="P397" s="18"/>
    </row>
    <row r="398" spans="4:16" ht="32" customHeight="1">
      <c r="D398" s="399"/>
      <c r="E398" s="399"/>
      <c r="F398" s="1492"/>
      <c r="G398" s="1492"/>
      <c r="H398" s="1492"/>
      <c r="I398" s="1492"/>
      <c r="J398" s="1492"/>
      <c r="K398" s="1492"/>
      <c r="L398" s="1492"/>
      <c r="M398" s="1492"/>
      <c r="N398" s="1492"/>
      <c r="O398" s="399"/>
      <c r="P398" s="18"/>
    </row>
    <row r="399" spans="4:16" ht="32" customHeight="1">
      <c r="D399" s="399"/>
      <c r="E399" s="399"/>
      <c r="F399" s="1492"/>
      <c r="G399" s="1492"/>
      <c r="H399" s="1492"/>
      <c r="I399" s="1492"/>
      <c r="J399" s="1492"/>
      <c r="K399" s="1492"/>
      <c r="L399" s="1492"/>
      <c r="M399" s="1492"/>
      <c r="N399" s="1492"/>
      <c r="O399" s="399"/>
      <c r="P399" s="18"/>
    </row>
    <row r="400" spans="4:16" ht="32" customHeight="1">
      <c r="D400" s="399"/>
      <c r="E400" s="399"/>
      <c r="F400" s="1492"/>
      <c r="G400" s="1492"/>
      <c r="H400" s="1492"/>
      <c r="I400" s="1492"/>
      <c r="J400" s="1492"/>
      <c r="K400" s="1492"/>
      <c r="L400" s="1492"/>
      <c r="M400" s="1492"/>
      <c r="N400" s="1492"/>
      <c r="O400" s="399"/>
      <c r="P400" s="18"/>
    </row>
    <row r="401" spans="3:16" ht="32" customHeight="1">
      <c r="D401" s="399"/>
      <c r="E401" s="399"/>
      <c r="F401" s="1492"/>
      <c r="G401" s="1492"/>
      <c r="H401" s="1492"/>
      <c r="I401" s="1492"/>
      <c r="J401" s="1492"/>
      <c r="K401" s="1492"/>
      <c r="L401" s="1492"/>
      <c r="M401" s="1492"/>
      <c r="N401" s="1492"/>
      <c r="O401" s="399"/>
      <c r="P401" s="18"/>
    </row>
    <row r="402" spans="3:16" ht="32" customHeight="1">
      <c r="D402" s="399"/>
      <c r="E402" s="399"/>
      <c r="F402" s="1492"/>
      <c r="G402" s="1492"/>
      <c r="H402" s="1492"/>
      <c r="I402" s="1492"/>
      <c r="J402" s="1492"/>
      <c r="K402" s="1492"/>
      <c r="L402" s="1492"/>
      <c r="M402" s="1492"/>
      <c r="N402" s="1492"/>
      <c r="O402" s="399"/>
      <c r="P402" s="18"/>
    </row>
    <row r="403" spans="3:16" ht="32" customHeight="1">
      <c r="D403" s="399"/>
      <c r="E403" s="399"/>
      <c r="F403" s="1492"/>
      <c r="G403" s="1492"/>
      <c r="H403" s="1492"/>
      <c r="I403" s="1492"/>
      <c r="J403" s="1492"/>
      <c r="K403" s="1492"/>
      <c r="L403" s="1492"/>
      <c r="M403" s="1492"/>
      <c r="N403" s="1492"/>
      <c r="O403" s="399"/>
      <c r="P403" s="18"/>
    </row>
    <row r="404" spans="3:16" ht="32" customHeight="1">
      <c r="D404" s="399"/>
      <c r="E404" s="399"/>
      <c r="F404" s="1492"/>
      <c r="G404" s="1492"/>
      <c r="H404" s="1492"/>
      <c r="I404" s="1492"/>
      <c r="J404" s="1492"/>
      <c r="K404" s="1492"/>
      <c r="L404" s="1492"/>
      <c r="M404" s="1492"/>
      <c r="N404" s="1492"/>
      <c r="O404" s="399"/>
      <c r="P404" s="18"/>
    </row>
    <row r="405" spans="3:16" ht="32" customHeight="1">
      <c r="D405" s="399"/>
      <c r="E405" s="399"/>
      <c r="F405" s="1492"/>
      <c r="G405" s="1492"/>
      <c r="H405" s="1492"/>
      <c r="I405" s="1492"/>
      <c r="J405" s="1492"/>
      <c r="K405" s="1492"/>
      <c r="L405" s="1492"/>
      <c r="M405" s="1492"/>
      <c r="N405" s="1492"/>
      <c r="O405" s="399"/>
      <c r="P405" s="18"/>
    </row>
    <row r="406" spans="3:16" ht="32" customHeight="1">
      <c r="D406" s="399"/>
      <c r="E406" s="399"/>
      <c r="F406" s="1492"/>
      <c r="G406" s="1492"/>
      <c r="H406" s="1492"/>
      <c r="I406" s="1492"/>
      <c r="J406" s="1492"/>
      <c r="K406" s="1492"/>
      <c r="L406" s="1492"/>
      <c r="M406" s="1492"/>
      <c r="N406" s="1492"/>
      <c r="O406" s="399"/>
      <c r="P406" s="18"/>
    </row>
    <row r="407" spans="3:16" ht="32" customHeight="1">
      <c r="D407" s="399"/>
      <c r="E407" s="399"/>
      <c r="F407" s="1492"/>
      <c r="G407" s="1492"/>
      <c r="H407" s="1492"/>
      <c r="I407" s="1492"/>
      <c r="J407" s="1492"/>
      <c r="K407" s="1492"/>
      <c r="L407" s="1492"/>
      <c r="M407" s="1492"/>
      <c r="N407" s="1492"/>
      <c r="O407" s="399"/>
      <c r="P407" s="18"/>
    </row>
    <row r="408" spans="3:16" ht="32" customHeight="1">
      <c r="D408" s="399"/>
      <c r="E408" s="399"/>
      <c r="F408" s="1492"/>
      <c r="G408" s="1492"/>
      <c r="H408" s="1492"/>
      <c r="I408" s="1492"/>
      <c r="J408" s="1492"/>
      <c r="K408" s="1492"/>
      <c r="L408" s="1492"/>
      <c r="M408" s="1492"/>
      <c r="N408" s="1492"/>
      <c r="O408" s="399"/>
      <c r="P408" s="18"/>
    </row>
    <row r="409" spans="3:16" ht="32" customHeight="1">
      <c r="D409" s="399"/>
      <c r="E409" s="399"/>
      <c r="F409" s="1492"/>
      <c r="G409" s="1492"/>
      <c r="H409" s="1492"/>
      <c r="I409" s="1492"/>
      <c r="J409" s="1492"/>
      <c r="K409" s="1492"/>
      <c r="L409" s="1492"/>
      <c r="M409" s="1492"/>
      <c r="N409" s="1492"/>
      <c r="O409" s="399"/>
      <c r="P409" s="18"/>
    </row>
    <row r="410" spans="3:16" ht="32" customHeight="1">
      <c r="D410" s="399"/>
      <c r="E410" s="399"/>
      <c r="F410" s="1492"/>
      <c r="G410" s="1492"/>
      <c r="H410" s="1492"/>
      <c r="I410" s="1492"/>
      <c r="J410" s="1492"/>
      <c r="K410" s="1492"/>
      <c r="L410" s="1492"/>
      <c r="M410" s="1492"/>
      <c r="N410" s="1492"/>
      <c r="O410" s="399"/>
      <c r="P410" s="18"/>
    </row>
    <row r="411" spans="3:16" ht="32" customHeight="1">
      <c r="D411" s="399"/>
      <c r="E411" s="399"/>
      <c r="F411" s="1492"/>
      <c r="G411" s="1492"/>
      <c r="H411" s="1492"/>
      <c r="I411" s="1492"/>
      <c r="J411" s="1492"/>
      <c r="K411" s="1492"/>
      <c r="L411" s="1492"/>
      <c r="M411" s="1492"/>
      <c r="N411" s="1492"/>
      <c r="O411" s="19"/>
      <c r="P411" s="20"/>
    </row>
    <row r="412" spans="3:16" ht="32" customHeight="1">
      <c r="D412" s="399"/>
      <c r="E412" s="399"/>
      <c r="F412" s="1492"/>
      <c r="G412" s="1492"/>
      <c r="H412" s="1492"/>
      <c r="I412" s="1492"/>
      <c r="J412" s="1492"/>
      <c r="K412" s="1492"/>
      <c r="L412" s="1492"/>
      <c r="M412" s="1492"/>
      <c r="N412" s="1492"/>
      <c r="O412" s="19"/>
      <c r="P412" s="20"/>
    </row>
    <row r="413" spans="3:16" ht="32" customHeight="1">
      <c r="C413" s="1493"/>
      <c r="D413" s="1493"/>
      <c r="E413" s="1493"/>
      <c r="F413" s="1493"/>
      <c r="G413" s="1493"/>
      <c r="H413" s="1493"/>
      <c r="I413" s="1494"/>
      <c r="J413" s="1494"/>
      <c r="K413" s="1494"/>
      <c r="L413" s="1494"/>
      <c r="M413" s="1494"/>
      <c r="N413" s="1494"/>
      <c r="O413" s="1494"/>
      <c r="P413" s="491"/>
    </row>
    <row r="414" spans="3:16" ht="31" customHeight="1">
      <c r="C414" s="1493"/>
      <c r="D414" s="1493"/>
      <c r="E414" s="1493"/>
      <c r="F414" s="1493"/>
      <c r="G414" s="1493"/>
      <c r="H414" s="1493"/>
      <c r="I414" s="1494"/>
      <c r="J414" s="1494"/>
      <c r="K414" s="1494"/>
      <c r="L414" s="1494"/>
      <c r="M414" s="1494"/>
      <c r="N414" s="1494"/>
      <c r="O414" s="1494"/>
      <c r="P414" s="491"/>
    </row>
    <row r="415" spans="3:16" ht="31" customHeight="1">
      <c r="C415" s="1499"/>
      <c r="D415" s="1499"/>
      <c r="E415" s="1499"/>
      <c r="F415" s="1499"/>
      <c r="G415" s="1499"/>
      <c r="H415" s="1499"/>
      <c r="I415" s="1499"/>
      <c r="J415" s="1499"/>
      <c r="K415" s="1499"/>
      <c r="L415" s="1499"/>
      <c r="M415" s="1499"/>
      <c r="N415" s="1499"/>
      <c r="O415" s="1499"/>
      <c r="P415" s="587"/>
    </row>
    <row r="416" spans="3:16" ht="22" customHeight="1">
      <c r="C416" s="1499"/>
      <c r="D416" s="1499"/>
      <c r="E416" s="1499"/>
      <c r="F416" s="1499"/>
      <c r="G416" s="1499"/>
      <c r="H416" s="1499"/>
      <c r="I416" s="1499"/>
      <c r="J416" s="1499"/>
      <c r="K416" s="1499"/>
      <c r="L416" s="1499"/>
      <c r="M416" s="1499"/>
      <c r="N416" s="1499"/>
      <c r="O416" s="1499"/>
      <c r="P416" s="587"/>
    </row>
    <row r="417" spans="3:18" ht="22" customHeight="1">
      <c r="C417" s="1499"/>
      <c r="D417" s="1499"/>
      <c r="E417" s="1499"/>
      <c r="F417" s="1499"/>
      <c r="G417" s="1499"/>
      <c r="H417" s="1499"/>
      <c r="I417" s="1499"/>
      <c r="J417" s="1499"/>
      <c r="K417" s="1499"/>
      <c r="L417" s="1499"/>
      <c r="M417" s="1499"/>
      <c r="N417" s="1499"/>
      <c r="O417" s="1499"/>
      <c r="P417" s="587"/>
    </row>
    <row r="418" spans="3:18" ht="22" customHeight="1">
      <c r="C418" s="1495"/>
      <c r="D418" s="1495"/>
      <c r="E418" s="1495"/>
      <c r="F418" s="1495"/>
      <c r="G418" s="1495"/>
      <c r="H418" s="1495"/>
      <c r="I418" s="1495"/>
      <c r="J418" s="1495"/>
      <c r="K418" s="1495"/>
      <c r="L418" s="1495"/>
      <c r="M418" s="1495"/>
      <c r="N418" s="1495"/>
      <c r="O418" s="1495"/>
      <c r="P418" s="557"/>
    </row>
    <row r="419" spans="3:18" ht="20" customHeight="1">
      <c r="D419" s="557"/>
      <c r="E419" s="557"/>
      <c r="F419" s="557"/>
      <c r="G419" s="557"/>
      <c r="H419" s="557"/>
      <c r="I419" s="557"/>
      <c r="J419" s="557"/>
      <c r="K419" s="557"/>
      <c r="L419" s="557"/>
      <c r="M419" s="557"/>
      <c r="N419" s="557"/>
      <c r="O419" s="1495"/>
      <c r="P419" s="557"/>
    </row>
    <row r="420" spans="3:18" ht="20" customHeight="1">
      <c r="D420" s="18"/>
      <c r="E420" s="18"/>
      <c r="F420" s="18"/>
      <c r="G420" s="18"/>
      <c r="H420" s="557"/>
      <c r="I420" s="18"/>
      <c r="J420" s="18"/>
      <c r="K420" s="557"/>
      <c r="L420" s="18"/>
      <c r="M420" s="18"/>
      <c r="N420" s="557"/>
      <c r="O420" s="1495"/>
      <c r="P420" s="557"/>
    </row>
    <row r="421" spans="3:18" ht="20" customHeight="1">
      <c r="D421" s="557"/>
      <c r="E421" s="557"/>
      <c r="F421" s="557"/>
      <c r="G421" s="557"/>
      <c r="H421" s="557"/>
      <c r="I421" s="557"/>
      <c r="J421" s="557"/>
      <c r="K421" s="557"/>
      <c r="L421" s="557"/>
      <c r="M421" s="557"/>
      <c r="N421" s="557"/>
      <c r="O421" s="1495"/>
      <c r="P421" s="557"/>
    </row>
    <row r="422" spans="3:18" ht="20" customHeight="1">
      <c r="D422" s="399"/>
      <c r="E422" s="399"/>
      <c r="F422" s="399"/>
      <c r="G422" s="399"/>
      <c r="H422" s="399"/>
      <c r="I422" s="399"/>
      <c r="J422" s="399"/>
      <c r="K422" s="399"/>
      <c r="L422" s="399"/>
      <c r="M422" s="399"/>
      <c r="N422" s="399"/>
      <c r="O422" s="399"/>
      <c r="P422" s="18"/>
    </row>
    <row r="423" spans="3:18" ht="26" customHeight="1">
      <c r="D423" s="399"/>
      <c r="E423" s="399"/>
      <c r="F423" s="1492"/>
      <c r="G423" s="1492"/>
      <c r="H423" s="1492"/>
      <c r="I423" s="1492"/>
      <c r="J423" s="1492"/>
      <c r="K423" s="1492"/>
      <c r="L423" s="1492"/>
      <c r="M423" s="1492"/>
      <c r="N423" s="1492"/>
      <c r="O423" s="399"/>
      <c r="P423" s="18"/>
      <c r="R423" s="17"/>
    </row>
    <row r="424" spans="3:18" ht="26" customHeight="1">
      <c r="D424" s="399"/>
      <c r="E424" s="399"/>
      <c r="F424" s="1492"/>
      <c r="G424" s="1492"/>
      <c r="H424" s="1492"/>
      <c r="I424" s="1492"/>
      <c r="J424" s="1492"/>
      <c r="K424" s="1492"/>
      <c r="L424" s="1492"/>
      <c r="M424" s="1492"/>
      <c r="N424" s="1492"/>
      <c r="O424" s="399"/>
      <c r="P424" s="18"/>
      <c r="R424" s="17"/>
    </row>
    <row r="425" spans="3:18" ht="26" customHeight="1">
      <c r="D425" s="399"/>
      <c r="E425" s="399"/>
      <c r="F425" s="1492"/>
      <c r="G425" s="1492"/>
      <c r="H425" s="1492"/>
      <c r="I425" s="1492"/>
      <c r="J425" s="1492"/>
      <c r="K425" s="1492"/>
      <c r="L425" s="1492"/>
      <c r="M425" s="1492"/>
      <c r="N425" s="1492"/>
      <c r="O425" s="399"/>
      <c r="P425" s="18"/>
      <c r="R425" s="17"/>
    </row>
    <row r="426" spans="3:18" ht="26" customHeight="1">
      <c r="D426" s="399"/>
      <c r="E426" s="399"/>
      <c r="F426" s="1492"/>
      <c r="G426" s="1492"/>
      <c r="H426" s="1492"/>
      <c r="I426" s="1492"/>
      <c r="J426" s="1492"/>
      <c r="K426" s="1492"/>
      <c r="L426" s="1492"/>
      <c r="M426" s="1492"/>
      <c r="N426" s="1492"/>
      <c r="O426" s="399"/>
      <c r="P426" s="18"/>
      <c r="R426" s="17"/>
    </row>
    <row r="427" spans="3:18" ht="26" customHeight="1">
      <c r="D427" s="399"/>
      <c r="E427" s="399"/>
      <c r="F427" s="1492"/>
      <c r="G427" s="1492"/>
      <c r="H427" s="1492"/>
      <c r="I427" s="1492"/>
      <c r="J427" s="1492"/>
      <c r="K427" s="1492"/>
      <c r="L427" s="1492"/>
      <c r="M427" s="1492"/>
      <c r="N427" s="1492"/>
      <c r="O427" s="399"/>
      <c r="P427" s="18"/>
      <c r="R427" s="17"/>
    </row>
    <row r="428" spans="3:18" ht="26" customHeight="1">
      <c r="D428" s="399"/>
      <c r="E428" s="399"/>
      <c r="F428" s="1492"/>
      <c r="G428" s="1492"/>
      <c r="H428" s="1492"/>
      <c r="I428" s="1492"/>
      <c r="J428" s="1492"/>
      <c r="K428" s="1492"/>
      <c r="L428" s="1492"/>
      <c r="M428" s="1492"/>
      <c r="N428" s="1492"/>
      <c r="O428" s="399"/>
      <c r="P428" s="18"/>
      <c r="R428" s="17"/>
    </row>
    <row r="429" spans="3:18" ht="26" customHeight="1">
      <c r="D429" s="399"/>
      <c r="E429" s="399"/>
      <c r="F429" s="1492"/>
      <c r="G429" s="1492"/>
      <c r="H429" s="1492"/>
      <c r="I429" s="1492"/>
      <c r="J429" s="1492"/>
      <c r="K429" s="1492"/>
      <c r="L429" s="1492"/>
      <c r="M429" s="1492"/>
      <c r="N429" s="1492"/>
      <c r="O429" s="399"/>
      <c r="P429" s="18"/>
      <c r="R429" s="17"/>
    </row>
    <row r="430" spans="3:18" ht="31.5" customHeight="1">
      <c r="D430" s="399"/>
      <c r="E430" s="399"/>
      <c r="F430" s="1492"/>
      <c r="G430" s="1492"/>
      <c r="H430" s="1492"/>
      <c r="I430" s="1492"/>
      <c r="J430" s="1492"/>
      <c r="K430" s="1492"/>
      <c r="L430" s="1492"/>
      <c r="M430" s="1492"/>
      <c r="N430" s="1492"/>
      <c r="O430" s="399"/>
      <c r="P430" s="18"/>
      <c r="R430" s="17"/>
    </row>
    <row r="431" spans="3:18" ht="33" customHeight="1">
      <c r="D431" s="399"/>
      <c r="E431" s="399"/>
      <c r="F431" s="1492"/>
      <c r="G431" s="1492"/>
      <c r="H431" s="1492"/>
      <c r="I431" s="1492"/>
      <c r="J431" s="1492"/>
      <c r="K431" s="1492"/>
      <c r="L431" s="1492"/>
      <c r="M431" s="1492"/>
      <c r="N431" s="1492"/>
      <c r="O431" s="399"/>
      <c r="P431" s="18"/>
      <c r="R431" s="17"/>
    </row>
    <row r="432" spans="3:18" ht="26" customHeight="1">
      <c r="D432" s="399"/>
      <c r="E432" s="399"/>
      <c r="F432" s="1492"/>
      <c r="G432" s="1492"/>
      <c r="H432" s="1492"/>
      <c r="I432" s="1492"/>
      <c r="J432" s="1492"/>
      <c r="K432" s="1492"/>
      <c r="L432" s="1492"/>
      <c r="M432" s="1492"/>
      <c r="N432" s="1492"/>
      <c r="O432" s="399"/>
      <c r="P432" s="18"/>
      <c r="R432" s="17"/>
    </row>
    <row r="433" spans="4:21" ht="26" customHeight="1">
      <c r="D433" s="399"/>
      <c r="E433" s="399"/>
      <c r="F433" s="1492"/>
      <c r="G433" s="1492"/>
      <c r="H433" s="1492"/>
      <c r="I433" s="1492"/>
      <c r="J433" s="1492"/>
      <c r="K433" s="1492"/>
      <c r="L433" s="1492"/>
      <c r="M433" s="1492"/>
      <c r="N433" s="1492"/>
      <c r="O433" s="399"/>
      <c r="P433" s="18"/>
      <c r="R433" s="17"/>
    </row>
    <row r="434" spans="4:21" ht="34.5" customHeight="1">
      <c r="D434" s="399"/>
      <c r="E434" s="399"/>
      <c r="F434" s="1492"/>
      <c r="G434" s="1492"/>
      <c r="H434" s="1492"/>
      <c r="I434" s="1492"/>
      <c r="J434" s="1492"/>
      <c r="K434" s="1492"/>
      <c r="L434" s="1492"/>
      <c r="M434" s="1492"/>
      <c r="N434" s="1492"/>
      <c r="O434" s="399"/>
      <c r="P434" s="18"/>
      <c r="R434" s="17"/>
    </row>
    <row r="435" spans="4:21" ht="36" customHeight="1">
      <c r="D435" s="399"/>
      <c r="E435" s="399"/>
      <c r="F435" s="1492"/>
      <c r="G435" s="1492"/>
      <c r="H435" s="1492"/>
      <c r="I435" s="1492"/>
      <c r="J435" s="1492"/>
      <c r="K435" s="1492"/>
      <c r="L435" s="1492"/>
      <c r="M435" s="1492"/>
      <c r="N435" s="1492"/>
      <c r="O435" s="399"/>
      <c r="P435" s="18"/>
      <c r="R435" s="17"/>
    </row>
    <row r="436" spans="4:21" ht="26" customHeight="1">
      <c r="D436" s="399"/>
      <c r="E436" s="399"/>
      <c r="F436" s="1492"/>
      <c r="G436" s="1492"/>
      <c r="H436" s="1492"/>
      <c r="I436" s="1492"/>
      <c r="J436" s="1492"/>
      <c r="K436" s="1492"/>
      <c r="L436" s="1492"/>
      <c r="M436" s="1492"/>
      <c r="N436" s="1492"/>
      <c r="O436" s="399"/>
      <c r="P436" s="18"/>
      <c r="R436" s="17"/>
      <c r="S436" s="17"/>
    </row>
    <row r="437" spans="4:21" ht="26" customHeight="1">
      <c r="D437" s="399"/>
      <c r="E437" s="399"/>
      <c r="F437" s="1492"/>
      <c r="G437" s="1492"/>
      <c r="H437" s="1492"/>
      <c r="I437" s="1492"/>
      <c r="J437" s="1492"/>
      <c r="K437" s="1492"/>
      <c r="L437" s="1492"/>
      <c r="M437" s="1492"/>
      <c r="N437" s="1492"/>
      <c r="O437" s="399"/>
      <c r="P437" s="18"/>
      <c r="R437" s="17"/>
      <c r="S437" s="17"/>
    </row>
    <row r="438" spans="4:21" ht="26" customHeight="1">
      <c r="D438" s="399"/>
      <c r="E438" s="399"/>
      <c r="F438" s="1492"/>
      <c r="G438" s="1492"/>
      <c r="H438" s="1492"/>
      <c r="I438" s="1492"/>
      <c r="J438" s="1492"/>
      <c r="K438" s="1492"/>
      <c r="L438" s="1492"/>
      <c r="M438" s="1492"/>
      <c r="N438" s="1492"/>
      <c r="O438" s="399"/>
      <c r="P438" s="18"/>
      <c r="R438" s="17"/>
      <c r="S438" s="17"/>
    </row>
    <row r="439" spans="4:21" ht="26" customHeight="1">
      <c r="D439" s="399"/>
      <c r="E439" s="399"/>
      <c r="F439" s="1492"/>
      <c r="G439" s="1492"/>
      <c r="H439" s="1492"/>
      <c r="I439" s="1492"/>
      <c r="J439" s="1492"/>
      <c r="K439" s="1492"/>
      <c r="L439" s="1492"/>
      <c r="M439" s="1492"/>
      <c r="N439" s="1492"/>
      <c r="O439" s="399"/>
      <c r="P439" s="18"/>
      <c r="R439" s="17"/>
      <c r="S439" s="17"/>
    </row>
    <row r="440" spans="4:21" ht="26" customHeight="1">
      <c r="D440" s="399"/>
      <c r="E440" s="399"/>
      <c r="F440" s="1492"/>
      <c r="G440" s="1492"/>
      <c r="H440" s="1492"/>
      <c r="I440" s="1492"/>
      <c r="J440" s="1492"/>
      <c r="K440" s="1492"/>
      <c r="L440" s="1492"/>
      <c r="M440" s="1492"/>
      <c r="N440" s="1492"/>
      <c r="O440" s="399"/>
      <c r="P440" s="18"/>
      <c r="R440" s="17"/>
      <c r="S440" s="17"/>
      <c r="T440" s="17"/>
      <c r="U440" s="17"/>
    </row>
    <row r="441" spans="4:21" ht="26" customHeight="1">
      <c r="D441" s="399"/>
      <c r="E441" s="399"/>
      <c r="F441" s="1492"/>
      <c r="G441" s="1492"/>
      <c r="H441" s="1492"/>
      <c r="I441" s="1492"/>
      <c r="J441" s="1492"/>
      <c r="K441" s="1492"/>
      <c r="L441" s="1492"/>
      <c r="M441" s="1492"/>
      <c r="N441" s="1492"/>
      <c r="O441" s="399"/>
      <c r="P441" s="18"/>
      <c r="R441" s="17"/>
      <c r="S441" s="17"/>
      <c r="T441" s="17"/>
      <c r="U441" s="17"/>
    </row>
    <row r="442" spans="4:21" ht="26" customHeight="1">
      <c r="D442" s="399"/>
      <c r="E442" s="399"/>
      <c r="F442" s="1492"/>
      <c r="G442" s="1492"/>
      <c r="H442" s="1492"/>
      <c r="I442" s="1492"/>
      <c r="J442" s="1492"/>
      <c r="K442" s="1492"/>
      <c r="L442" s="1492"/>
      <c r="M442" s="1492"/>
      <c r="N442" s="1492"/>
      <c r="O442" s="399"/>
      <c r="P442" s="18"/>
      <c r="R442" s="17"/>
      <c r="S442" s="17"/>
      <c r="T442" s="17"/>
      <c r="U442" s="17"/>
    </row>
    <row r="443" spans="4:21" ht="26" customHeight="1">
      <c r="D443" s="399"/>
      <c r="E443" s="399"/>
      <c r="F443" s="1492"/>
      <c r="G443" s="1492"/>
      <c r="H443" s="1492"/>
      <c r="I443" s="1492"/>
      <c r="J443" s="1492"/>
      <c r="K443" s="1492"/>
      <c r="L443" s="1492"/>
      <c r="M443" s="1492"/>
      <c r="N443" s="1492"/>
      <c r="O443" s="399"/>
      <c r="P443" s="18"/>
      <c r="R443" s="17"/>
      <c r="S443" s="17"/>
      <c r="T443" s="17"/>
      <c r="U443" s="17"/>
    </row>
    <row r="444" spans="4:21" ht="26" customHeight="1">
      <c r="D444" s="399"/>
      <c r="E444" s="399"/>
      <c r="F444" s="1492"/>
      <c r="G444" s="1492"/>
      <c r="H444" s="1492"/>
      <c r="I444" s="1492"/>
      <c r="J444" s="1492"/>
      <c r="K444" s="1492"/>
      <c r="L444" s="1492"/>
      <c r="M444" s="1492"/>
      <c r="N444" s="1492"/>
      <c r="O444" s="399"/>
      <c r="P444" s="18"/>
      <c r="R444" s="17"/>
      <c r="S444" s="17"/>
      <c r="T444" s="17"/>
    </row>
    <row r="445" spans="4:21" ht="26" customHeight="1">
      <c r="D445" s="399"/>
      <c r="E445" s="399"/>
      <c r="F445" s="1492"/>
      <c r="G445" s="1492"/>
      <c r="H445" s="1492"/>
      <c r="I445" s="1492"/>
      <c r="J445" s="1492"/>
      <c r="K445" s="1492"/>
      <c r="L445" s="1492"/>
      <c r="M445" s="1492"/>
      <c r="N445" s="1492"/>
      <c r="O445" s="399"/>
      <c r="P445" s="18"/>
      <c r="R445" s="17"/>
      <c r="S445" s="17"/>
      <c r="T445" s="17"/>
    </row>
    <row r="446" spans="4:21" ht="26" customHeight="1">
      <c r="D446" s="399"/>
      <c r="E446" s="399"/>
      <c r="F446" s="1492"/>
      <c r="G446" s="1492"/>
      <c r="H446" s="1492"/>
      <c r="I446" s="1492"/>
      <c r="J446" s="1492"/>
      <c r="K446" s="1492"/>
      <c r="L446" s="1492"/>
      <c r="M446" s="1492"/>
      <c r="N446" s="1492"/>
      <c r="O446" s="399"/>
      <c r="P446" s="18"/>
      <c r="R446" s="17"/>
    </row>
    <row r="447" spans="4:21" ht="26" customHeight="1">
      <c r="D447" s="399"/>
      <c r="E447" s="399"/>
      <c r="F447" s="1492"/>
      <c r="G447" s="1492"/>
      <c r="H447" s="1492"/>
      <c r="I447" s="1492"/>
      <c r="J447" s="1492"/>
      <c r="K447" s="1492"/>
      <c r="L447" s="1492"/>
      <c r="M447" s="1492"/>
      <c r="N447" s="1492"/>
      <c r="O447" s="399"/>
      <c r="P447" s="18"/>
      <c r="R447" s="17"/>
    </row>
    <row r="448" spans="4:21" ht="26" customHeight="1">
      <c r="D448" s="399"/>
      <c r="E448" s="399"/>
      <c r="F448" s="1492"/>
      <c r="G448" s="1492"/>
      <c r="H448" s="1492"/>
      <c r="I448" s="1492"/>
      <c r="J448" s="1492"/>
      <c r="K448" s="1492"/>
      <c r="L448" s="1492"/>
      <c r="M448" s="1492"/>
      <c r="N448" s="1492"/>
      <c r="O448" s="399"/>
      <c r="P448" s="18"/>
      <c r="R448" s="17"/>
    </row>
    <row r="449" spans="3:18" ht="26" customHeight="1">
      <c r="D449" s="399"/>
      <c r="E449" s="399"/>
      <c r="F449" s="1492"/>
      <c r="G449" s="1492"/>
      <c r="H449" s="1492"/>
      <c r="I449" s="1492"/>
      <c r="J449" s="1492"/>
      <c r="K449" s="1492"/>
      <c r="L449" s="1492"/>
      <c r="M449" s="1492"/>
      <c r="N449" s="1492"/>
      <c r="O449" s="399"/>
      <c r="P449" s="18"/>
      <c r="R449" s="17"/>
    </row>
    <row r="450" spans="3:18" ht="26" customHeight="1">
      <c r="D450" s="399"/>
      <c r="E450" s="399"/>
      <c r="F450" s="1492"/>
      <c r="G450" s="1492"/>
      <c r="H450" s="1492"/>
      <c r="I450" s="1492"/>
      <c r="J450" s="1492"/>
      <c r="K450" s="1492"/>
      <c r="L450" s="1492"/>
      <c r="M450" s="1492"/>
      <c r="N450" s="1492"/>
      <c r="O450" s="399"/>
      <c r="P450" s="18"/>
      <c r="R450" s="17"/>
    </row>
    <row r="451" spans="3:18" ht="26" customHeight="1">
      <c r="D451" s="399"/>
      <c r="E451" s="399"/>
      <c r="F451" s="1492"/>
      <c r="G451" s="1492"/>
      <c r="H451" s="1492"/>
      <c r="I451" s="1492"/>
      <c r="J451" s="1492"/>
      <c r="K451" s="1492"/>
      <c r="L451" s="1492"/>
      <c r="M451" s="1492"/>
      <c r="N451" s="1492"/>
      <c r="O451" s="399"/>
      <c r="P451" s="18"/>
      <c r="R451" s="17"/>
    </row>
    <row r="452" spans="3:18" ht="26" customHeight="1">
      <c r="D452" s="399"/>
      <c r="E452" s="399"/>
      <c r="F452" s="1492"/>
      <c r="G452" s="1492"/>
      <c r="H452" s="1492"/>
      <c r="I452" s="1492"/>
      <c r="J452" s="1492"/>
      <c r="K452" s="1492"/>
      <c r="L452" s="1492"/>
      <c r="M452" s="1492"/>
      <c r="N452" s="1492"/>
      <c r="O452" s="399"/>
      <c r="P452" s="18"/>
      <c r="R452" s="17"/>
    </row>
    <row r="453" spans="3:18" ht="26" customHeight="1">
      <c r="D453" s="399"/>
      <c r="E453" s="399"/>
      <c r="F453" s="1492"/>
      <c r="G453" s="1492"/>
      <c r="H453" s="1492"/>
      <c r="I453" s="1492"/>
      <c r="J453" s="1492"/>
      <c r="K453" s="1492"/>
      <c r="L453" s="1492"/>
      <c r="M453" s="1492"/>
      <c r="N453" s="1492"/>
      <c r="O453" s="399"/>
      <c r="P453" s="18"/>
      <c r="R453" s="17"/>
    </row>
    <row r="454" spans="3:18" ht="26" customHeight="1">
      <c r="D454" s="399"/>
      <c r="E454" s="399"/>
      <c r="F454" s="1492"/>
      <c r="G454" s="1492"/>
      <c r="H454" s="1492"/>
      <c r="I454" s="1492"/>
      <c r="J454" s="1492"/>
      <c r="K454" s="1492"/>
      <c r="L454" s="1492"/>
      <c r="M454" s="1492"/>
      <c r="N454" s="1492"/>
      <c r="O454" s="399"/>
      <c r="P454" s="18"/>
      <c r="R454" s="17"/>
    </row>
    <row r="455" spans="3:18" ht="26" customHeight="1">
      <c r="D455" s="399"/>
      <c r="E455" s="399"/>
      <c r="F455" s="1492"/>
      <c r="G455" s="1492"/>
      <c r="H455" s="1492"/>
      <c r="I455" s="1492"/>
      <c r="J455" s="1492"/>
      <c r="K455" s="1492"/>
      <c r="L455" s="1492"/>
      <c r="M455" s="1492"/>
      <c r="N455" s="1492"/>
      <c r="O455" s="399"/>
      <c r="P455" s="18"/>
      <c r="R455" s="17"/>
    </row>
    <row r="456" spans="3:18" ht="26" customHeight="1">
      <c r="D456" s="399"/>
      <c r="E456" s="399"/>
      <c r="F456" s="1492"/>
      <c r="G456" s="1492"/>
      <c r="H456" s="1492"/>
      <c r="I456" s="1492"/>
      <c r="J456" s="1492"/>
      <c r="K456" s="1492"/>
      <c r="L456" s="1492"/>
      <c r="M456" s="1492"/>
      <c r="N456" s="1492"/>
      <c r="O456" s="399"/>
      <c r="P456" s="18"/>
      <c r="R456" s="17"/>
    </row>
    <row r="457" spans="3:18" ht="26" customHeight="1">
      <c r="D457" s="399"/>
      <c r="E457" s="399"/>
      <c r="F457" s="1492"/>
      <c r="G457" s="1492"/>
      <c r="H457" s="1492"/>
      <c r="I457" s="1492"/>
      <c r="J457" s="1492"/>
      <c r="K457" s="1492"/>
      <c r="L457" s="1492"/>
      <c r="M457" s="1492"/>
      <c r="N457" s="1492"/>
      <c r="O457" s="399"/>
      <c r="P457" s="18"/>
      <c r="R457" s="17"/>
    </row>
    <row r="458" spans="3:18" ht="26" customHeight="1">
      <c r="D458" s="399"/>
      <c r="E458" s="399"/>
      <c r="F458" s="1492"/>
      <c r="G458" s="1492"/>
      <c r="H458" s="1492"/>
      <c r="I458" s="1492"/>
      <c r="J458" s="1492"/>
      <c r="K458" s="1492"/>
      <c r="L458" s="1492"/>
      <c r="M458" s="1492"/>
      <c r="N458" s="1492"/>
      <c r="O458" s="399"/>
      <c r="P458" s="18"/>
      <c r="R458" s="17"/>
    </row>
    <row r="459" spans="3:18" ht="26" customHeight="1">
      <c r="D459" s="399"/>
      <c r="E459" s="399"/>
      <c r="F459" s="1492"/>
      <c r="G459" s="1492"/>
      <c r="H459" s="1492"/>
      <c r="I459" s="1492"/>
      <c r="J459" s="1492"/>
      <c r="K459" s="1492"/>
      <c r="L459" s="1492"/>
      <c r="M459" s="1492"/>
      <c r="N459" s="1492"/>
      <c r="O459" s="399"/>
      <c r="P459" s="18"/>
      <c r="R459" s="17"/>
    </row>
    <row r="460" spans="3:18" ht="26" customHeight="1">
      <c r="D460" s="399"/>
      <c r="E460" s="399"/>
      <c r="F460" s="1492"/>
      <c r="G460" s="1492"/>
      <c r="H460" s="1492"/>
      <c r="I460" s="1492"/>
      <c r="J460" s="1492"/>
      <c r="K460" s="1492"/>
      <c r="L460" s="1492"/>
      <c r="M460" s="1492"/>
      <c r="N460" s="1492"/>
      <c r="O460" s="399"/>
      <c r="P460" s="18"/>
      <c r="R460" s="17"/>
    </row>
    <row r="461" spans="3:18" ht="26" customHeight="1">
      <c r="D461" s="399"/>
      <c r="E461" s="399"/>
      <c r="F461" s="1492"/>
      <c r="G461" s="1492"/>
      <c r="H461" s="1492"/>
      <c r="I461" s="1492"/>
      <c r="J461" s="1492"/>
      <c r="K461" s="1492"/>
      <c r="L461" s="1492"/>
      <c r="M461" s="1492"/>
      <c r="N461" s="1492"/>
      <c r="O461" s="399"/>
      <c r="P461" s="18"/>
      <c r="R461" s="17"/>
    </row>
    <row r="462" spans="3:18" ht="26" customHeight="1">
      <c r="D462" s="399"/>
      <c r="E462" s="399"/>
      <c r="F462" s="1492"/>
      <c r="G462" s="1492"/>
      <c r="H462" s="1492"/>
      <c r="I462" s="1492"/>
      <c r="J462" s="1492"/>
      <c r="K462" s="1492"/>
      <c r="L462" s="1492"/>
      <c r="M462" s="1492"/>
      <c r="N462" s="1492"/>
      <c r="O462" s="399"/>
      <c r="P462" s="18"/>
    </row>
    <row r="463" spans="3:18" ht="26" customHeight="1">
      <c r="C463" s="1496"/>
      <c r="D463" s="1496"/>
      <c r="E463" s="1496"/>
      <c r="F463" s="1496"/>
      <c r="G463" s="1496"/>
      <c r="H463" s="1496"/>
      <c r="I463" s="1496"/>
      <c r="J463" s="1496"/>
      <c r="K463" s="1497"/>
      <c r="L463" s="1497"/>
      <c r="M463" s="1497"/>
      <c r="N463" s="1497"/>
      <c r="O463" s="1497"/>
      <c r="P463" s="18"/>
    </row>
    <row r="464" spans="3:18" ht="23" customHeight="1">
      <c r="C464" s="1496"/>
      <c r="D464" s="1496"/>
      <c r="E464" s="1496"/>
      <c r="F464" s="1496"/>
      <c r="G464" s="1496"/>
      <c r="H464" s="1496"/>
      <c r="I464" s="1496"/>
      <c r="J464" s="1496"/>
      <c r="K464" s="1498"/>
      <c r="L464" s="1498"/>
      <c r="M464" s="1498"/>
      <c r="N464" s="1498"/>
      <c r="O464" s="1498"/>
      <c r="P464" s="588"/>
    </row>
    <row r="465" spans="3:16" ht="23" customHeight="1">
      <c r="C465" s="1495"/>
      <c r="D465" s="1495"/>
      <c r="E465" s="1495"/>
      <c r="F465" s="1495"/>
      <c r="G465" s="1495"/>
      <c r="H465" s="1495"/>
      <c r="I465" s="1495"/>
      <c r="J465" s="1495"/>
      <c r="K465" s="1495"/>
      <c r="L465" s="1495"/>
      <c r="M465" s="1495"/>
      <c r="N465" s="1495"/>
      <c r="O465" s="1495"/>
      <c r="P465" s="557"/>
    </row>
    <row r="466" spans="3:16" ht="23" customHeight="1">
      <c r="D466" s="557"/>
      <c r="E466" s="557"/>
      <c r="F466" s="557"/>
      <c r="G466" s="557"/>
      <c r="H466" s="557"/>
      <c r="I466" s="557"/>
      <c r="J466" s="557"/>
      <c r="K466" s="557"/>
      <c r="L466" s="557"/>
      <c r="M466" s="557"/>
      <c r="N466" s="557"/>
      <c r="O466" s="1495"/>
      <c r="P466" s="557"/>
    </row>
    <row r="467" spans="3:16" ht="23" customHeight="1">
      <c r="D467" s="18"/>
      <c r="E467" s="18"/>
      <c r="F467" s="18"/>
      <c r="G467" s="18"/>
      <c r="H467" s="557"/>
      <c r="I467" s="18"/>
      <c r="J467" s="18"/>
      <c r="K467" s="557"/>
      <c r="L467" s="18"/>
      <c r="M467" s="18"/>
      <c r="N467" s="557"/>
      <c r="O467" s="1495"/>
      <c r="P467" s="557"/>
    </row>
    <row r="468" spans="3:16" ht="23" customHeight="1">
      <c r="D468" s="557"/>
      <c r="E468" s="557"/>
      <c r="F468" s="557"/>
      <c r="G468" s="557"/>
      <c r="H468" s="557"/>
      <c r="I468" s="557"/>
      <c r="J468" s="557"/>
      <c r="K468" s="557"/>
      <c r="L468" s="557"/>
      <c r="M468" s="557"/>
      <c r="N468" s="557"/>
      <c r="O468" s="1495"/>
      <c r="P468" s="557"/>
    </row>
    <row r="469" spans="3:16" ht="23" customHeight="1">
      <c r="D469" s="399"/>
      <c r="E469" s="399"/>
      <c r="F469" s="1492"/>
      <c r="G469" s="1492"/>
      <c r="H469" s="1492"/>
      <c r="I469" s="1492"/>
      <c r="J469" s="1492"/>
      <c r="K469" s="1492"/>
      <c r="L469" s="1492"/>
      <c r="M469" s="1492"/>
      <c r="N469" s="1492"/>
      <c r="O469" s="399"/>
      <c r="P469" s="18"/>
    </row>
    <row r="470" spans="3:16" ht="29" customHeight="1">
      <c r="D470" s="399"/>
      <c r="E470" s="399"/>
      <c r="F470" s="1492"/>
      <c r="G470" s="1492"/>
      <c r="H470" s="1492"/>
      <c r="I470" s="1492"/>
      <c r="J470" s="1492"/>
      <c r="K470" s="1492"/>
      <c r="L470" s="1492"/>
      <c r="M470" s="1492"/>
      <c r="N470" s="1492"/>
      <c r="O470" s="399"/>
      <c r="P470" s="18"/>
    </row>
    <row r="471" spans="3:16" ht="29" customHeight="1">
      <c r="D471" s="399"/>
      <c r="E471" s="399"/>
      <c r="F471" s="1492"/>
      <c r="G471" s="1492"/>
      <c r="H471" s="1492"/>
      <c r="I471" s="1492"/>
      <c r="J471" s="1492"/>
      <c r="K471" s="1492"/>
      <c r="L471" s="1492"/>
      <c r="M471" s="1492"/>
      <c r="N471" s="1492"/>
      <c r="O471" s="399"/>
      <c r="P471" s="18"/>
    </row>
    <row r="472" spans="3:16" ht="29" customHeight="1">
      <c r="D472" s="399"/>
      <c r="E472" s="399"/>
      <c r="F472" s="1492"/>
      <c r="G472" s="1492"/>
      <c r="H472" s="1492"/>
      <c r="I472" s="1492"/>
      <c r="J472" s="1492"/>
      <c r="K472" s="1492"/>
      <c r="L472" s="1492"/>
      <c r="M472" s="1492"/>
      <c r="N472" s="1492"/>
      <c r="O472" s="399"/>
      <c r="P472" s="18"/>
    </row>
    <row r="473" spans="3:16" ht="29" customHeight="1">
      <c r="D473" s="399"/>
      <c r="E473" s="399"/>
      <c r="F473" s="1492"/>
      <c r="G473" s="1492"/>
      <c r="H473" s="1492"/>
      <c r="I473" s="1492"/>
      <c r="J473" s="1492"/>
      <c r="K473" s="1492"/>
      <c r="L473" s="1492"/>
      <c r="M473" s="1492"/>
      <c r="N473" s="1492"/>
      <c r="O473" s="399"/>
      <c r="P473" s="18"/>
    </row>
    <row r="474" spans="3:16" ht="29" customHeight="1">
      <c r="D474" s="399"/>
      <c r="E474" s="399"/>
      <c r="F474" s="1492"/>
      <c r="G474" s="1492"/>
      <c r="H474" s="1492"/>
      <c r="I474" s="1492"/>
      <c r="J474" s="1492"/>
      <c r="K474" s="1492"/>
      <c r="L474" s="1492"/>
      <c r="M474" s="1492"/>
      <c r="N474" s="1492"/>
      <c r="O474" s="399"/>
      <c r="P474" s="18"/>
    </row>
    <row r="475" spans="3:16" ht="29" customHeight="1">
      <c r="D475" s="399"/>
      <c r="E475" s="399"/>
      <c r="F475" s="1492"/>
      <c r="G475" s="1492"/>
      <c r="H475" s="1492"/>
      <c r="I475" s="1492"/>
      <c r="J475" s="1492"/>
      <c r="K475" s="1492"/>
      <c r="L475" s="1492"/>
      <c r="M475" s="1492"/>
      <c r="N475" s="1492"/>
      <c r="O475" s="399"/>
      <c r="P475" s="18"/>
    </row>
    <row r="476" spans="3:16" ht="29" customHeight="1">
      <c r="D476" s="399"/>
      <c r="E476" s="399"/>
      <c r="F476" s="1492"/>
      <c r="G476" s="1492"/>
      <c r="H476" s="1492"/>
      <c r="I476" s="1492"/>
      <c r="J476" s="1492"/>
      <c r="K476" s="1492"/>
      <c r="L476" s="1492"/>
      <c r="M476" s="1492"/>
      <c r="N476" s="1492"/>
      <c r="O476" s="399"/>
      <c r="P476" s="18"/>
    </row>
    <row r="477" spans="3:16" ht="29" customHeight="1">
      <c r="D477" s="399"/>
      <c r="E477" s="399"/>
      <c r="F477" s="1492"/>
      <c r="G477" s="1492"/>
      <c r="H477" s="1492"/>
      <c r="I477" s="1492"/>
      <c r="J477" s="1492"/>
      <c r="K477" s="1492"/>
      <c r="L477" s="1492"/>
      <c r="M477" s="1492"/>
      <c r="N477" s="1492"/>
      <c r="O477" s="399"/>
      <c r="P477" s="18"/>
    </row>
    <row r="478" spans="3:16" ht="29" customHeight="1">
      <c r="D478" s="399"/>
      <c r="E478" s="399"/>
      <c r="F478" s="1492"/>
      <c r="G478" s="1492"/>
      <c r="H478" s="1492"/>
      <c r="I478" s="1492"/>
      <c r="J478" s="1492"/>
      <c r="K478" s="1492"/>
      <c r="L478" s="1492"/>
      <c r="M478" s="1492"/>
      <c r="N478" s="1492"/>
      <c r="O478" s="399"/>
      <c r="P478" s="18"/>
    </row>
    <row r="479" spans="3:16" ht="29" customHeight="1">
      <c r="D479" s="399"/>
      <c r="E479" s="399"/>
      <c r="F479" s="1492"/>
      <c r="G479" s="1492"/>
      <c r="H479" s="1492"/>
      <c r="I479" s="1492"/>
      <c r="J479" s="1492"/>
      <c r="K479" s="1492"/>
      <c r="L479" s="1492"/>
      <c r="M479" s="1492"/>
      <c r="N479" s="1492"/>
      <c r="O479" s="399"/>
      <c r="P479" s="18"/>
    </row>
    <row r="480" spans="3:16" ht="29" customHeight="1">
      <c r="D480" s="399"/>
      <c r="E480" s="399"/>
      <c r="F480" s="1492"/>
      <c r="G480" s="1492"/>
      <c r="H480" s="1492"/>
      <c r="I480" s="1492"/>
      <c r="J480" s="1492"/>
      <c r="K480" s="1492"/>
      <c r="L480" s="1492"/>
      <c r="M480" s="1492"/>
      <c r="N480" s="1492"/>
      <c r="O480" s="399"/>
      <c r="P480" s="18"/>
    </row>
    <row r="481" spans="4:16" ht="29" customHeight="1">
      <c r="D481" s="399"/>
      <c r="E481" s="399"/>
      <c r="F481" s="1492"/>
      <c r="G481" s="1492"/>
      <c r="H481" s="1492"/>
      <c r="I481" s="1492"/>
      <c r="J481" s="1492"/>
      <c r="K481" s="1492"/>
      <c r="L481" s="1492"/>
      <c r="M481" s="1492"/>
      <c r="N481" s="1492"/>
      <c r="O481" s="399"/>
      <c r="P481" s="18"/>
    </row>
    <row r="482" spans="4:16" ht="29" customHeight="1">
      <c r="D482" s="399"/>
      <c r="E482" s="399"/>
      <c r="F482" s="1492"/>
      <c r="G482" s="1492"/>
      <c r="H482" s="1492"/>
      <c r="I482" s="1492"/>
      <c r="J482" s="1492"/>
      <c r="K482" s="1492"/>
      <c r="L482" s="1492"/>
      <c r="M482" s="1492"/>
      <c r="N482" s="1492"/>
      <c r="O482" s="399"/>
      <c r="P482" s="18"/>
    </row>
    <row r="483" spans="4:16" ht="29" customHeight="1">
      <c r="D483" s="399"/>
      <c r="E483" s="399"/>
      <c r="F483" s="1492"/>
      <c r="G483" s="1492"/>
      <c r="H483" s="1492"/>
      <c r="I483" s="1492"/>
      <c r="J483" s="1492"/>
      <c r="K483" s="1492"/>
      <c r="L483" s="1492"/>
      <c r="M483" s="1492"/>
      <c r="N483" s="1492"/>
      <c r="O483" s="399"/>
      <c r="P483" s="18"/>
    </row>
    <row r="484" spans="4:16" ht="29" customHeight="1">
      <c r="D484" s="399"/>
      <c r="E484" s="399"/>
      <c r="F484" s="1492"/>
      <c r="G484" s="1492"/>
      <c r="H484" s="1492"/>
      <c r="I484" s="1492"/>
      <c r="J484" s="1492"/>
      <c r="K484" s="1492"/>
      <c r="L484" s="1492"/>
      <c r="M484" s="1492"/>
      <c r="N484" s="1492"/>
      <c r="O484" s="399"/>
      <c r="P484" s="18"/>
    </row>
    <row r="485" spans="4:16" ht="29" customHeight="1">
      <c r="D485" s="399"/>
      <c r="E485" s="399"/>
      <c r="F485" s="1492"/>
      <c r="G485" s="1492"/>
      <c r="H485" s="1492"/>
      <c r="I485" s="1492"/>
      <c r="J485" s="1492"/>
      <c r="K485" s="1492"/>
      <c r="L485" s="1492"/>
      <c r="M485" s="1492"/>
      <c r="N485" s="1492"/>
      <c r="O485" s="399"/>
      <c r="P485" s="18"/>
    </row>
    <row r="486" spans="4:16" ht="29" customHeight="1">
      <c r="D486" s="399"/>
      <c r="E486" s="399"/>
      <c r="F486" s="1492"/>
      <c r="G486" s="1492"/>
      <c r="H486" s="1492"/>
      <c r="I486" s="1492"/>
      <c r="J486" s="1492"/>
      <c r="K486" s="1492"/>
      <c r="L486" s="1492"/>
      <c r="M486" s="1492"/>
      <c r="N486" s="1492"/>
      <c r="O486" s="399"/>
      <c r="P486" s="18"/>
    </row>
    <row r="487" spans="4:16" ht="29" customHeight="1">
      <c r="D487" s="399"/>
      <c r="E487" s="399"/>
      <c r="F487" s="1492"/>
      <c r="G487" s="1492"/>
      <c r="H487" s="1492"/>
      <c r="I487" s="1492"/>
      <c r="J487" s="1492"/>
      <c r="K487" s="1492"/>
      <c r="L487" s="1492"/>
      <c r="M487" s="1492"/>
      <c r="N487" s="1492"/>
      <c r="O487" s="399"/>
      <c r="P487" s="18"/>
    </row>
    <row r="488" spans="4:16" ht="29" customHeight="1">
      <c r="D488" s="399"/>
      <c r="E488" s="399"/>
      <c r="F488" s="1492"/>
      <c r="G488" s="1492"/>
      <c r="H488" s="1492"/>
      <c r="I488" s="1492"/>
      <c r="J488" s="1492"/>
      <c r="K488" s="1492"/>
      <c r="L488" s="1492"/>
      <c r="M488" s="1492"/>
      <c r="N488" s="1492"/>
      <c r="O488" s="399"/>
      <c r="P488" s="18"/>
    </row>
    <row r="489" spans="4:16" ht="29" customHeight="1">
      <c r="D489" s="399"/>
      <c r="E489" s="399"/>
      <c r="F489" s="1492"/>
      <c r="G489" s="1492"/>
      <c r="H489" s="1492"/>
      <c r="I489" s="1492"/>
      <c r="J489" s="1492"/>
      <c r="K489" s="1492"/>
      <c r="L489" s="1492"/>
      <c r="M489" s="1492"/>
      <c r="N489" s="1492"/>
      <c r="O489" s="399"/>
      <c r="P489" s="18"/>
    </row>
    <row r="490" spans="4:16" ht="29" customHeight="1">
      <c r="D490" s="399"/>
      <c r="E490" s="399"/>
      <c r="F490" s="1492"/>
      <c r="G490" s="1492"/>
      <c r="H490" s="1492"/>
      <c r="I490" s="1492"/>
      <c r="J490" s="1492"/>
      <c r="K490" s="1492"/>
      <c r="L490" s="1492"/>
      <c r="M490" s="1492"/>
      <c r="N490" s="1492"/>
      <c r="O490" s="399"/>
      <c r="P490" s="18"/>
    </row>
    <row r="491" spans="4:16" ht="29" customHeight="1">
      <c r="D491" s="399"/>
      <c r="E491" s="399"/>
      <c r="F491" s="1492"/>
      <c r="G491" s="1492"/>
      <c r="H491" s="1492"/>
      <c r="I491" s="1492"/>
      <c r="J491" s="1492"/>
      <c r="K491" s="1492"/>
      <c r="L491" s="1492"/>
      <c r="M491" s="1492"/>
      <c r="N491" s="1492"/>
      <c r="O491" s="399"/>
      <c r="P491" s="18"/>
    </row>
    <row r="492" spans="4:16" ht="29" customHeight="1">
      <c r="D492" s="399"/>
      <c r="E492" s="399"/>
      <c r="F492" s="1492"/>
      <c r="G492" s="1492"/>
      <c r="H492" s="1492"/>
      <c r="I492" s="1492"/>
      <c r="J492" s="1492"/>
      <c r="K492" s="1492"/>
      <c r="L492" s="1492"/>
      <c r="M492" s="1492"/>
      <c r="N492" s="1492"/>
      <c r="O492" s="399"/>
      <c r="P492" s="18"/>
    </row>
    <row r="493" spans="4:16" ht="29" customHeight="1">
      <c r="D493" s="399"/>
      <c r="E493" s="399"/>
      <c r="F493" s="1492"/>
      <c r="G493" s="1492"/>
      <c r="H493" s="1492"/>
      <c r="I493" s="1492"/>
      <c r="J493" s="1492"/>
      <c r="K493" s="1492"/>
      <c r="L493" s="1492"/>
      <c r="M493" s="1492"/>
      <c r="N493" s="1492"/>
      <c r="O493" s="399"/>
      <c r="P493" s="18"/>
    </row>
    <row r="494" spans="4:16" ht="29" customHeight="1">
      <c r="D494" s="399"/>
      <c r="E494" s="399"/>
      <c r="F494" s="1492"/>
      <c r="G494" s="1492"/>
      <c r="H494" s="1492"/>
      <c r="I494" s="1492"/>
      <c r="J494" s="1492"/>
      <c r="K494" s="1492"/>
      <c r="L494" s="1492"/>
      <c r="M494" s="1492"/>
      <c r="N494" s="1492"/>
      <c r="O494" s="399"/>
      <c r="P494" s="18"/>
    </row>
    <row r="495" spans="4:16" ht="29" customHeight="1">
      <c r="D495" s="399"/>
      <c r="E495" s="399"/>
      <c r="F495" s="1492"/>
      <c r="G495" s="1492"/>
      <c r="H495" s="1492"/>
      <c r="I495" s="1492"/>
      <c r="J495" s="1492"/>
      <c r="K495" s="1492"/>
      <c r="L495" s="1492"/>
      <c r="M495" s="1492"/>
      <c r="N495" s="1492"/>
      <c r="O495" s="399"/>
      <c r="P495" s="18"/>
    </row>
    <row r="496" spans="4:16" ht="29" customHeight="1">
      <c r="D496" s="399"/>
      <c r="E496" s="399"/>
      <c r="F496" s="1492"/>
      <c r="G496" s="1492"/>
      <c r="H496" s="1492"/>
      <c r="I496" s="1492"/>
      <c r="J496" s="1492"/>
      <c r="K496" s="1492"/>
      <c r="L496" s="1492"/>
      <c r="M496" s="1492"/>
      <c r="N496" s="1492"/>
      <c r="O496" s="399"/>
      <c r="P496" s="18"/>
    </row>
    <row r="497" spans="3:16" ht="29" customHeight="1">
      <c r="D497" s="399"/>
      <c r="E497" s="399"/>
      <c r="F497" s="1492"/>
      <c r="G497" s="1492"/>
      <c r="H497" s="1492"/>
      <c r="I497" s="1492"/>
      <c r="J497" s="1492"/>
      <c r="K497" s="1492"/>
      <c r="L497" s="1492"/>
      <c r="M497" s="1492"/>
      <c r="N497" s="1492"/>
      <c r="O497" s="399"/>
      <c r="P497" s="18"/>
    </row>
    <row r="498" spans="3:16" ht="29" customHeight="1">
      <c r="D498" s="399"/>
      <c r="E498" s="399"/>
      <c r="F498" s="1492"/>
      <c r="G498" s="1492"/>
      <c r="H498" s="1492"/>
      <c r="I498" s="1492"/>
      <c r="J498" s="1492"/>
      <c r="K498" s="1492"/>
      <c r="L498" s="1492"/>
      <c r="M498" s="1492"/>
      <c r="N498" s="1492"/>
      <c r="O498" s="399"/>
      <c r="P498" s="18"/>
    </row>
    <row r="499" spans="3:16" ht="29" customHeight="1">
      <c r="D499" s="399"/>
      <c r="E499" s="399"/>
      <c r="F499" s="1492"/>
      <c r="G499" s="1492"/>
      <c r="H499" s="1492"/>
      <c r="I499" s="1492"/>
      <c r="J499" s="1492"/>
      <c r="K499" s="1492"/>
      <c r="L499" s="1492"/>
      <c r="M499" s="1492"/>
      <c r="N499" s="1492"/>
      <c r="O499" s="399"/>
      <c r="P499" s="18"/>
    </row>
    <row r="500" spans="3:16" ht="29" customHeight="1">
      <c r="D500" s="399"/>
      <c r="E500" s="399"/>
      <c r="F500" s="1492"/>
      <c r="G500" s="1492"/>
      <c r="H500" s="1492"/>
      <c r="I500" s="1492"/>
      <c r="J500" s="1492"/>
      <c r="K500" s="1492"/>
      <c r="L500" s="1492"/>
      <c r="M500" s="1492"/>
      <c r="N500" s="1492"/>
      <c r="O500" s="399"/>
      <c r="P500" s="18"/>
    </row>
    <row r="501" spans="3:16" ht="29" customHeight="1">
      <c r="D501" s="399"/>
      <c r="E501" s="399"/>
      <c r="F501" s="1492"/>
      <c r="G501" s="1492"/>
      <c r="H501" s="1492"/>
      <c r="I501" s="1492"/>
      <c r="J501" s="1492"/>
      <c r="K501" s="1492"/>
      <c r="L501" s="1492"/>
      <c r="M501" s="1492"/>
      <c r="N501" s="1492"/>
      <c r="O501" s="399"/>
      <c r="P501" s="18"/>
    </row>
    <row r="502" spans="3:16" ht="29" customHeight="1">
      <c r="D502" s="399"/>
      <c r="E502" s="399"/>
      <c r="F502" s="1492"/>
      <c r="G502" s="1492"/>
      <c r="H502" s="1492"/>
      <c r="I502" s="1492"/>
      <c r="J502" s="1492"/>
      <c r="K502" s="1492"/>
      <c r="L502" s="1492"/>
      <c r="M502" s="1492"/>
      <c r="N502" s="1492"/>
      <c r="O502" s="399"/>
      <c r="P502" s="18"/>
    </row>
    <row r="503" spans="3:16" ht="29" customHeight="1">
      <c r="D503" s="399"/>
      <c r="E503" s="399"/>
      <c r="F503" s="1492"/>
      <c r="G503" s="1492"/>
      <c r="H503" s="1492"/>
      <c r="I503" s="1492"/>
      <c r="J503" s="1492"/>
      <c r="K503" s="1492"/>
      <c r="L503" s="1492"/>
      <c r="M503" s="1492"/>
      <c r="N503" s="1492"/>
      <c r="O503" s="399"/>
      <c r="P503" s="18"/>
    </row>
    <row r="504" spans="3:16" ht="29" customHeight="1">
      <c r="D504" s="399"/>
      <c r="E504" s="399"/>
      <c r="F504" s="1492"/>
      <c r="G504" s="1492"/>
      <c r="H504" s="1492"/>
      <c r="I504" s="1492"/>
      <c r="J504" s="1492"/>
      <c r="K504" s="1492"/>
      <c r="L504" s="1492"/>
      <c r="M504" s="1492"/>
      <c r="N504" s="1492"/>
      <c r="O504" s="399"/>
      <c r="P504" s="18"/>
    </row>
    <row r="505" spans="3:16" ht="29" customHeight="1">
      <c r="D505" s="399"/>
      <c r="E505" s="399"/>
      <c r="F505" s="1492"/>
      <c r="G505" s="1492"/>
      <c r="H505" s="1492"/>
      <c r="I505" s="1492"/>
      <c r="J505" s="1492"/>
      <c r="K505" s="1492"/>
      <c r="L505" s="1492"/>
      <c r="M505" s="1492"/>
      <c r="N505" s="1492"/>
      <c r="O505" s="399"/>
      <c r="P505" s="18"/>
    </row>
    <row r="506" spans="3:16" ht="29" customHeight="1">
      <c r="D506" s="399"/>
      <c r="E506" s="399"/>
      <c r="F506" s="1492"/>
      <c r="G506" s="1492"/>
      <c r="H506" s="1492"/>
      <c r="I506" s="1492"/>
      <c r="J506" s="1492"/>
      <c r="K506" s="1492"/>
      <c r="L506" s="1492"/>
      <c r="M506" s="1492"/>
      <c r="N506" s="1492"/>
      <c r="O506" s="399"/>
      <c r="P506" s="18"/>
    </row>
    <row r="507" spans="3:16" ht="29" customHeight="1">
      <c r="C507" s="1496"/>
      <c r="D507" s="1496"/>
      <c r="E507" s="1496"/>
      <c r="F507" s="1496"/>
      <c r="G507" s="1496"/>
      <c r="H507" s="1496"/>
      <c r="I507" s="1496"/>
      <c r="J507" s="1496"/>
      <c r="K507" s="1497"/>
      <c r="L507" s="1497"/>
      <c r="M507" s="1497"/>
      <c r="N507" s="1497"/>
      <c r="O507" s="1497"/>
      <c r="P507" s="18"/>
    </row>
    <row r="508" spans="3:16" ht="23" customHeight="1">
      <c r="C508" s="1496"/>
      <c r="D508" s="1496"/>
      <c r="E508" s="1496"/>
      <c r="F508" s="1496"/>
      <c r="G508" s="1496"/>
      <c r="H508" s="1496"/>
      <c r="I508" s="1496"/>
      <c r="J508" s="1496"/>
      <c r="K508" s="1498"/>
      <c r="L508" s="1498"/>
      <c r="M508" s="1498"/>
      <c r="N508" s="1498"/>
      <c r="O508" s="1498"/>
      <c r="P508" s="588"/>
    </row>
    <row r="509" spans="3:16" ht="23" customHeight="1">
      <c r="C509" s="1495"/>
      <c r="D509" s="1495"/>
      <c r="E509" s="1495"/>
      <c r="F509" s="1495"/>
      <c r="G509" s="1495"/>
      <c r="H509" s="1495"/>
      <c r="I509" s="1495"/>
      <c r="J509" s="1495"/>
      <c r="K509" s="1495"/>
      <c r="L509" s="1495"/>
      <c r="M509" s="1495"/>
      <c r="N509" s="1495"/>
      <c r="O509" s="1495"/>
      <c r="P509" s="557"/>
    </row>
    <row r="510" spans="3:16" ht="24" customHeight="1">
      <c r="D510" s="557"/>
      <c r="E510" s="557"/>
      <c r="F510" s="557"/>
      <c r="G510" s="557"/>
      <c r="H510" s="557"/>
      <c r="I510" s="557"/>
      <c r="J510" s="557"/>
      <c r="K510" s="557"/>
      <c r="L510" s="557"/>
      <c r="M510" s="557"/>
      <c r="N510" s="557"/>
      <c r="O510" s="1495"/>
      <c r="P510" s="557"/>
    </row>
    <row r="511" spans="3:16" ht="24" customHeight="1">
      <c r="D511" s="18"/>
      <c r="E511" s="18"/>
      <c r="F511" s="18"/>
      <c r="G511" s="18"/>
      <c r="H511" s="557"/>
      <c r="I511" s="18"/>
      <c r="J511" s="18"/>
      <c r="K511" s="557"/>
      <c r="L511" s="18"/>
      <c r="M511" s="18"/>
      <c r="N511" s="557"/>
      <c r="O511" s="1495"/>
      <c r="P511" s="557"/>
    </row>
    <row r="512" spans="3:16" ht="24" customHeight="1">
      <c r="D512" s="557"/>
      <c r="E512" s="557"/>
      <c r="F512" s="557"/>
      <c r="G512" s="557"/>
      <c r="H512" s="557"/>
      <c r="I512" s="557"/>
      <c r="J512" s="557"/>
      <c r="K512" s="557"/>
      <c r="L512" s="557"/>
      <c r="M512" s="557"/>
      <c r="N512" s="557"/>
      <c r="O512" s="1495"/>
      <c r="P512" s="557"/>
    </row>
    <row r="513" spans="4:16" ht="24" customHeight="1">
      <c r="D513" s="557"/>
      <c r="E513" s="557"/>
      <c r="F513" s="1495"/>
      <c r="G513" s="1495"/>
      <c r="H513" s="1495"/>
      <c r="I513" s="1492"/>
      <c r="J513" s="1492"/>
      <c r="K513" s="1492"/>
      <c r="L513" s="1492"/>
      <c r="M513" s="1492"/>
      <c r="N513" s="1492"/>
      <c r="O513" s="399"/>
      <c r="P513" s="18"/>
    </row>
    <row r="514" spans="4:16" ht="27.5" customHeight="1">
      <c r="D514" s="557"/>
      <c r="E514" s="557"/>
      <c r="F514" s="1495"/>
      <c r="G514" s="1495"/>
      <c r="H514" s="1495"/>
      <c r="I514" s="1492"/>
      <c r="J514" s="1492"/>
      <c r="K514" s="1492"/>
      <c r="L514" s="1492"/>
      <c r="M514" s="1492"/>
      <c r="N514" s="1492"/>
      <c r="O514" s="399"/>
      <c r="P514" s="18"/>
    </row>
    <row r="515" spans="4:16" ht="27.5" customHeight="1">
      <c r="D515" s="557"/>
      <c r="E515" s="557"/>
      <c r="F515" s="1495"/>
      <c r="G515" s="1495"/>
      <c r="H515" s="1495"/>
      <c r="I515" s="1492"/>
      <c r="J515" s="1492"/>
      <c r="K515" s="1492"/>
      <c r="L515" s="1492"/>
      <c r="M515" s="1492"/>
      <c r="N515" s="1492"/>
      <c r="O515" s="399"/>
      <c r="P515" s="18"/>
    </row>
    <row r="516" spans="4:16" ht="27.5" customHeight="1">
      <c r="D516" s="557"/>
      <c r="E516" s="557"/>
      <c r="F516" s="1495"/>
      <c r="G516" s="1495"/>
      <c r="H516" s="1495"/>
      <c r="I516" s="1492"/>
      <c r="J516" s="1492"/>
      <c r="K516" s="1492"/>
      <c r="L516" s="1492"/>
      <c r="M516" s="1492"/>
      <c r="N516" s="1492"/>
      <c r="O516" s="399"/>
      <c r="P516" s="18"/>
    </row>
    <row r="517" spans="4:16" ht="27.5" customHeight="1">
      <c r="D517" s="557"/>
      <c r="E517" s="557"/>
      <c r="F517" s="1495"/>
      <c r="G517" s="1495"/>
      <c r="H517" s="1495"/>
      <c r="I517" s="1492"/>
      <c r="J517" s="1492"/>
      <c r="K517" s="1492"/>
      <c r="L517" s="1492"/>
      <c r="M517" s="1492"/>
      <c r="N517" s="1492"/>
      <c r="O517" s="399"/>
      <c r="P517" s="18"/>
    </row>
    <row r="518" spans="4:16" ht="27.5" customHeight="1">
      <c r="D518" s="557"/>
      <c r="E518" s="557"/>
      <c r="F518" s="1495"/>
      <c r="G518" s="1495"/>
      <c r="H518" s="1495"/>
      <c r="I518" s="1492"/>
      <c r="J518" s="1492"/>
      <c r="K518" s="1492"/>
      <c r="L518" s="1492"/>
      <c r="M518" s="1492"/>
      <c r="N518" s="1492"/>
      <c r="O518" s="399"/>
      <c r="P518" s="18"/>
    </row>
    <row r="519" spans="4:16" ht="27.5" customHeight="1">
      <c r="D519" s="557"/>
      <c r="E519" s="557"/>
      <c r="F519" s="1495"/>
      <c r="G519" s="1495"/>
      <c r="H519" s="1495"/>
      <c r="I519" s="1492"/>
      <c r="J519" s="1492"/>
      <c r="K519" s="1492"/>
      <c r="L519" s="1492"/>
      <c r="M519" s="1492"/>
      <c r="N519" s="1492"/>
      <c r="O519" s="399"/>
      <c r="P519" s="18"/>
    </row>
    <row r="520" spans="4:16" ht="27.5" customHeight="1">
      <c r="D520" s="557"/>
      <c r="E520" s="557"/>
      <c r="F520" s="1495"/>
      <c r="G520" s="1495"/>
      <c r="H520" s="1495"/>
      <c r="I520" s="1492"/>
      <c r="J520" s="1492"/>
      <c r="K520" s="1492"/>
      <c r="L520" s="1492"/>
      <c r="M520" s="1492"/>
      <c r="N520" s="1492"/>
      <c r="O520" s="399"/>
      <c r="P520" s="18"/>
    </row>
    <row r="521" spans="4:16" ht="27.5" customHeight="1">
      <c r="D521" s="557"/>
      <c r="E521" s="557"/>
      <c r="F521" s="1495"/>
      <c r="G521" s="1495"/>
      <c r="H521" s="1495"/>
      <c r="I521" s="1492"/>
      <c r="J521" s="1492"/>
      <c r="K521" s="1492"/>
      <c r="L521" s="1492"/>
      <c r="M521" s="1492"/>
      <c r="N521" s="1492"/>
      <c r="O521" s="399"/>
      <c r="P521" s="18"/>
    </row>
    <row r="522" spans="4:16" ht="27.5" customHeight="1">
      <c r="D522" s="557"/>
      <c r="E522" s="557"/>
      <c r="F522" s="1495"/>
      <c r="G522" s="1495"/>
      <c r="H522" s="1495"/>
      <c r="I522" s="1492"/>
      <c r="J522" s="1492"/>
      <c r="K522" s="1492"/>
      <c r="L522" s="1492"/>
      <c r="M522" s="1492"/>
      <c r="N522" s="1492"/>
      <c r="O522" s="399"/>
      <c r="P522" s="18"/>
    </row>
    <row r="523" spans="4:16" ht="27.5" customHeight="1">
      <c r="D523" s="557"/>
      <c r="E523" s="557"/>
      <c r="F523" s="1495"/>
      <c r="G523" s="1495"/>
      <c r="H523" s="1495"/>
      <c r="I523" s="1492"/>
      <c r="J523" s="1492"/>
      <c r="K523" s="1492"/>
      <c r="L523" s="1492"/>
      <c r="M523" s="1492"/>
      <c r="N523" s="1492"/>
      <c r="O523" s="399"/>
      <c r="P523" s="18"/>
    </row>
    <row r="524" spans="4:16" ht="27.5" customHeight="1">
      <c r="D524" s="557"/>
      <c r="E524" s="557"/>
      <c r="F524" s="1495"/>
      <c r="G524" s="1495"/>
      <c r="H524" s="1495"/>
      <c r="I524" s="1492"/>
      <c r="J524" s="1492"/>
      <c r="K524" s="1492"/>
      <c r="L524" s="1492"/>
      <c r="M524" s="1492"/>
      <c r="N524" s="1492"/>
      <c r="O524" s="399"/>
      <c r="P524" s="18"/>
    </row>
    <row r="525" spans="4:16" ht="27.5" customHeight="1">
      <c r="D525" s="557"/>
      <c r="E525" s="557"/>
      <c r="F525" s="1495"/>
      <c r="G525" s="1495"/>
      <c r="H525" s="1495"/>
      <c r="I525" s="1492"/>
      <c r="J525" s="1492"/>
      <c r="K525" s="1492"/>
      <c r="L525" s="1492"/>
      <c r="M525" s="1492"/>
      <c r="N525" s="1492"/>
      <c r="O525" s="399"/>
      <c r="P525" s="18"/>
    </row>
    <row r="526" spans="4:16" ht="27.5" customHeight="1">
      <c r="D526" s="557"/>
      <c r="E526" s="557"/>
      <c r="F526" s="1495"/>
      <c r="G526" s="1495"/>
      <c r="H526" s="1495"/>
      <c r="I526" s="1492"/>
      <c r="J526" s="1492"/>
      <c r="K526" s="1492"/>
      <c r="L526" s="1492"/>
      <c r="M526" s="1492"/>
      <c r="N526" s="1492"/>
      <c r="O526" s="399"/>
      <c r="P526" s="18"/>
    </row>
    <row r="527" spans="4:16" ht="27.5" customHeight="1">
      <c r="D527" s="557"/>
      <c r="E527" s="557"/>
      <c r="F527" s="1495"/>
      <c r="G527" s="1495"/>
      <c r="H527" s="1495"/>
      <c r="I527" s="1492"/>
      <c r="J527" s="1492"/>
      <c r="K527" s="1492"/>
      <c r="L527" s="1492"/>
      <c r="M527" s="1492"/>
      <c r="N527" s="1492"/>
      <c r="O527" s="399"/>
      <c r="P527" s="18"/>
    </row>
    <row r="528" spans="4:16" ht="27.5" customHeight="1">
      <c r="D528" s="557"/>
      <c r="E528" s="557"/>
      <c r="F528" s="1495"/>
      <c r="G528" s="1495"/>
      <c r="H528" s="1495"/>
      <c r="I528" s="1492"/>
      <c r="J528" s="1492"/>
      <c r="K528" s="1492"/>
      <c r="L528" s="1492"/>
      <c r="M528" s="1492"/>
      <c r="N528" s="1492"/>
      <c r="O528" s="399"/>
      <c r="P528" s="18"/>
    </row>
    <row r="529" spans="4:16" ht="27.5" customHeight="1">
      <c r="D529" s="557"/>
      <c r="E529" s="557"/>
      <c r="F529" s="1495"/>
      <c r="G529" s="1495"/>
      <c r="H529" s="1495"/>
      <c r="I529" s="1492"/>
      <c r="J529" s="1492"/>
      <c r="K529" s="1492"/>
      <c r="L529" s="1492"/>
      <c r="M529" s="1492"/>
      <c r="N529" s="1492"/>
      <c r="O529" s="399"/>
      <c r="P529" s="18"/>
    </row>
    <row r="530" spans="4:16" ht="27.5" customHeight="1">
      <c r="D530" s="557"/>
      <c r="E530" s="557"/>
      <c r="F530" s="1495"/>
      <c r="G530" s="1495"/>
      <c r="H530" s="1495"/>
      <c r="I530" s="1492"/>
      <c r="J530" s="1492"/>
      <c r="K530" s="1492"/>
      <c r="L530" s="1492"/>
      <c r="M530" s="1492"/>
      <c r="N530" s="1492"/>
      <c r="O530" s="399"/>
      <c r="P530" s="18"/>
    </row>
    <row r="531" spans="4:16" ht="27.5" customHeight="1">
      <c r="D531" s="557"/>
      <c r="E531" s="557"/>
      <c r="F531" s="1495"/>
      <c r="G531" s="1495"/>
      <c r="H531" s="1495"/>
      <c r="I531" s="1492"/>
      <c r="J531" s="1492"/>
      <c r="K531" s="1492"/>
      <c r="L531" s="1492"/>
      <c r="M531" s="1492"/>
      <c r="N531" s="1492"/>
      <c r="O531" s="399"/>
      <c r="P531" s="18"/>
    </row>
    <row r="532" spans="4:16" ht="27.5" customHeight="1">
      <c r="D532" s="557"/>
      <c r="E532" s="557"/>
      <c r="F532" s="1495"/>
      <c r="G532" s="1495"/>
      <c r="H532" s="1495"/>
      <c r="I532" s="1492"/>
      <c r="J532" s="1492"/>
      <c r="K532" s="1492"/>
      <c r="L532" s="1492"/>
      <c r="M532" s="1492"/>
      <c r="N532" s="1492"/>
      <c r="O532" s="399"/>
      <c r="P532" s="18"/>
    </row>
    <row r="533" spans="4:16" ht="27.5" customHeight="1">
      <c r="D533" s="557"/>
      <c r="E533" s="557"/>
      <c r="F533" s="1495"/>
      <c r="G533" s="1495"/>
      <c r="H533" s="1495"/>
      <c r="I533" s="1492"/>
      <c r="J533" s="1492"/>
      <c r="K533" s="1492"/>
      <c r="L533" s="1492"/>
      <c r="M533" s="1492"/>
      <c r="N533" s="1492"/>
      <c r="O533" s="399"/>
      <c r="P533" s="18"/>
    </row>
    <row r="534" spans="4:16" ht="27.5" customHeight="1">
      <c r="D534" s="557"/>
      <c r="E534" s="557"/>
      <c r="F534" s="1495"/>
      <c r="G534" s="1495"/>
      <c r="H534" s="1495"/>
      <c r="I534" s="1492"/>
      <c r="J534" s="1492"/>
      <c r="K534" s="1492"/>
      <c r="L534" s="1492"/>
      <c r="M534" s="1492"/>
      <c r="N534" s="1492"/>
      <c r="O534" s="399"/>
      <c r="P534" s="18"/>
    </row>
    <row r="535" spans="4:16" ht="27.5" customHeight="1">
      <c r="D535" s="557"/>
      <c r="E535" s="557"/>
      <c r="F535" s="1495"/>
      <c r="G535" s="1495"/>
      <c r="H535" s="1495"/>
      <c r="I535" s="1492"/>
      <c r="J535" s="1492"/>
      <c r="K535" s="1492"/>
      <c r="L535" s="1492"/>
      <c r="M535" s="1492"/>
      <c r="N535" s="1492"/>
      <c r="O535" s="399"/>
      <c r="P535" s="18"/>
    </row>
    <row r="536" spans="4:16" ht="27.5" customHeight="1">
      <c r="D536" s="557"/>
      <c r="E536" s="557"/>
      <c r="F536" s="1495"/>
      <c r="G536" s="1495"/>
      <c r="H536" s="1495"/>
      <c r="I536" s="1492"/>
      <c r="J536" s="1492"/>
      <c r="K536" s="1492"/>
      <c r="L536" s="1492"/>
      <c r="M536" s="1492"/>
      <c r="N536" s="1492"/>
      <c r="O536" s="399"/>
      <c r="P536" s="18"/>
    </row>
    <row r="537" spans="4:16" ht="27.5" customHeight="1">
      <c r="D537" s="557"/>
      <c r="E537" s="557"/>
      <c r="F537" s="1495"/>
      <c r="G537" s="1495"/>
      <c r="H537" s="1495"/>
      <c r="I537" s="1492"/>
      <c r="J537" s="1492"/>
      <c r="K537" s="1492"/>
      <c r="L537" s="1492"/>
      <c r="M537" s="1492"/>
      <c r="N537" s="1492"/>
      <c r="O537" s="399"/>
      <c r="P537" s="18"/>
    </row>
    <row r="538" spans="4:16" ht="27.5" customHeight="1">
      <c r="D538" s="557"/>
      <c r="E538" s="557"/>
      <c r="F538" s="1495"/>
      <c r="G538" s="1495"/>
      <c r="H538" s="1495"/>
      <c r="I538" s="1492"/>
      <c r="J538" s="1492"/>
      <c r="K538" s="1492"/>
      <c r="L538" s="1492"/>
      <c r="M538" s="1492"/>
      <c r="N538" s="1492"/>
      <c r="O538" s="399"/>
      <c r="P538" s="18"/>
    </row>
    <row r="539" spans="4:16" ht="27.5" customHeight="1">
      <c r="D539" s="557"/>
      <c r="E539" s="557"/>
      <c r="F539" s="1495"/>
      <c r="G539" s="1495"/>
      <c r="H539" s="1495"/>
      <c r="I539" s="1492"/>
      <c r="J539" s="1492"/>
      <c r="K539" s="1492"/>
      <c r="L539" s="1492"/>
      <c r="M539" s="1492"/>
      <c r="N539" s="1492"/>
      <c r="O539" s="399"/>
      <c r="P539" s="18"/>
    </row>
    <row r="540" spans="4:16" ht="27.5" customHeight="1">
      <c r="D540" s="557"/>
      <c r="E540" s="557"/>
      <c r="F540" s="1495"/>
      <c r="G540" s="1495"/>
      <c r="H540" s="1495"/>
      <c r="I540" s="1492"/>
      <c r="J540" s="1492"/>
      <c r="K540" s="1492"/>
      <c r="L540" s="1492"/>
      <c r="M540" s="1492"/>
      <c r="N540" s="1492"/>
      <c r="O540" s="399"/>
      <c r="P540" s="18"/>
    </row>
    <row r="541" spans="4:16" ht="27.5" customHeight="1">
      <c r="D541" s="557"/>
      <c r="E541" s="557"/>
      <c r="F541" s="1495"/>
      <c r="G541" s="1495"/>
      <c r="H541" s="1495"/>
      <c r="I541" s="1492"/>
      <c r="J541" s="1492"/>
      <c r="K541" s="1492"/>
      <c r="L541" s="1492"/>
      <c r="M541" s="1492"/>
      <c r="N541" s="1492"/>
      <c r="O541" s="399"/>
      <c r="P541" s="18"/>
    </row>
    <row r="542" spans="4:16" ht="27.5" customHeight="1">
      <c r="D542" s="557"/>
      <c r="E542" s="557"/>
      <c r="F542" s="1495"/>
      <c r="G542" s="1495"/>
      <c r="H542" s="1495"/>
      <c r="I542" s="1492"/>
      <c r="J542" s="1492"/>
      <c r="K542" s="1492"/>
      <c r="L542" s="1492"/>
      <c r="M542" s="1492"/>
      <c r="N542" s="1492"/>
      <c r="O542" s="399"/>
      <c r="P542" s="18"/>
    </row>
    <row r="543" spans="4:16" ht="27.5" customHeight="1">
      <c r="D543" s="557"/>
      <c r="E543" s="557"/>
      <c r="F543" s="1495"/>
      <c r="G543" s="1495"/>
      <c r="H543" s="1495"/>
      <c r="I543" s="1492"/>
      <c r="J543" s="1492"/>
      <c r="K543" s="1492"/>
      <c r="L543" s="1492"/>
      <c r="M543" s="1492"/>
      <c r="N543" s="1492"/>
      <c r="O543" s="399"/>
      <c r="P543" s="18"/>
    </row>
    <row r="544" spans="4:16" ht="27.5" customHeight="1">
      <c r="D544" s="557"/>
      <c r="E544" s="557"/>
      <c r="F544" s="1495"/>
      <c r="G544" s="1495"/>
      <c r="H544" s="1495"/>
      <c r="I544" s="1492"/>
      <c r="J544" s="1492"/>
      <c r="K544" s="1492"/>
      <c r="L544" s="1492"/>
      <c r="M544" s="1492"/>
      <c r="N544" s="1492"/>
      <c r="O544" s="399"/>
      <c r="P544" s="18"/>
    </row>
    <row r="545" spans="3:16" ht="27.5" customHeight="1">
      <c r="D545" s="557"/>
      <c r="E545" s="557"/>
      <c r="F545" s="1495"/>
      <c r="G545" s="1495"/>
      <c r="H545" s="1495"/>
      <c r="I545" s="1492"/>
      <c r="J545" s="1492"/>
      <c r="K545" s="1492"/>
      <c r="L545" s="1492"/>
      <c r="M545" s="1492"/>
      <c r="N545" s="1492"/>
      <c r="O545" s="399"/>
      <c r="P545" s="18"/>
    </row>
    <row r="546" spans="3:16" ht="27.5" customHeight="1">
      <c r="D546" s="557"/>
      <c r="E546" s="557"/>
      <c r="F546" s="1495"/>
      <c r="G546" s="1495"/>
      <c r="H546" s="1495"/>
      <c r="I546" s="1492"/>
      <c r="J546" s="1492"/>
      <c r="K546" s="1492"/>
      <c r="L546" s="1492"/>
      <c r="M546" s="1492"/>
      <c r="N546" s="1492"/>
      <c r="O546" s="399"/>
      <c r="P546" s="18"/>
    </row>
    <row r="547" spans="3:16" ht="27.5" customHeight="1">
      <c r="D547" s="557"/>
      <c r="E547" s="557"/>
      <c r="F547" s="1495"/>
      <c r="G547" s="1495"/>
      <c r="H547" s="1495"/>
      <c r="I547" s="1492"/>
      <c r="J547" s="1492"/>
      <c r="K547" s="1492"/>
      <c r="L547" s="1492"/>
      <c r="M547" s="1492"/>
      <c r="N547" s="1492"/>
      <c r="O547" s="399"/>
      <c r="P547" s="18"/>
    </row>
    <row r="548" spans="3:16" ht="27.5" customHeight="1">
      <c r="D548" s="557"/>
      <c r="E548" s="557"/>
      <c r="F548" s="1495"/>
      <c r="G548" s="1495"/>
      <c r="H548" s="1495"/>
      <c r="I548" s="1492"/>
      <c r="J548" s="1492"/>
      <c r="K548" s="1492"/>
      <c r="L548" s="1492"/>
      <c r="M548" s="1492"/>
      <c r="N548" s="1492"/>
      <c r="O548" s="399"/>
      <c r="P548" s="18"/>
    </row>
    <row r="549" spans="3:16" ht="27.5" customHeight="1">
      <c r="D549" s="557"/>
      <c r="E549" s="557"/>
      <c r="F549" s="1495"/>
      <c r="G549" s="1495"/>
      <c r="H549" s="1495"/>
      <c r="I549" s="1492"/>
      <c r="J549" s="1492"/>
      <c r="K549" s="1492"/>
      <c r="L549" s="1492"/>
      <c r="M549" s="1492"/>
      <c r="N549" s="1492"/>
      <c r="O549" s="399"/>
      <c r="P549" s="18"/>
    </row>
    <row r="550" spans="3:16" ht="27.5" customHeight="1">
      <c r="D550" s="557"/>
      <c r="E550" s="557"/>
      <c r="F550" s="1495"/>
      <c r="G550" s="1495"/>
      <c r="H550" s="1495"/>
      <c r="I550" s="1492"/>
      <c r="J550" s="1492"/>
      <c r="K550" s="1492"/>
      <c r="L550" s="1492"/>
      <c r="M550" s="1492"/>
      <c r="N550" s="1492"/>
      <c r="O550" s="399"/>
      <c r="P550" s="18"/>
    </row>
    <row r="551" spans="3:16" ht="27.5" customHeight="1">
      <c r="D551" s="557"/>
      <c r="E551" s="557"/>
      <c r="F551" s="1495"/>
      <c r="G551" s="1495"/>
      <c r="H551" s="1495"/>
      <c r="I551" s="1492"/>
      <c r="J551" s="1492"/>
      <c r="K551" s="1492"/>
      <c r="L551" s="1492"/>
      <c r="M551" s="1492"/>
      <c r="N551" s="1492"/>
      <c r="O551" s="399"/>
      <c r="P551" s="18"/>
    </row>
    <row r="552" spans="3:16" ht="27.5" customHeight="1">
      <c r="D552" s="557"/>
      <c r="E552" s="557"/>
      <c r="F552" s="1495"/>
      <c r="G552" s="1495"/>
      <c r="H552" s="1495"/>
      <c r="I552" s="1492"/>
      <c r="J552" s="1492"/>
      <c r="K552" s="1492"/>
      <c r="L552" s="1492"/>
      <c r="M552" s="1492"/>
      <c r="N552" s="1492"/>
      <c r="O552" s="399"/>
      <c r="P552" s="18"/>
    </row>
    <row r="553" spans="3:16" ht="27.5" customHeight="1">
      <c r="C553" s="1496"/>
      <c r="D553" s="1496"/>
      <c r="E553" s="1496"/>
      <c r="F553" s="1496"/>
      <c r="G553" s="1496"/>
      <c r="H553" s="1496"/>
      <c r="I553" s="1496"/>
      <c r="J553" s="1496"/>
      <c r="K553" s="1497"/>
      <c r="L553" s="1497"/>
      <c r="M553" s="1497"/>
      <c r="N553" s="1497"/>
      <c r="O553" s="1497"/>
      <c r="P553" s="18"/>
    </row>
    <row r="554" spans="3:16" ht="24" customHeight="1">
      <c r="C554" s="1496"/>
      <c r="D554" s="1496"/>
      <c r="E554" s="1496"/>
      <c r="F554" s="1496"/>
      <c r="G554" s="1496"/>
      <c r="H554" s="1496"/>
      <c r="I554" s="1496"/>
      <c r="J554" s="1496"/>
      <c r="K554" s="1498"/>
      <c r="L554" s="1498"/>
      <c r="M554" s="1498"/>
      <c r="N554" s="1498"/>
      <c r="O554" s="1498"/>
      <c r="P554" s="588"/>
    </row>
    <row r="555" spans="3:16" ht="24" customHeight="1">
      <c r="C555" s="1495"/>
      <c r="D555" s="1495"/>
      <c r="E555" s="1495"/>
      <c r="F555" s="1495"/>
      <c r="G555" s="1495"/>
      <c r="H555" s="1495"/>
      <c r="I555" s="1495"/>
      <c r="J555" s="1495"/>
      <c r="K555" s="1495"/>
      <c r="L555" s="1495"/>
      <c r="M555" s="1495"/>
      <c r="N555" s="1495"/>
      <c r="O555" s="1495"/>
      <c r="P555" s="557"/>
    </row>
    <row r="556" spans="3:16" ht="24" customHeight="1">
      <c r="D556" s="557"/>
      <c r="E556" s="557"/>
      <c r="F556" s="557"/>
      <c r="G556" s="557"/>
      <c r="H556" s="557"/>
      <c r="I556" s="557"/>
      <c r="J556" s="557"/>
      <c r="K556" s="557"/>
      <c r="L556" s="557"/>
      <c r="M556" s="557"/>
      <c r="N556" s="557"/>
      <c r="O556" s="1495"/>
      <c r="P556" s="557"/>
    </row>
    <row r="557" spans="3:16" ht="24" customHeight="1">
      <c r="D557" s="18"/>
      <c r="E557" s="18"/>
      <c r="F557" s="18"/>
      <c r="G557" s="18"/>
      <c r="H557" s="557"/>
      <c r="I557" s="18"/>
      <c r="J557" s="18"/>
      <c r="K557" s="557"/>
      <c r="L557" s="18"/>
      <c r="M557" s="18"/>
      <c r="N557" s="557"/>
      <c r="O557" s="1495"/>
      <c r="P557" s="557"/>
    </row>
    <row r="558" spans="3:16" ht="24" customHeight="1">
      <c r="D558" s="557"/>
      <c r="E558" s="557"/>
      <c r="F558" s="557"/>
      <c r="G558" s="557"/>
      <c r="H558" s="557"/>
      <c r="I558" s="557"/>
      <c r="J558" s="557"/>
      <c r="K558" s="557"/>
      <c r="L558" s="557"/>
      <c r="M558" s="557"/>
      <c r="N558" s="557"/>
      <c r="O558" s="1495"/>
      <c r="P558" s="557"/>
    </row>
    <row r="559" spans="3:16" ht="24" customHeight="1">
      <c r="D559" s="557"/>
      <c r="E559" s="557"/>
      <c r="F559" s="1495"/>
      <c r="G559" s="1495"/>
      <c r="H559" s="1495"/>
      <c r="I559" s="1492"/>
      <c r="J559" s="1492"/>
      <c r="K559" s="1492"/>
      <c r="L559" s="1492"/>
      <c r="M559" s="1492"/>
      <c r="N559" s="1492"/>
      <c r="O559" s="399"/>
      <c r="P559" s="18"/>
    </row>
    <row r="560" spans="3:16" ht="28" customHeight="1">
      <c r="D560" s="557"/>
      <c r="E560" s="557"/>
      <c r="F560" s="1495"/>
      <c r="G560" s="1495"/>
      <c r="H560" s="1495"/>
      <c r="I560" s="1492"/>
      <c r="J560" s="1492"/>
      <c r="K560" s="1492"/>
      <c r="L560" s="1492"/>
      <c r="M560" s="1492"/>
      <c r="N560" s="1492"/>
      <c r="O560" s="399"/>
      <c r="P560" s="18"/>
    </row>
    <row r="561" spans="4:18" ht="28" customHeight="1">
      <c r="D561" s="557"/>
      <c r="E561" s="557"/>
      <c r="F561" s="1495"/>
      <c r="G561" s="1495"/>
      <c r="H561" s="1495"/>
      <c r="I561" s="1492"/>
      <c r="J561" s="1492"/>
      <c r="K561" s="1492"/>
      <c r="L561" s="1492"/>
      <c r="M561" s="1492"/>
      <c r="N561" s="1492"/>
      <c r="O561" s="399"/>
      <c r="P561" s="18"/>
    </row>
    <row r="562" spans="4:18" ht="28" customHeight="1">
      <c r="D562" s="557"/>
      <c r="E562" s="557"/>
      <c r="F562" s="1495"/>
      <c r="G562" s="1495"/>
      <c r="H562" s="1495"/>
      <c r="I562" s="1492"/>
      <c r="J562" s="1492"/>
      <c r="K562" s="1492"/>
      <c r="L562" s="1492"/>
      <c r="M562" s="1492"/>
      <c r="N562" s="1492"/>
      <c r="O562" s="399"/>
      <c r="P562" s="18"/>
    </row>
    <row r="563" spans="4:18" ht="28" customHeight="1">
      <c r="D563" s="557"/>
      <c r="E563" s="557"/>
      <c r="F563" s="1495"/>
      <c r="G563" s="1495"/>
      <c r="H563" s="1495"/>
      <c r="I563" s="1492"/>
      <c r="J563" s="1492"/>
      <c r="K563" s="1492"/>
      <c r="L563" s="1492"/>
      <c r="M563" s="1492"/>
      <c r="N563" s="1492"/>
      <c r="O563" s="399"/>
      <c r="P563" s="18"/>
    </row>
    <row r="564" spans="4:18" ht="28" customHeight="1">
      <c r="D564" s="557"/>
      <c r="E564" s="557"/>
      <c r="F564" s="1495"/>
      <c r="G564" s="1495"/>
      <c r="H564" s="1495"/>
      <c r="I564" s="1492"/>
      <c r="J564" s="1492"/>
      <c r="K564" s="1492"/>
      <c r="L564" s="1492"/>
      <c r="M564" s="1492"/>
      <c r="N564" s="1492"/>
      <c r="O564" s="399"/>
      <c r="P564" s="18"/>
    </row>
    <row r="565" spans="4:18" ht="28" customHeight="1">
      <c r="D565" s="557"/>
      <c r="E565" s="557"/>
      <c r="F565" s="1495"/>
      <c r="G565" s="1495"/>
      <c r="H565" s="1495"/>
      <c r="I565" s="1492"/>
      <c r="J565" s="1492"/>
      <c r="K565" s="1492"/>
      <c r="L565" s="1492"/>
      <c r="M565" s="1492"/>
      <c r="N565" s="1492"/>
      <c r="O565" s="399"/>
      <c r="P565" s="18"/>
    </row>
    <row r="566" spans="4:18" ht="28" customHeight="1">
      <c r="D566" s="557"/>
      <c r="E566" s="557"/>
      <c r="F566" s="1495"/>
      <c r="G566" s="1495"/>
      <c r="H566" s="1495"/>
      <c r="I566" s="1492"/>
      <c r="J566" s="1492"/>
      <c r="K566" s="1492"/>
      <c r="L566" s="1492"/>
      <c r="M566" s="1492"/>
      <c r="N566" s="1492"/>
      <c r="O566" s="399"/>
      <c r="P566" s="18"/>
    </row>
    <row r="567" spans="4:18" ht="28" customHeight="1">
      <c r="D567" s="557"/>
      <c r="E567" s="557"/>
      <c r="F567" s="1495"/>
      <c r="G567" s="1495"/>
      <c r="H567" s="1495"/>
      <c r="I567" s="1492"/>
      <c r="J567" s="1492"/>
      <c r="K567" s="1492"/>
      <c r="L567" s="1492"/>
      <c r="M567" s="1492"/>
      <c r="N567" s="1492"/>
      <c r="O567" s="399"/>
      <c r="P567" s="18"/>
    </row>
    <row r="568" spans="4:18" ht="28" customHeight="1">
      <c r="D568" s="557"/>
      <c r="E568" s="557"/>
      <c r="F568" s="1495"/>
      <c r="G568" s="1495"/>
      <c r="H568" s="1495"/>
      <c r="I568" s="1492"/>
      <c r="J568" s="1492"/>
      <c r="K568" s="1492"/>
      <c r="L568" s="1492"/>
      <c r="M568" s="1492"/>
      <c r="N568" s="1492"/>
      <c r="O568" s="399"/>
      <c r="P568" s="18"/>
      <c r="R568" s="17"/>
    </row>
    <row r="569" spans="4:18" ht="28" customHeight="1">
      <c r="D569" s="557"/>
      <c r="E569" s="557"/>
      <c r="F569" s="1495"/>
      <c r="G569" s="1495"/>
      <c r="H569" s="1495"/>
      <c r="I569" s="1492"/>
      <c r="J569" s="1492"/>
      <c r="K569" s="1492"/>
      <c r="L569" s="1492"/>
      <c r="M569" s="1492"/>
      <c r="N569" s="1492"/>
      <c r="O569" s="399"/>
      <c r="P569" s="18"/>
      <c r="R569" s="17"/>
    </row>
    <row r="570" spans="4:18" ht="28" customHeight="1">
      <c r="D570" s="557"/>
      <c r="E570" s="557"/>
      <c r="F570" s="1495"/>
      <c r="G570" s="1495"/>
      <c r="H570" s="1495"/>
      <c r="I570" s="1492"/>
      <c r="J570" s="1492"/>
      <c r="K570" s="1492"/>
      <c r="L570" s="1492"/>
      <c r="M570" s="1492"/>
      <c r="N570" s="1492"/>
      <c r="O570" s="399"/>
      <c r="P570" s="18"/>
      <c r="R570" s="17"/>
    </row>
    <row r="571" spans="4:18" ht="28" customHeight="1">
      <c r="D571" s="557"/>
      <c r="E571" s="557"/>
      <c r="F571" s="1495"/>
      <c r="G571" s="1495"/>
      <c r="H571" s="1495"/>
      <c r="I571" s="1492"/>
      <c r="J571" s="1492"/>
      <c r="K571" s="1492"/>
      <c r="L571" s="1492"/>
      <c r="M571" s="1492"/>
      <c r="N571" s="1492"/>
      <c r="O571" s="399"/>
      <c r="P571" s="18"/>
      <c r="R571" s="17"/>
    </row>
    <row r="572" spans="4:18" ht="28" customHeight="1">
      <c r="D572" s="557"/>
      <c r="E572" s="557"/>
      <c r="F572" s="1495"/>
      <c r="G572" s="1495"/>
      <c r="H572" s="1495"/>
      <c r="I572" s="1492"/>
      <c r="J572" s="1492"/>
      <c r="K572" s="1492"/>
      <c r="L572" s="1492"/>
      <c r="M572" s="1492"/>
      <c r="N572" s="1492"/>
      <c r="O572" s="399"/>
      <c r="P572" s="18"/>
      <c r="R572" s="17"/>
    </row>
    <row r="573" spans="4:18" ht="28" customHeight="1">
      <c r="D573" s="557"/>
      <c r="E573" s="557"/>
      <c r="F573" s="1495"/>
      <c r="G573" s="1495"/>
      <c r="H573" s="1495"/>
      <c r="I573" s="1492"/>
      <c r="J573" s="1492"/>
      <c r="K573" s="1492"/>
      <c r="L573" s="1492"/>
      <c r="M573" s="1492"/>
      <c r="N573" s="1492"/>
      <c r="O573" s="399"/>
      <c r="P573" s="18"/>
      <c r="R573" s="17"/>
    </row>
    <row r="574" spans="4:18" ht="28" customHeight="1">
      <c r="D574" s="557"/>
      <c r="E574" s="557"/>
      <c r="F574" s="1495"/>
      <c r="G574" s="1495"/>
      <c r="H574" s="1495"/>
      <c r="I574" s="1492"/>
      <c r="J574" s="1492"/>
      <c r="K574" s="1492"/>
      <c r="L574" s="1492"/>
      <c r="M574" s="1492"/>
      <c r="N574" s="1492"/>
      <c r="O574" s="399"/>
      <c r="P574" s="18"/>
      <c r="R574" s="17"/>
    </row>
    <row r="575" spans="4:18" ht="28" customHeight="1">
      <c r="D575" s="557"/>
      <c r="E575" s="557"/>
      <c r="F575" s="1495"/>
      <c r="G575" s="1495"/>
      <c r="H575" s="1495"/>
      <c r="I575" s="1492"/>
      <c r="J575" s="1492"/>
      <c r="K575" s="1492"/>
      <c r="L575" s="1492"/>
      <c r="M575" s="1492"/>
      <c r="N575" s="1492"/>
      <c r="O575" s="399"/>
      <c r="P575" s="18"/>
      <c r="R575" s="17"/>
    </row>
    <row r="576" spans="4:18" ht="28" customHeight="1">
      <c r="D576" s="557"/>
      <c r="E576" s="557"/>
      <c r="F576" s="1495"/>
      <c r="G576" s="1495"/>
      <c r="H576" s="1495"/>
      <c r="I576" s="1492"/>
      <c r="J576" s="1492"/>
      <c r="K576" s="1492"/>
      <c r="L576" s="1492"/>
      <c r="M576" s="1492"/>
      <c r="N576" s="1492"/>
      <c r="O576" s="399"/>
      <c r="P576" s="18"/>
      <c r="R576" s="17"/>
    </row>
    <row r="577" spans="4:18" ht="28" customHeight="1">
      <c r="D577" s="557"/>
      <c r="E577" s="557"/>
      <c r="F577" s="1495"/>
      <c r="G577" s="1495"/>
      <c r="H577" s="1495"/>
      <c r="I577" s="1492"/>
      <c r="J577" s="1492"/>
      <c r="K577" s="1492"/>
      <c r="L577" s="1492"/>
      <c r="M577" s="1492"/>
      <c r="N577" s="1492"/>
      <c r="O577" s="399"/>
      <c r="P577" s="18"/>
      <c r="R577" s="17"/>
    </row>
    <row r="578" spans="4:18" ht="28" customHeight="1">
      <c r="D578" s="557"/>
      <c r="E578" s="557"/>
      <c r="F578" s="1495"/>
      <c r="G578" s="1495"/>
      <c r="H578" s="1495"/>
      <c r="I578" s="1492"/>
      <c r="J578" s="1492"/>
      <c r="K578" s="1492"/>
      <c r="L578" s="1492"/>
      <c r="M578" s="1492"/>
      <c r="N578" s="1492"/>
      <c r="O578" s="399"/>
      <c r="P578" s="18"/>
      <c r="R578" s="17"/>
    </row>
    <row r="579" spans="4:18" ht="28" customHeight="1">
      <c r="D579" s="557"/>
      <c r="E579" s="557"/>
      <c r="F579" s="1495"/>
      <c r="G579" s="1495"/>
      <c r="H579" s="1495"/>
      <c r="I579" s="1492"/>
      <c r="J579" s="1492"/>
      <c r="K579" s="1492"/>
      <c r="L579" s="1492"/>
      <c r="M579" s="1492"/>
      <c r="N579" s="1492"/>
      <c r="O579" s="399"/>
      <c r="P579" s="18"/>
      <c r="R579" s="17"/>
    </row>
    <row r="580" spans="4:18" ht="28" customHeight="1">
      <c r="D580" s="557"/>
      <c r="E580" s="557"/>
      <c r="F580" s="1495"/>
      <c r="G580" s="1495"/>
      <c r="H580" s="1495"/>
      <c r="I580" s="1492"/>
      <c r="J580" s="1492"/>
      <c r="K580" s="1492"/>
      <c r="L580" s="1492"/>
      <c r="M580" s="1492"/>
      <c r="N580" s="1492"/>
      <c r="O580" s="399"/>
      <c r="P580" s="18"/>
      <c r="R580" s="17"/>
    </row>
    <row r="581" spans="4:18" ht="28" customHeight="1">
      <c r="D581" s="557"/>
      <c r="E581" s="557"/>
      <c r="F581" s="1495"/>
      <c r="G581" s="1495"/>
      <c r="H581" s="1495"/>
      <c r="I581" s="1492"/>
      <c r="J581" s="1492"/>
      <c r="K581" s="1492"/>
      <c r="L581" s="1492"/>
      <c r="M581" s="1492"/>
      <c r="N581" s="1492"/>
      <c r="O581" s="399"/>
      <c r="P581" s="18"/>
      <c r="R581" s="17"/>
    </row>
    <row r="582" spans="4:18" ht="28" customHeight="1">
      <c r="D582" s="557"/>
      <c r="E582" s="557"/>
      <c r="F582" s="1495"/>
      <c r="G582" s="1495"/>
      <c r="H582" s="1495"/>
      <c r="I582" s="1492"/>
      <c r="J582" s="1492"/>
      <c r="K582" s="1492"/>
      <c r="L582" s="1492"/>
      <c r="M582" s="1492"/>
      <c r="N582" s="1492"/>
      <c r="O582" s="399"/>
      <c r="P582" s="18"/>
      <c r="R582" s="17"/>
    </row>
    <row r="583" spans="4:18" ht="28" customHeight="1">
      <c r="D583" s="557"/>
      <c r="E583" s="557"/>
      <c r="F583" s="1495"/>
      <c r="G583" s="1495"/>
      <c r="H583" s="1495"/>
      <c r="I583" s="1492"/>
      <c r="J583" s="1492"/>
      <c r="K583" s="1492"/>
      <c r="L583" s="1492"/>
      <c r="M583" s="1492"/>
      <c r="N583" s="1492"/>
      <c r="O583" s="399"/>
      <c r="P583" s="18"/>
      <c r="R583" s="17"/>
    </row>
    <row r="584" spans="4:18" ht="28" customHeight="1">
      <c r="D584" s="557"/>
      <c r="E584" s="557"/>
      <c r="F584" s="1495"/>
      <c r="G584" s="1495"/>
      <c r="H584" s="1495"/>
      <c r="I584" s="1492"/>
      <c r="J584" s="1492"/>
      <c r="K584" s="1492"/>
      <c r="L584" s="1492"/>
      <c r="M584" s="1492"/>
      <c r="N584" s="1492"/>
      <c r="O584" s="399"/>
      <c r="P584" s="18"/>
      <c r="R584" s="17"/>
    </row>
    <row r="585" spans="4:18" ht="28" customHeight="1">
      <c r="D585" s="557"/>
      <c r="E585" s="557"/>
      <c r="F585" s="1495"/>
      <c r="G585" s="1495"/>
      <c r="H585" s="1495"/>
      <c r="I585" s="1492"/>
      <c r="J585" s="1492"/>
      <c r="K585" s="1492"/>
      <c r="L585" s="1492"/>
      <c r="M585" s="1492"/>
      <c r="N585" s="1492"/>
      <c r="O585" s="399"/>
      <c r="P585" s="18"/>
      <c r="R585" s="17"/>
    </row>
    <row r="586" spans="4:18" ht="28" customHeight="1">
      <c r="D586" s="557"/>
      <c r="E586" s="557"/>
      <c r="F586" s="1495"/>
      <c r="G586" s="1495"/>
      <c r="H586" s="1495"/>
      <c r="I586" s="1492"/>
      <c r="J586" s="1492"/>
      <c r="K586" s="1492"/>
      <c r="L586" s="1492"/>
      <c r="M586" s="1492"/>
      <c r="N586" s="1492"/>
      <c r="O586" s="399"/>
      <c r="P586" s="18"/>
      <c r="R586" s="17"/>
    </row>
    <row r="587" spans="4:18" ht="28" customHeight="1">
      <c r="D587" s="557"/>
      <c r="E587" s="557"/>
      <c r="F587" s="1495"/>
      <c r="G587" s="1495"/>
      <c r="H587" s="1495"/>
      <c r="I587" s="1492"/>
      <c r="J587" s="1492"/>
      <c r="K587" s="1492"/>
      <c r="L587" s="1492"/>
      <c r="M587" s="1492"/>
      <c r="N587" s="1492"/>
      <c r="O587" s="399"/>
      <c r="P587" s="18"/>
      <c r="R587" s="17"/>
    </row>
    <row r="588" spans="4:18" ht="28" customHeight="1">
      <c r="D588" s="557"/>
      <c r="E588" s="557"/>
      <c r="F588" s="1495"/>
      <c r="G588" s="1495"/>
      <c r="H588" s="1495"/>
      <c r="I588" s="1492"/>
      <c r="J588" s="1492"/>
      <c r="K588" s="1492"/>
      <c r="L588" s="1492"/>
      <c r="M588" s="1492"/>
      <c r="N588" s="1492"/>
      <c r="O588" s="399"/>
      <c r="P588" s="18"/>
      <c r="R588" s="17"/>
    </row>
    <row r="589" spans="4:18" ht="28" customHeight="1">
      <c r="D589" s="557"/>
      <c r="E589" s="557"/>
      <c r="F589" s="1495"/>
      <c r="G589" s="1495"/>
      <c r="H589" s="1495"/>
      <c r="I589" s="1492"/>
      <c r="J589" s="1492"/>
      <c r="K589" s="1492"/>
      <c r="L589" s="1492"/>
      <c r="M589" s="1492"/>
      <c r="N589" s="1492"/>
      <c r="O589" s="399"/>
      <c r="P589" s="18"/>
      <c r="R589" s="17"/>
    </row>
    <row r="590" spans="4:18" ht="28" customHeight="1">
      <c r="D590" s="557"/>
      <c r="E590" s="557"/>
      <c r="F590" s="1495"/>
      <c r="G590" s="1495"/>
      <c r="H590" s="1495"/>
      <c r="I590" s="1492"/>
      <c r="J590" s="1492"/>
      <c r="K590" s="1492"/>
      <c r="L590" s="1492"/>
      <c r="M590" s="1492"/>
      <c r="N590" s="1492"/>
      <c r="O590" s="399"/>
      <c r="P590" s="18"/>
      <c r="R590" s="17"/>
    </row>
    <row r="591" spans="4:18" ht="28" customHeight="1">
      <c r="D591" s="557"/>
      <c r="E591" s="557"/>
      <c r="F591" s="1495"/>
      <c r="G591" s="1495"/>
      <c r="H591" s="1495"/>
      <c r="I591" s="1492"/>
      <c r="J591" s="1492"/>
      <c r="K591" s="1492"/>
      <c r="L591" s="1492"/>
      <c r="M591" s="1492"/>
      <c r="N591" s="1492"/>
      <c r="O591" s="399"/>
      <c r="P591" s="18"/>
      <c r="R591" s="17"/>
    </row>
    <row r="592" spans="4:18" ht="28" customHeight="1">
      <c r="D592" s="557"/>
      <c r="E592" s="557"/>
      <c r="F592" s="1495"/>
      <c r="G592" s="1495"/>
      <c r="H592" s="1495"/>
      <c r="I592" s="1492"/>
      <c r="J592" s="1492"/>
      <c r="K592" s="1492"/>
      <c r="L592" s="1492"/>
      <c r="M592" s="1492"/>
      <c r="N592" s="1492"/>
      <c r="O592" s="399"/>
      <c r="P592" s="18"/>
      <c r="R592" s="17"/>
    </row>
    <row r="593" spans="1:40" ht="28" customHeight="1">
      <c r="C593" s="1493"/>
      <c r="D593" s="1493"/>
      <c r="E593" s="1493"/>
      <c r="F593" s="1493"/>
      <c r="G593" s="1493"/>
      <c r="H593" s="1493"/>
      <c r="I593" s="1494"/>
      <c r="J593" s="1494"/>
      <c r="K593" s="1494"/>
      <c r="L593" s="1494"/>
      <c r="M593" s="1494"/>
      <c r="N593" s="1494"/>
      <c r="O593" s="1494"/>
      <c r="P593" s="491"/>
      <c r="R593" s="17"/>
    </row>
    <row r="594" spans="1:40" ht="18.75" customHeight="1">
      <c r="C594" s="1493"/>
      <c r="D594" s="1493"/>
      <c r="E594" s="1493"/>
      <c r="F594" s="1493"/>
      <c r="G594" s="1493"/>
      <c r="H594" s="1493"/>
      <c r="I594" s="1494"/>
      <c r="J594" s="1494"/>
      <c r="K594" s="1494"/>
      <c r="L594" s="1494"/>
      <c r="M594" s="1494"/>
      <c r="N594" s="1494"/>
      <c r="O594" s="1494"/>
      <c r="P594" s="491"/>
    </row>
    <row r="595" spans="1:40" ht="24" customHeight="1">
      <c r="C595" s="1489"/>
      <c r="D595" s="1489"/>
      <c r="E595" s="1489"/>
      <c r="F595" s="1489"/>
      <c r="G595" s="1489"/>
      <c r="H595" s="1489"/>
      <c r="I595" s="1489"/>
      <c r="J595" s="1489"/>
      <c r="K595" s="1490"/>
      <c r="L595" s="1490"/>
      <c r="M595" s="1490"/>
      <c r="N595" s="1490"/>
      <c r="O595" s="1490"/>
      <c r="P595" s="589"/>
    </row>
    <row r="596" spans="1:40" ht="15" customHeight="1">
      <c r="C596" s="1489"/>
      <c r="D596" s="1489"/>
      <c r="E596" s="1489"/>
      <c r="F596" s="1489"/>
      <c r="G596" s="1489"/>
      <c r="H596" s="1489"/>
      <c r="I596" s="1489"/>
      <c r="J596" s="1489"/>
      <c r="K596" s="1491"/>
      <c r="L596" s="1491"/>
      <c r="M596" s="1491"/>
      <c r="N596" s="1491"/>
      <c r="O596" s="1491"/>
      <c r="P596" s="590"/>
    </row>
    <row r="597" spans="1:40" ht="18" customHeight="1"/>
    <row r="604" spans="1:40" s="591" customFormat="1">
      <c r="A604" s="11"/>
      <c r="B604" s="523"/>
      <c r="C604" s="523"/>
      <c r="D604" s="523"/>
      <c r="E604" s="523"/>
      <c r="F604" s="523"/>
      <c r="G604" s="523"/>
      <c r="H604" s="523"/>
      <c r="I604" s="523"/>
      <c r="J604" s="578"/>
      <c r="K604" s="523"/>
      <c r="L604" s="523"/>
      <c r="M604" s="523"/>
      <c r="N604" s="523"/>
      <c r="O604" s="523" t="s">
        <v>16</v>
      </c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  <c r="AB604" s="11"/>
      <c r="AC604" s="11"/>
      <c r="AD604" s="11"/>
      <c r="AE604" s="11"/>
      <c r="AF604" s="11"/>
      <c r="AG604" s="11"/>
      <c r="AH604" s="11"/>
      <c r="AI604" s="11"/>
      <c r="AJ604" s="11"/>
      <c r="AK604" s="11"/>
      <c r="AL604" s="11"/>
      <c r="AM604" s="11"/>
      <c r="AN604" s="11"/>
    </row>
  </sheetData>
  <mergeCells count="1291">
    <mergeCell ref="A1:P1"/>
    <mergeCell ref="A2:P2"/>
    <mergeCell ref="A3:P3"/>
    <mergeCell ref="A4:A9"/>
    <mergeCell ref="B4:B9"/>
    <mergeCell ref="C4:E5"/>
    <mergeCell ref="F4:H5"/>
    <mergeCell ref="I4:K5"/>
    <mergeCell ref="L4:N5"/>
    <mergeCell ref="O4:O9"/>
    <mergeCell ref="P4:P9"/>
    <mergeCell ref="C6:E6"/>
    <mergeCell ref="F6:H6"/>
    <mergeCell ref="I6:K6"/>
    <mergeCell ref="L6:N6"/>
    <mergeCell ref="C7:C8"/>
    <mergeCell ref="D7:D8"/>
    <mergeCell ref="E7:E8"/>
    <mergeCell ref="F7:F8"/>
    <mergeCell ref="G7:G8"/>
    <mergeCell ref="H7:H8"/>
    <mergeCell ref="I7:I8"/>
    <mergeCell ref="J7:J8"/>
    <mergeCell ref="L33:N33"/>
    <mergeCell ref="C34:C35"/>
    <mergeCell ref="D34:D35"/>
    <mergeCell ref="E34:E35"/>
    <mergeCell ref="F34:F35"/>
    <mergeCell ref="G34:G35"/>
    <mergeCell ref="H34:H35"/>
    <mergeCell ref="I34:I35"/>
    <mergeCell ref="J34:J35"/>
    <mergeCell ref="K34:K35"/>
    <mergeCell ref="L34:L35"/>
    <mergeCell ref="M34:M35"/>
    <mergeCell ref="N34:N35"/>
    <mergeCell ref="A56:B57"/>
    <mergeCell ref="O56:P56"/>
    <mergeCell ref="L57:P57"/>
    <mergeCell ref="A29:B30"/>
    <mergeCell ref="O29:P29"/>
    <mergeCell ref="L30:P30"/>
    <mergeCell ref="A31:A36"/>
    <mergeCell ref="B31:B36"/>
    <mergeCell ref="C31:E32"/>
    <mergeCell ref="F31:H32"/>
    <mergeCell ref="I31:K32"/>
    <mergeCell ref="L31:N32"/>
    <mergeCell ref="B58:B63"/>
    <mergeCell ref="C58:E59"/>
    <mergeCell ref="F58:H59"/>
    <mergeCell ref="D61:D62"/>
    <mergeCell ref="E61:E62"/>
    <mergeCell ref="K88:K89"/>
    <mergeCell ref="L88:L89"/>
    <mergeCell ref="M88:M89"/>
    <mergeCell ref="N88:N89"/>
    <mergeCell ref="D88:D89"/>
    <mergeCell ref="E88:E89"/>
    <mergeCell ref="F88:F89"/>
    <mergeCell ref="J61:J62"/>
    <mergeCell ref="K61:K62"/>
    <mergeCell ref="L58:N59"/>
    <mergeCell ref="O58:O63"/>
    <mergeCell ref="K7:K8"/>
    <mergeCell ref="L7:L8"/>
    <mergeCell ref="M7:M8"/>
    <mergeCell ref="N7:N8"/>
    <mergeCell ref="A83:B84"/>
    <mergeCell ref="O83:P83"/>
    <mergeCell ref="L84:P84"/>
    <mergeCell ref="F61:F62"/>
    <mergeCell ref="G61:G62"/>
    <mergeCell ref="H61:H62"/>
    <mergeCell ref="I61:I62"/>
    <mergeCell ref="O31:O36"/>
    <mergeCell ref="P31:P36"/>
    <mergeCell ref="C33:E33"/>
    <mergeCell ref="F33:H33"/>
    <mergeCell ref="I33:K33"/>
    <mergeCell ref="P58:P63"/>
    <mergeCell ref="C60:E60"/>
    <mergeCell ref="F60:H60"/>
    <mergeCell ref="I60:K60"/>
    <mergeCell ref="L60:N60"/>
    <mergeCell ref="C61:C62"/>
    <mergeCell ref="L61:L62"/>
    <mergeCell ref="M61:M62"/>
    <mergeCell ref="N61:N62"/>
    <mergeCell ref="I58:K59"/>
    <mergeCell ref="C116:E116"/>
    <mergeCell ref="A85:A90"/>
    <mergeCell ref="B85:B90"/>
    <mergeCell ref="C85:E86"/>
    <mergeCell ref="F85:H86"/>
    <mergeCell ref="I85:K86"/>
    <mergeCell ref="L85:N86"/>
    <mergeCell ref="G88:G89"/>
    <mergeCell ref="H88:H89"/>
    <mergeCell ref="I88:I89"/>
    <mergeCell ref="J88:J89"/>
    <mergeCell ref="A112:B113"/>
    <mergeCell ref="O112:P112"/>
    <mergeCell ref="L113:P113"/>
    <mergeCell ref="O85:O90"/>
    <mergeCell ref="P85:P90"/>
    <mergeCell ref="C87:E87"/>
    <mergeCell ref="F87:H87"/>
    <mergeCell ref="I87:K87"/>
    <mergeCell ref="L87:N87"/>
    <mergeCell ref="C88:C89"/>
    <mergeCell ref="A58:A63"/>
    <mergeCell ref="A165:B166"/>
    <mergeCell ref="O165:P165"/>
    <mergeCell ref="L166:P166"/>
    <mergeCell ref="O140:O145"/>
    <mergeCell ref="P140:P145"/>
    <mergeCell ref="C142:E142"/>
    <mergeCell ref="A114:A119"/>
    <mergeCell ref="B114:B119"/>
    <mergeCell ref="C114:E115"/>
    <mergeCell ref="F114:H115"/>
    <mergeCell ref="I114:K115"/>
    <mergeCell ref="L114:N115"/>
    <mergeCell ref="G117:G118"/>
    <mergeCell ref="H117:H118"/>
    <mergeCell ref="I117:I118"/>
    <mergeCell ref="J117:J118"/>
    <mergeCell ref="F116:H116"/>
    <mergeCell ref="I116:K116"/>
    <mergeCell ref="L116:N116"/>
    <mergeCell ref="C117:C118"/>
    <mergeCell ref="D117:D118"/>
    <mergeCell ref="E117:E118"/>
    <mergeCell ref="F117:F118"/>
    <mergeCell ref="K117:K118"/>
    <mergeCell ref="L117:L118"/>
    <mergeCell ref="M117:M118"/>
    <mergeCell ref="N117:N118"/>
    <mergeCell ref="A138:B139"/>
    <mergeCell ref="O138:P138"/>
    <mergeCell ref="L139:P139"/>
    <mergeCell ref="O114:O119"/>
    <mergeCell ref="P114:P119"/>
    <mergeCell ref="A140:A145"/>
    <mergeCell ref="B140:B145"/>
    <mergeCell ref="C140:E141"/>
    <mergeCell ref="F140:H141"/>
    <mergeCell ref="I140:K141"/>
    <mergeCell ref="L140:N141"/>
    <mergeCell ref="G143:G144"/>
    <mergeCell ref="H143:H144"/>
    <mergeCell ref="I143:I144"/>
    <mergeCell ref="J143:J144"/>
    <mergeCell ref="F142:H142"/>
    <mergeCell ref="I142:K142"/>
    <mergeCell ref="L142:N142"/>
    <mergeCell ref="C143:C144"/>
    <mergeCell ref="D143:D144"/>
    <mergeCell ref="E143:E144"/>
    <mergeCell ref="F143:F144"/>
    <mergeCell ref="K143:K144"/>
    <mergeCell ref="L143:L144"/>
    <mergeCell ref="M143:M144"/>
    <mergeCell ref="N143:N144"/>
    <mergeCell ref="A167:A171"/>
    <mergeCell ref="B167:B171"/>
    <mergeCell ref="C167:E168"/>
    <mergeCell ref="F167:H168"/>
    <mergeCell ref="I167:K168"/>
    <mergeCell ref="L167:N168"/>
    <mergeCell ref="O167:O171"/>
    <mergeCell ref="P167:P171"/>
    <mergeCell ref="C169:E169"/>
    <mergeCell ref="F169:H169"/>
    <mergeCell ref="I169:K169"/>
    <mergeCell ref="L169:N169"/>
    <mergeCell ref="A192:B193"/>
    <mergeCell ref="O192:P192"/>
    <mergeCell ref="L193:P193"/>
    <mergeCell ref="A194:A199"/>
    <mergeCell ref="B194:B199"/>
    <mergeCell ref="C194:E195"/>
    <mergeCell ref="F194:H195"/>
    <mergeCell ref="I194:K195"/>
    <mergeCell ref="L194:N195"/>
    <mergeCell ref="O194:O199"/>
    <mergeCell ref="A246:B247"/>
    <mergeCell ref="O246:P246"/>
    <mergeCell ref="L247:P247"/>
    <mergeCell ref="A248:A252"/>
    <mergeCell ref="B248:B252"/>
    <mergeCell ref="C248:E249"/>
    <mergeCell ref="F248:H249"/>
    <mergeCell ref="I248:K249"/>
    <mergeCell ref="P194:P199"/>
    <mergeCell ref="C196:E196"/>
    <mergeCell ref="F196:H196"/>
    <mergeCell ref="I196:K196"/>
    <mergeCell ref="L196:N196"/>
    <mergeCell ref="C197:C198"/>
    <mergeCell ref="D197:D198"/>
    <mergeCell ref="E197:E198"/>
    <mergeCell ref="F197:F198"/>
    <mergeCell ref="G197:G198"/>
    <mergeCell ref="H197:H198"/>
    <mergeCell ref="I197:I198"/>
    <mergeCell ref="J197:J198"/>
    <mergeCell ref="K197:K198"/>
    <mergeCell ref="L197:L198"/>
    <mergeCell ref="M197:M198"/>
    <mergeCell ref="N197:N198"/>
    <mergeCell ref="A220:B221"/>
    <mergeCell ref="O220:P220"/>
    <mergeCell ref="L221:P221"/>
    <mergeCell ref="A222:A227"/>
    <mergeCell ref="B222:B227"/>
    <mergeCell ref="C222:E223"/>
    <mergeCell ref="F222:H223"/>
    <mergeCell ref="I276:K276"/>
    <mergeCell ref="L276:N276"/>
    <mergeCell ref="C277:C278"/>
    <mergeCell ref="O222:O227"/>
    <mergeCell ref="P222:P227"/>
    <mergeCell ref="C224:E224"/>
    <mergeCell ref="F224:H224"/>
    <mergeCell ref="I224:K224"/>
    <mergeCell ref="L224:N224"/>
    <mergeCell ref="C225:C226"/>
    <mergeCell ref="D225:D226"/>
    <mergeCell ref="E225:E226"/>
    <mergeCell ref="F225:F226"/>
    <mergeCell ref="G225:G226"/>
    <mergeCell ref="H225:H226"/>
    <mergeCell ref="I225:I226"/>
    <mergeCell ref="J225:J226"/>
    <mergeCell ref="K225:K226"/>
    <mergeCell ref="L225:L226"/>
    <mergeCell ref="M225:M226"/>
    <mergeCell ref="N225:N226"/>
    <mergeCell ref="I222:K223"/>
    <mergeCell ref="L222:N223"/>
    <mergeCell ref="D277:D278"/>
    <mergeCell ref="E277:E278"/>
    <mergeCell ref="F277:F278"/>
    <mergeCell ref="G277:G278"/>
    <mergeCell ref="H277:H278"/>
    <mergeCell ref="I277:I278"/>
    <mergeCell ref="J277:J278"/>
    <mergeCell ref="K277:K278"/>
    <mergeCell ref="L277:L278"/>
    <mergeCell ref="A319:B320"/>
    <mergeCell ref="O319:P319"/>
    <mergeCell ref="A321:A326"/>
    <mergeCell ref="A297:B298"/>
    <mergeCell ref="O297:P297"/>
    <mergeCell ref="L298:P298"/>
    <mergeCell ref="A299:A304"/>
    <mergeCell ref="B299:B304"/>
    <mergeCell ref="C299:E300"/>
    <mergeCell ref="F299:H300"/>
    <mergeCell ref="I299:K300"/>
    <mergeCell ref="L299:N300"/>
    <mergeCell ref="L248:N249"/>
    <mergeCell ref="O248:O252"/>
    <mergeCell ref="P248:P252"/>
    <mergeCell ref="C250:E250"/>
    <mergeCell ref="F250:H250"/>
    <mergeCell ref="I250:K250"/>
    <mergeCell ref="L250:N250"/>
    <mergeCell ref="A272:B273"/>
    <mergeCell ref="O272:P272"/>
    <mergeCell ref="L273:P273"/>
    <mergeCell ref="A274:A279"/>
    <mergeCell ref="B274:B279"/>
    <mergeCell ref="C274:E275"/>
    <mergeCell ref="F274:H275"/>
    <mergeCell ref="I274:K275"/>
    <mergeCell ref="L274:N275"/>
    <mergeCell ref="O274:O279"/>
    <mergeCell ref="P274:P279"/>
    <mergeCell ref="C276:E276"/>
    <mergeCell ref="F276:H276"/>
    <mergeCell ref="O299:O304"/>
    <mergeCell ref="P299:P304"/>
    <mergeCell ref="C301:E301"/>
    <mergeCell ref="F301:H301"/>
    <mergeCell ref="I301:K301"/>
    <mergeCell ref="L301:N301"/>
    <mergeCell ref="C302:C303"/>
    <mergeCell ref="D302:D303"/>
    <mergeCell ref="E302:E303"/>
    <mergeCell ref="F302:F303"/>
    <mergeCell ref="G302:G303"/>
    <mergeCell ref="H302:H303"/>
    <mergeCell ref="I302:I303"/>
    <mergeCell ref="J302:J303"/>
    <mergeCell ref="H324:H325"/>
    <mergeCell ref="I324:I325"/>
    <mergeCell ref="J324:J325"/>
    <mergeCell ref="K324:K325"/>
    <mergeCell ref="L324:L325"/>
    <mergeCell ref="M324:M325"/>
    <mergeCell ref="N324:N325"/>
    <mergeCell ref="I321:K322"/>
    <mergeCell ref="M277:M278"/>
    <mergeCell ref="N277:N278"/>
    <mergeCell ref="F361:F362"/>
    <mergeCell ref="G361:G362"/>
    <mergeCell ref="H361:H362"/>
    <mergeCell ref="I361:I362"/>
    <mergeCell ref="J361:J362"/>
    <mergeCell ref="K361:K362"/>
    <mergeCell ref="L361:L362"/>
    <mergeCell ref="M361:M362"/>
    <mergeCell ref="N361:N362"/>
    <mergeCell ref="K302:K303"/>
    <mergeCell ref="L302:L303"/>
    <mergeCell ref="M302:M303"/>
    <mergeCell ref="N302:N303"/>
    <mergeCell ref="L320:P320"/>
    <mergeCell ref="F357:F358"/>
    <mergeCell ref="G357:G358"/>
    <mergeCell ref="H357:H358"/>
    <mergeCell ref="I357:I358"/>
    <mergeCell ref="J357:J358"/>
    <mergeCell ref="K357:K358"/>
    <mergeCell ref="L357:L358"/>
    <mergeCell ref="M357:M358"/>
    <mergeCell ref="N357:N358"/>
    <mergeCell ref="F359:F360"/>
    <mergeCell ref="G359:G360"/>
    <mergeCell ref="H359:H360"/>
    <mergeCell ref="I359:I360"/>
    <mergeCell ref="J359:J360"/>
    <mergeCell ref="K359:K360"/>
    <mergeCell ref="L359:L360"/>
    <mergeCell ref="B321:B326"/>
    <mergeCell ref="C321:E322"/>
    <mergeCell ref="F321:H322"/>
    <mergeCell ref="L321:N322"/>
    <mergeCell ref="O321:O326"/>
    <mergeCell ref="P321:P326"/>
    <mergeCell ref="C323:E323"/>
    <mergeCell ref="F323:H323"/>
    <mergeCell ref="I323:K323"/>
    <mergeCell ref="L323:N323"/>
    <mergeCell ref="C324:C325"/>
    <mergeCell ref="D324:D325"/>
    <mergeCell ref="E324:E325"/>
    <mergeCell ref="F324:F325"/>
    <mergeCell ref="G324:G325"/>
    <mergeCell ref="K355:K356"/>
    <mergeCell ref="L355:L356"/>
    <mergeCell ref="M355:M356"/>
    <mergeCell ref="N355:N356"/>
    <mergeCell ref="A336:I336"/>
    <mergeCell ref="J336:P336"/>
    <mergeCell ref="F355:F356"/>
    <mergeCell ref="G355:G356"/>
    <mergeCell ref="H355:H356"/>
    <mergeCell ref="I355:I356"/>
    <mergeCell ref="J355:J356"/>
    <mergeCell ref="M359:M360"/>
    <mergeCell ref="N359:N360"/>
    <mergeCell ref="F363:F364"/>
    <mergeCell ref="G363:G364"/>
    <mergeCell ref="H363:H364"/>
    <mergeCell ref="I363:I364"/>
    <mergeCell ref="J363:J364"/>
    <mergeCell ref="K363:K364"/>
    <mergeCell ref="L363:L364"/>
    <mergeCell ref="M363:M364"/>
    <mergeCell ref="N363:N364"/>
    <mergeCell ref="M365:M366"/>
    <mergeCell ref="N365:N366"/>
    <mergeCell ref="F367:F368"/>
    <mergeCell ref="G367:G368"/>
    <mergeCell ref="H367:H368"/>
    <mergeCell ref="I367:I368"/>
    <mergeCell ref="J367:J368"/>
    <mergeCell ref="K367:K368"/>
    <mergeCell ref="L367:L368"/>
    <mergeCell ref="M367:M368"/>
    <mergeCell ref="N367:N368"/>
    <mergeCell ref="O377:O380"/>
    <mergeCell ref="F381:F382"/>
    <mergeCell ref="G381:G382"/>
    <mergeCell ref="H381:H382"/>
    <mergeCell ref="I381:I382"/>
    <mergeCell ref="L385:L386"/>
    <mergeCell ref="M385:M386"/>
    <mergeCell ref="F383:F384"/>
    <mergeCell ref="G383:G384"/>
    <mergeCell ref="H383:H384"/>
    <mergeCell ref="I383:I384"/>
    <mergeCell ref="J383:J384"/>
    <mergeCell ref="J373:J374"/>
    <mergeCell ref="K373:K374"/>
    <mergeCell ref="N369:N370"/>
    <mergeCell ref="F371:F372"/>
    <mergeCell ref="G371:G372"/>
    <mergeCell ref="H371:H372"/>
    <mergeCell ref="I371:I372"/>
    <mergeCell ref="J371:J372"/>
    <mergeCell ref="K371:K372"/>
    <mergeCell ref="L371:L372"/>
    <mergeCell ref="L373:L374"/>
    <mergeCell ref="C377:H377"/>
    <mergeCell ref="I377:K377"/>
    <mergeCell ref="L377:N377"/>
    <mergeCell ref="F369:F370"/>
    <mergeCell ref="G369:G370"/>
    <mergeCell ref="J381:J382"/>
    <mergeCell ref="K381:K382"/>
    <mergeCell ref="M383:M384"/>
    <mergeCell ref="N383:N384"/>
    <mergeCell ref="J369:J370"/>
    <mergeCell ref="K369:K370"/>
    <mergeCell ref="L369:L370"/>
    <mergeCell ref="M369:M370"/>
    <mergeCell ref="F365:F366"/>
    <mergeCell ref="G365:G366"/>
    <mergeCell ref="H365:H366"/>
    <mergeCell ref="I365:I366"/>
    <mergeCell ref="J365:J366"/>
    <mergeCell ref="K365:K366"/>
    <mergeCell ref="L365:L366"/>
    <mergeCell ref="M371:M372"/>
    <mergeCell ref="N371:N372"/>
    <mergeCell ref="L381:L382"/>
    <mergeCell ref="M381:M382"/>
    <mergeCell ref="N381:N382"/>
    <mergeCell ref="H369:H370"/>
    <mergeCell ref="I369:I370"/>
    <mergeCell ref="M391:M392"/>
    <mergeCell ref="N391:N392"/>
    <mergeCell ref="I385:I386"/>
    <mergeCell ref="J385:J386"/>
    <mergeCell ref="K385:K386"/>
    <mergeCell ref="K391:K392"/>
    <mergeCell ref="L391:L392"/>
    <mergeCell ref="F389:F390"/>
    <mergeCell ref="G389:G390"/>
    <mergeCell ref="H389:H390"/>
    <mergeCell ref="I389:I390"/>
    <mergeCell ref="J389:J390"/>
    <mergeCell ref="K389:K390"/>
    <mergeCell ref="G391:G392"/>
    <mergeCell ref="H391:H392"/>
    <mergeCell ref="I391:I392"/>
    <mergeCell ref="J391:J392"/>
    <mergeCell ref="N387:N388"/>
    <mergeCell ref="F385:F386"/>
    <mergeCell ref="G393:G394"/>
    <mergeCell ref="H393:H394"/>
    <mergeCell ref="I393:I394"/>
    <mergeCell ref="J393:J394"/>
    <mergeCell ref="K393:K394"/>
    <mergeCell ref="M373:M374"/>
    <mergeCell ref="N373:N374"/>
    <mergeCell ref="C375:I376"/>
    <mergeCell ref="J375:O375"/>
    <mergeCell ref="J376:O376"/>
    <mergeCell ref="F373:F374"/>
    <mergeCell ref="G373:G374"/>
    <mergeCell ref="H373:H374"/>
    <mergeCell ref="I373:I374"/>
    <mergeCell ref="M393:M394"/>
    <mergeCell ref="L389:L390"/>
    <mergeCell ref="M389:M390"/>
    <mergeCell ref="N389:N390"/>
    <mergeCell ref="F391:F392"/>
    <mergeCell ref="N385:N386"/>
    <mergeCell ref="F387:F388"/>
    <mergeCell ref="G387:G388"/>
    <mergeCell ref="H387:H388"/>
    <mergeCell ref="I387:I388"/>
    <mergeCell ref="J387:J388"/>
    <mergeCell ref="K387:K388"/>
    <mergeCell ref="L387:L388"/>
    <mergeCell ref="K383:K384"/>
    <mergeCell ref="L383:L384"/>
    <mergeCell ref="G385:G386"/>
    <mergeCell ref="H385:H386"/>
    <mergeCell ref="M387:M388"/>
    <mergeCell ref="L393:L394"/>
    <mergeCell ref="M399:M400"/>
    <mergeCell ref="N399:N400"/>
    <mergeCell ref="F401:F402"/>
    <mergeCell ref="G401:G402"/>
    <mergeCell ref="H401:H402"/>
    <mergeCell ref="I401:I402"/>
    <mergeCell ref="J401:J402"/>
    <mergeCell ref="K401:K402"/>
    <mergeCell ref="L401:L402"/>
    <mergeCell ref="M401:M402"/>
    <mergeCell ref="N401:N402"/>
    <mergeCell ref="N393:N394"/>
    <mergeCell ref="F395:F396"/>
    <mergeCell ref="G395:G396"/>
    <mergeCell ref="H395:H396"/>
    <mergeCell ref="I395:I396"/>
    <mergeCell ref="J395:J396"/>
    <mergeCell ref="K395:K396"/>
    <mergeCell ref="L395:L396"/>
    <mergeCell ref="M395:M396"/>
    <mergeCell ref="N395:N396"/>
    <mergeCell ref="F397:F398"/>
    <mergeCell ref="G397:G398"/>
    <mergeCell ref="H397:H398"/>
    <mergeCell ref="I397:I398"/>
    <mergeCell ref="J397:J398"/>
    <mergeCell ref="K397:K398"/>
    <mergeCell ref="L397:L398"/>
    <mergeCell ref="M397:M398"/>
    <mergeCell ref="N397:N398"/>
    <mergeCell ref="F393:F394"/>
    <mergeCell ref="F403:F404"/>
    <mergeCell ref="G403:G404"/>
    <mergeCell ref="H403:H404"/>
    <mergeCell ref="I403:I404"/>
    <mergeCell ref="J403:J404"/>
    <mergeCell ref="K403:K404"/>
    <mergeCell ref="L403:L404"/>
    <mergeCell ref="M403:M404"/>
    <mergeCell ref="N403:N404"/>
    <mergeCell ref="F399:F400"/>
    <mergeCell ref="G399:G400"/>
    <mergeCell ref="H399:H400"/>
    <mergeCell ref="I399:I400"/>
    <mergeCell ref="J399:J400"/>
    <mergeCell ref="K399:K400"/>
    <mergeCell ref="L399:L400"/>
    <mergeCell ref="F405:F406"/>
    <mergeCell ref="G405:G406"/>
    <mergeCell ref="H405:H406"/>
    <mergeCell ref="I405:I406"/>
    <mergeCell ref="J405:J406"/>
    <mergeCell ref="K405:K406"/>
    <mergeCell ref="L405:L406"/>
    <mergeCell ref="M405:M406"/>
    <mergeCell ref="N405:N406"/>
    <mergeCell ref="F407:F408"/>
    <mergeCell ref="G407:G408"/>
    <mergeCell ref="H407:H408"/>
    <mergeCell ref="I407:I408"/>
    <mergeCell ref="J407:J408"/>
    <mergeCell ref="K407:K408"/>
    <mergeCell ref="L407:L408"/>
    <mergeCell ref="M407:M408"/>
    <mergeCell ref="N407:N408"/>
    <mergeCell ref="N409:N410"/>
    <mergeCell ref="F411:F412"/>
    <mergeCell ref="G411:G412"/>
    <mergeCell ref="H411:H412"/>
    <mergeCell ref="I411:I412"/>
    <mergeCell ref="J411:J412"/>
    <mergeCell ref="K411:K412"/>
    <mergeCell ref="L411:L412"/>
    <mergeCell ref="M411:M412"/>
    <mergeCell ref="N411:N412"/>
    <mergeCell ref="C413:H414"/>
    <mergeCell ref="I413:O413"/>
    <mergeCell ref="I414:O414"/>
    <mergeCell ref="C415:O415"/>
    <mergeCell ref="C416:O416"/>
    <mergeCell ref="C417:O417"/>
    <mergeCell ref="C418:H418"/>
    <mergeCell ref="I418:K418"/>
    <mergeCell ref="L418:N418"/>
    <mergeCell ref="O418:O421"/>
    <mergeCell ref="F409:F410"/>
    <mergeCell ref="G409:G410"/>
    <mergeCell ref="H409:H410"/>
    <mergeCell ref="I409:I410"/>
    <mergeCell ref="J409:J410"/>
    <mergeCell ref="K409:K410"/>
    <mergeCell ref="L409:L410"/>
    <mergeCell ref="M409:M410"/>
    <mergeCell ref="L423:L424"/>
    <mergeCell ref="M423:M424"/>
    <mergeCell ref="N423:N424"/>
    <mergeCell ref="F425:F426"/>
    <mergeCell ref="G425:G426"/>
    <mergeCell ref="H425:H426"/>
    <mergeCell ref="I425:I426"/>
    <mergeCell ref="J425:J426"/>
    <mergeCell ref="K425:K426"/>
    <mergeCell ref="L425:L426"/>
    <mergeCell ref="M425:M426"/>
    <mergeCell ref="N425:N426"/>
    <mergeCell ref="F427:F428"/>
    <mergeCell ref="G427:G428"/>
    <mergeCell ref="H427:H428"/>
    <mergeCell ref="I427:I428"/>
    <mergeCell ref="J427:J428"/>
    <mergeCell ref="K427:K428"/>
    <mergeCell ref="L427:L428"/>
    <mergeCell ref="M427:M428"/>
    <mergeCell ref="F423:F424"/>
    <mergeCell ref="G423:G424"/>
    <mergeCell ref="H423:H424"/>
    <mergeCell ref="I423:I424"/>
    <mergeCell ref="J423:J424"/>
    <mergeCell ref="K423:K424"/>
    <mergeCell ref="N427:N428"/>
    <mergeCell ref="F429:F430"/>
    <mergeCell ref="G429:G430"/>
    <mergeCell ref="H429:H430"/>
    <mergeCell ref="I429:I430"/>
    <mergeCell ref="J429:J430"/>
    <mergeCell ref="K429:K430"/>
    <mergeCell ref="L429:L430"/>
    <mergeCell ref="M429:M430"/>
    <mergeCell ref="N429:N430"/>
    <mergeCell ref="F431:F432"/>
    <mergeCell ref="G431:G432"/>
    <mergeCell ref="H431:H432"/>
    <mergeCell ref="I431:I432"/>
    <mergeCell ref="J431:J432"/>
    <mergeCell ref="K431:K432"/>
    <mergeCell ref="L431:L432"/>
    <mergeCell ref="M431:M432"/>
    <mergeCell ref="N431:N432"/>
    <mergeCell ref="M433:M434"/>
    <mergeCell ref="N433:N434"/>
    <mergeCell ref="F435:F436"/>
    <mergeCell ref="G435:G436"/>
    <mergeCell ref="H435:H436"/>
    <mergeCell ref="I435:I436"/>
    <mergeCell ref="J435:J436"/>
    <mergeCell ref="K435:K436"/>
    <mergeCell ref="L435:L436"/>
    <mergeCell ref="M435:M436"/>
    <mergeCell ref="N435:N436"/>
    <mergeCell ref="F437:F438"/>
    <mergeCell ref="G437:G438"/>
    <mergeCell ref="H437:H438"/>
    <mergeCell ref="I437:I438"/>
    <mergeCell ref="J437:J438"/>
    <mergeCell ref="K437:K438"/>
    <mergeCell ref="L437:L438"/>
    <mergeCell ref="M437:M438"/>
    <mergeCell ref="N437:N438"/>
    <mergeCell ref="F433:F434"/>
    <mergeCell ref="G433:G434"/>
    <mergeCell ref="H433:H434"/>
    <mergeCell ref="I433:I434"/>
    <mergeCell ref="J433:J434"/>
    <mergeCell ref="K433:K434"/>
    <mergeCell ref="L433:L434"/>
    <mergeCell ref="F439:F440"/>
    <mergeCell ref="G439:G440"/>
    <mergeCell ref="H439:H440"/>
    <mergeCell ref="I439:I440"/>
    <mergeCell ref="J439:J440"/>
    <mergeCell ref="K439:K440"/>
    <mergeCell ref="L439:L440"/>
    <mergeCell ref="M439:M440"/>
    <mergeCell ref="N439:N440"/>
    <mergeCell ref="F441:F442"/>
    <mergeCell ref="G441:G442"/>
    <mergeCell ref="H441:H442"/>
    <mergeCell ref="I441:I442"/>
    <mergeCell ref="J441:J442"/>
    <mergeCell ref="K441:K442"/>
    <mergeCell ref="L441:L442"/>
    <mergeCell ref="M441:M442"/>
    <mergeCell ref="N441:N442"/>
    <mergeCell ref="N443:N444"/>
    <mergeCell ref="F445:F446"/>
    <mergeCell ref="G445:G446"/>
    <mergeCell ref="H445:H446"/>
    <mergeCell ref="I445:I446"/>
    <mergeCell ref="J445:J446"/>
    <mergeCell ref="K445:K446"/>
    <mergeCell ref="L445:L446"/>
    <mergeCell ref="M445:M446"/>
    <mergeCell ref="N445:N446"/>
    <mergeCell ref="F447:F448"/>
    <mergeCell ref="G447:G448"/>
    <mergeCell ref="H447:H448"/>
    <mergeCell ref="I447:I448"/>
    <mergeCell ref="J447:J448"/>
    <mergeCell ref="K447:K448"/>
    <mergeCell ref="L447:L448"/>
    <mergeCell ref="M447:M448"/>
    <mergeCell ref="N447:N448"/>
    <mergeCell ref="F443:F444"/>
    <mergeCell ref="G443:G444"/>
    <mergeCell ref="H443:H444"/>
    <mergeCell ref="I443:I444"/>
    <mergeCell ref="J443:J444"/>
    <mergeCell ref="K443:K444"/>
    <mergeCell ref="L443:L444"/>
    <mergeCell ref="M443:M444"/>
    <mergeCell ref="M449:M450"/>
    <mergeCell ref="N449:N450"/>
    <mergeCell ref="F451:F452"/>
    <mergeCell ref="G451:G452"/>
    <mergeCell ref="H451:H452"/>
    <mergeCell ref="I451:I452"/>
    <mergeCell ref="J451:J452"/>
    <mergeCell ref="K451:K452"/>
    <mergeCell ref="L451:L452"/>
    <mergeCell ref="M451:M452"/>
    <mergeCell ref="N451:N452"/>
    <mergeCell ref="F453:F454"/>
    <mergeCell ref="G453:G454"/>
    <mergeCell ref="H453:H454"/>
    <mergeCell ref="I453:I454"/>
    <mergeCell ref="J453:J454"/>
    <mergeCell ref="K453:K454"/>
    <mergeCell ref="L453:L454"/>
    <mergeCell ref="M453:M454"/>
    <mergeCell ref="N453:N454"/>
    <mergeCell ref="F449:F450"/>
    <mergeCell ref="G449:G450"/>
    <mergeCell ref="H449:H450"/>
    <mergeCell ref="I449:I450"/>
    <mergeCell ref="J449:J450"/>
    <mergeCell ref="K449:K450"/>
    <mergeCell ref="L449:L450"/>
    <mergeCell ref="F455:F456"/>
    <mergeCell ref="G455:G456"/>
    <mergeCell ref="H455:H456"/>
    <mergeCell ref="I455:I456"/>
    <mergeCell ref="J455:J456"/>
    <mergeCell ref="K455:K456"/>
    <mergeCell ref="L455:L456"/>
    <mergeCell ref="M455:M456"/>
    <mergeCell ref="N455:N456"/>
    <mergeCell ref="F457:F458"/>
    <mergeCell ref="G457:G458"/>
    <mergeCell ref="H457:H458"/>
    <mergeCell ref="I457:I458"/>
    <mergeCell ref="J457:J458"/>
    <mergeCell ref="K457:K458"/>
    <mergeCell ref="L457:L458"/>
    <mergeCell ref="M457:M458"/>
    <mergeCell ref="N457:N458"/>
    <mergeCell ref="N459:N460"/>
    <mergeCell ref="F461:F462"/>
    <mergeCell ref="G461:G462"/>
    <mergeCell ref="H461:H462"/>
    <mergeCell ref="I461:I462"/>
    <mergeCell ref="J461:J462"/>
    <mergeCell ref="K461:K462"/>
    <mergeCell ref="L461:L462"/>
    <mergeCell ref="M461:M462"/>
    <mergeCell ref="N461:N462"/>
    <mergeCell ref="C463:J464"/>
    <mergeCell ref="K463:O463"/>
    <mergeCell ref="K464:O464"/>
    <mergeCell ref="C465:H465"/>
    <mergeCell ref="I465:K465"/>
    <mergeCell ref="L465:N465"/>
    <mergeCell ref="O465:O468"/>
    <mergeCell ref="F459:F460"/>
    <mergeCell ref="G459:G460"/>
    <mergeCell ref="H459:H460"/>
    <mergeCell ref="I459:I460"/>
    <mergeCell ref="J459:J460"/>
    <mergeCell ref="K459:K460"/>
    <mergeCell ref="L459:L460"/>
    <mergeCell ref="M459:M460"/>
    <mergeCell ref="F469:F470"/>
    <mergeCell ref="G469:G470"/>
    <mergeCell ref="H469:H470"/>
    <mergeCell ref="I469:I470"/>
    <mergeCell ref="J469:J470"/>
    <mergeCell ref="K469:K470"/>
    <mergeCell ref="L469:L470"/>
    <mergeCell ref="M469:M470"/>
    <mergeCell ref="N469:N470"/>
    <mergeCell ref="F471:F472"/>
    <mergeCell ref="G471:G472"/>
    <mergeCell ref="H471:H472"/>
    <mergeCell ref="I471:I472"/>
    <mergeCell ref="J471:J472"/>
    <mergeCell ref="K471:K472"/>
    <mergeCell ref="L471:L472"/>
    <mergeCell ref="M471:M472"/>
    <mergeCell ref="N471:N472"/>
    <mergeCell ref="N473:N474"/>
    <mergeCell ref="F475:F476"/>
    <mergeCell ref="G475:G476"/>
    <mergeCell ref="H475:H476"/>
    <mergeCell ref="I475:I476"/>
    <mergeCell ref="J475:J476"/>
    <mergeCell ref="K475:K476"/>
    <mergeCell ref="L475:L476"/>
    <mergeCell ref="M475:M476"/>
    <mergeCell ref="N475:N476"/>
    <mergeCell ref="F477:F478"/>
    <mergeCell ref="G477:G478"/>
    <mergeCell ref="H477:H478"/>
    <mergeCell ref="I477:I478"/>
    <mergeCell ref="J477:J478"/>
    <mergeCell ref="K477:K478"/>
    <mergeCell ref="L477:L478"/>
    <mergeCell ref="M477:M478"/>
    <mergeCell ref="N477:N478"/>
    <mergeCell ref="F473:F474"/>
    <mergeCell ref="G473:G474"/>
    <mergeCell ref="H473:H474"/>
    <mergeCell ref="I473:I474"/>
    <mergeCell ref="J473:J474"/>
    <mergeCell ref="K473:K474"/>
    <mergeCell ref="L473:L474"/>
    <mergeCell ref="M473:M474"/>
    <mergeCell ref="M479:M480"/>
    <mergeCell ref="N479:N480"/>
    <mergeCell ref="F481:F482"/>
    <mergeCell ref="G481:G482"/>
    <mergeCell ref="H481:H482"/>
    <mergeCell ref="I481:I482"/>
    <mergeCell ref="J481:J482"/>
    <mergeCell ref="K481:K482"/>
    <mergeCell ref="L481:L482"/>
    <mergeCell ref="M481:M482"/>
    <mergeCell ref="N481:N482"/>
    <mergeCell ref="F483:F484"/>
    <mergeCell ref="G483:G484"/>
    <mergeCell ref="H483:H484"/>
    <mergeCell ref="I483:I484"/>
    <mergeCell ref="J483:J484"/>
    <mergeCell ref="K483:K484"/>
    <mergeCell ref="L483:L484"/>
    <mergeCell ref="M483:M484"/>
    <mergeCell ref="N483:N484"/>
    <mergeCell ref="F479:F480"/>
    <mergeCell ref="G479:G480"/>
    <mergeCell ref="H479:H480"/>
    <mergeCell ref="I479:I480"/>
    <mergeCell ref="J479:J480"/>
    <mergeCell ref="K479:K480"/>
    <mergeCell ref="L479:L480"/>
    <mergeCell ref="F485:F486"/>
    <mergeCell ref="G485:G486"/>
    <mergeCell ref="H485:H486"/>
    <mergeCell ref="I485:I486"/>
    <mergeCell ref="J485:J486"/>
    <mergeCell ref="K485:K486"/>
    <mergeCell ref="L485:L486"/>
    <mergeCell ref="M485:M486"/>
    <mergeCell ref="N485:N486"/>
    <mergeCell ref="F487:F488"/>
    <mergeCell ref="G487:G488"/>
    <mergeCell ref="H487:H488"/>
    <mergeCell ref="I487:I488"/>
    <mergeCell ref="J487:J488"/>
    <mergeCell ref="K487:K488"/>
    <mergeCell ref="L487:L488"/>
    <mergeCell ref="M487:M488"/>
    <mergeCell ref="N487:N488"/>
    <mergeCell ref="N489:N490"/>
    <mergeCell ref="F491:F492"/>
    <mergeCell ref="G491:G492"/>
    <mergeCell ref="H491:H492"/>
    <mergeCell ref="I491:I492"/>
    <mergeCell ref="J491:J492"/>
    <mergeCell ref="K491:K492"/>
    <mergeCell ref="L491:L492"/>
    <mergeCell ref="M491:M492"/>
    <mergeCell ref="N491:N492"/>
    <mergeCell ref="F493:F494"/>
    <mergeCell ref="G493:G494"/>
    <mergeCell ref="H493:H494"/>
    <mergeCell ref="I493:I494"/>
    <mergeCell ref="J493:J494"/>
    <mergeCell ref="K493:K494"/>
    <mergeCell ref="L493:L494"/>
    <mergeCell ref="M493:M494"/>
    <mergeCell ref="N493:N494"/>
    <mergeCell ref="F489:F490"/>
    <mergeCell ref="G489:G490"/>
    <mergeCell ref="H489:H490"/>
    <mergeCell ref="I489:I490"/>
    <mergeCell ref="J489:J490"/>
    <mergeCell ref="K489:K490"/>
    <mergeCell ref="L489:L490"/>
    <mergeCell ref="M489:M490"/>
    <mergeCell ref="M495:M496"/>
    <mergeCell ref="N495:N496"/>
    <mergeCell ref="F497:F498"/>
    <mergeCell ref="G497:G498"/>
    <mergeCell ref="H497:H498"/>
    <mergeCell ref="I497:I498"/>
    <mergeCell ref="J497:J498"/>
    <mergeCell ref="K497:K498"/>
    <mergeCell ref="L497:L498"/>
    <mergeCell ref="M497:M498"/>
    <mergeCell ref="N497:N498"/>
    <mergeCell ref="F499:F500"/>
    <mergeCell ref="G499:G500"/>
    <mergeCell ref="H499:H500"/>
    <mergeCell ref="I499:I500"/>
    <mergeCell ref="J499:J500"/>
    <mergeCell ref="K499:K500"/>
    <mergeCell ref="L499:L500"/>
    <mergeCell ref="M499:M500"/>
    <mergeCell ref="N499:N500"/>
    <mergeCell ref="F495:F496"/>
    <mergeCell ref="G495:G496"/>
    <mergeCell ref="H495:H496"/>
    <mergeCell ref="I495:I496"/>
    <mergeCell ref="J495:J496"/>
    <mergeCell ref="K495:K496"/>
    <mergeCell ref="L495:L496"/>
    <mergeCell ref="F501:F502"/>
    <mergeCell ref="G501:G502"/>
    <mergeCell ref="H501:H502"/>
    <mergeCell ref="I501:I502"/>
    <mergeCell ref="J501:J502"/>
    <mergeCell ref="K501:K502"/>
    <mergeCell ref="L501:L502"/>
    <mergeCell ref="M501:M502"/>
    <mergeCell ref="N501:N502"/>
    <mergeCell ref="F503:F504"/>
    <mergeCell ref="G503:G504"/>
    <mergeCell ref="H503:H504"/>
    <mergeCell ref="I503:I504"/>
    <mergeCell ref="J503:J504"/>
    <mergeCell ref="K503:K504"/>
    <mergeCell ref="L503:L504"/>
    <mergeCell ref="M503:M504"/>
    <mergeCell ref="N503:N504"/>
    <mergeCell ref="N505:N506"/>
    <mergeCell ref="C507:J508"/>
    <mergeCell ref="K507:O507"/>
    <mergeCell ref="K508:O508"/>
    <mergeCell ref="C509:H509"/>
    <mergeCell ref="I509:K509"/>
    <mergeCell ref="L509:N509"/>
    <mergeCell ref="O509:O512"/>
    <mergeCell ref="F513:F514"/>
    <mergeCell ref="G513:G514"/>
    <mergeCell ref="H513:H514"/>
    <mergeCell ref="I513:I514"/>
    <mergeCell ref="J513:J514"/>
    <mergeCell ref="K513:K514"/>
    <mergeCell ref="L513:L514"/>
    <mergeCell ref="M513:M514"/>
    <mergeCell ref="N513:N514"/>
    <mergeCell ref="F505:F506"/>
    <mergeCell ref="G505:G506"/>
    <mergeCell ref="H505:H506"/>
    <mergeCell ref="I505:I506"/>
    <mergeCell ref="J505:J506"/>
    <mergeCell ref="K505:K506"/>
    <mergeCell ref="L505:L506"/>
    <mergeCell ref="M505:M506"/>
    <mergeCell ref="M515:M516"/>
    <mergeCell ref="N515:N516"/>
    <mergeCell ref="F517:F518"/>
    <mergeCell ref="G517:G518"/>
    <mergeCell ref="H517:H518"/>
    <mergeCell ref="I517:I518"/>
    <mergeCell ref="J517:J518"/>
    <mergeCell ref="K517:K518"/>
    <mergeCell ref="L517:L518"/>
    <mergeCell ref="M517:M518"/>
    <mergeCell ref="N517:N518"/>
    <mergeCell ref="F519:F520"/>
    <mergeCell ref="G519:G520"/>
    <mergeCell ref="H519:H520"/>
    <mergeCell ref="I519:I520"/>
    <mergeCell ref="J519:J520"/>
    <mergeCell ref="K519:K520"/>
    <mergeCell ref="L519:L520"/>
    <mergeCell ref="M519:M520"/>
    <mergeCell ref="N519:N520"/>
    <mergeCell ref="F515:F516"/>
    <mergeCell ref="G515:G516"/>
    <mergeCell ref="H515:H516"/>
    <mergeCell ref="I515:I516"/>
    <mergeCell ref="J515:J516"/>
    <mergeCell ref="K515:K516"/>
    <mergeCell ref="L515:L516"/>
    <mergeCell ref="F521:F522"/>
    <mergeCell ref="G521:G522"/>
    <mergeCell ref="H521:H522"/>
    <mergeCell ref="I521:I522"/>
    <mergeCell ref="J521:J522"/>
    <mergeCell ref="K521:K522"/>
    <mergeCell ref="L521:L522"/>
    <mergeCell ref="M521:M522"/>
    <mergeCell ref="N521:N522"/>
    <mergeCell ref="F523:F524"/>
    <mergeCell ref="G523:G524"/>
    <mergeCell ref="H523:H524"/>
    <mergeCell ref="I523:I524"/>
    <mergeCell ref="J523:J524"/>
    <mergeCell ref="K523:K524"/>
    <mergeCell ref="L523:L524"/>
    <mergeCell ref="M523:M524"/>
    <mergeCell ref="N523:N524"/>
    <mergeCell ref="N525:N526"/>
    <mergeCell ref="F527:F528"/>
    <mergeCell ref="G527:G528"/>
    <mergeCell ref="H527:H528"/>
    <mergeCell ref="I527:I528"/>
    <mergeCell ref="J527:J528"/>
    <mergeCell ref="K527:K528"/>
    <mergeCell ref="L527:L528"/>
    <mergeCell ref="M527:M528"/>
    <mergeCell ref="N527:N528"/>
    <mergeCell ref="F529:F530"/>
    <mergeCell ref="G529:G530"/>
    <mergeCell ref="H529:H530"/>
    <mergeCell ref="I529:I530"/>
    <mergeCell ref="J529:J530"/>
    <mergeCell ref="K529:K530"/>
    <mergeCell ref="L529:L530"/>
    <mergeCell ref="M529:M530"/>
    <mergeCell ref="N529:N530"/>
    <mergeCell ref="F525:F526"/>
    <mergeCell ref="G525:G526"/>
    <mergeCell ref="H525:H526"/>
    <mergeCell ref="I525:I526"/>
    <mergeCell ref="J525:J526"/>
    <mergeCell ref="K525:K526"/>
    <mergeCell ref="L525:L526"/>
    <mergeCell ref="M525:M526"/>
    <mergeCell ref="M531:M532"/>
    <mergeCell ref="N531:N532"/>
    <mergeCell ref="F533:F534"/>
    <mergeCell ref="G533:G534"/>
    <mergeCell ref="H533:H534"/>
    <mergeCell ref="I533:I534"/>
    <mergeCell ref="J533:J534"/>
    <mergeCell ref="K533:K534"/>
    <mergeCell ref="L533:L534"/>
    <mergeCell ref="M533:M534"/>
    <mergeCell ref="N533:N534"/>
    <mergeCell ref="F535:F536"/>
    <mergeCell ref="G535:G536"/>
    <mergeCell ref="H535:H536"/>
    <mergeCell ref="I535:I536"/>
    <mergeCell ref="J535:J536"/>
    <mergeCell ref="K535:K536"/>
    <mergeCell ref="L535:L536"/>
    <mergeCell ref="M535:M536"/>
    <mergeCell ref="N535:N536"/>
    <mergeCell ref="F531:F532"/>
    <mergeCell ref="G531:G532"/>
    <mergeCell ref="H531:H532"/>
    <mergeCell ref="I531:I532"/>
    <mergeCell ref="J531:J532"/>
    <mergeCell ref="K531:K532"/>
    <mergeCell ref="L531:L532"/>
    <mergeCell ref="F537:F538"/>
    <mergeCell ref="G537:G538"/>
    <mergeCell ref="H537:H538"/>
    <mergeCell ref="I537:I538"/>
    <mergeCell ref="J537:J538"/>
    <mergeCell ref="K537:K538"/>
    <mergeCell ref="L537:L538"/>
    <mergeCell ref="M537:M538"/>
    <mergeCell ref="N537:N538"/>
    <mergeCell ref="F539:F540"/>
    <mergeCell ref="G539:G540"/>
    <mergeCell ref="H539:H540"/>
    <mergeCell ref="I539:I540"/>
    <mergeCell ref="J539:J540"/>
    <mergeCell ref="K539:K540"/>
    <mergeCell ref="L539:L540"/>
    <mergeCell ref="M539:M540"/>
    <mergeCell ref="N539:N540"/>
    <mergeCell ref="N541:N542"/>
    <mergeCell ref="F543:F544"/>
    <mergeCell ref="G543:G544"/>
    <mergeCell ref="H543:H544"/>
    <mergeCell ref="I543:I544"/>
    <mergeCell ref="J543:J544"/>
    <mergeCell ref="K543:K544"/>
    <mergeCell ref="L543:L544"/>
    <mergeCell ref="M543:M544"/>
    <mergeCell ref="N543:N544"/>
    <mergeCell ref="F545:F546"/>
    <mergeCell ref="G545:G546"/>
    <mergeCell ref="H545:H546"/>
    <mergeCell ref="I545:I546"/>
    <mergeCell ref="J545:J546"/>
    <mergeCell ref="K545:K546"/>
    <mergeCell ref="L545:L546"/>
    <mergeCell ref="M545:M546"/>
    <mergeCell ref="N545:N546"/>
    <mergeCell ref="F541:F542"/>
    <mergeCell ref="G541:G542"/>
    <mergeCell ref="H541:H542"/>
    <mergeCell ref="I541:I542"/>
    <mergeCell ref="J541:J542"/>
    <mergeCell ref="K541:K542"/>
    <mergeCell ref="L541:L542"/>
    <mergeCell ref="M541:M542"/>
    <mergeCell ref="M547:M548"/>
    <mergeCell ref="N547:N548"/>
    <mergeCell ref="F549:F550"/>
    <mergeCell ref="G549:G550"/>
    <mergeCell ref="H549:H550"/>
    <mergeCell ref="I549:I550"/>
    <mergeCell ref="J549:J550"/>
    <mergeCell ref="K549:K550"/>
    <mergeCell ref="L549:L550"/>
    <mergeCell ref="M549:M550"/>
    <mergeCell ref="N549:N550"/>
    <mergeCell ref="F551:F552"/>
    <mergeCell ref="G551:G552"/>
    <mergeCell ref="H551:H552"/>
    <mergeCell ref="I551:I552"/>
    <mergeCell ref="J551:J552"/>
    <mergeCell ref="K551:K552"/>
    <mergeCell ref="L551:L552"/>
    <mergeCell ref="M551:M552"/>
    <mergeCell ref="N551:N552"/>
    <mergeCell ref="F547:F548"/>
    <mergeCell ref="G547:G548"/>
    <mergeCell ref="H547:H548"/>
    <mergeCell ref="I547:I548"/>
    <mergeCell ref="J547:J548"/>
    <mergeCell ref="K547:K548"/>
    <mergeCell ref="L547:L548"/>
    <mergeCell ref="C553:J554"/>
    <mergeCell ref="K553:O553"/>
    <mergeCell ref="K554:O554"/>
    <mergeCell ref="C555:H555"/>
    <mergeCell ref="I555:K555"/>
    <mergeCell ref="L555:N555"/>
    <mergeCell ref="O555:O558"/>
    <mergeCell ref="F559:F560"/>
    <mergeCell ref="G559:G560"/>
    <mergeCell ref="H559:H560"/>
    <mergeCell ref="I559:I560"/>
    <mergeCell ref="J559:J560"/>
    <mergeCell ref="K559:K560"/>
    <mergeCell ref="L559:L560"/>
    <mergeCell ref="M559:M560"/>
    <mergeCell ref="N559:N560"/>
    <mergeCell ref="F561:F562"/>
    <mergeCell ref="G561:G562"/>
    <mergeCell ref="H561:H562"/>
    <mergeCell ref="I561:I562"/>
    <mergeCell ref="J561:J562"/>
    <mergeCell ref="K561:K562"/>
    <mergeCell ref="L561:L562"/>
    <mergeCell ref="M561:M562"/>
    <mergeCell ref="N561:N562"/>
    <mergeCell ref="F563:F564"/>
    <mergeCell ref="G563:G564"/>
    <mergeCell ref="H563:H564"/>
    <mergeCell ref="I563:I564"/>
    <mergeCell ref="J563:J564"/>
    <mergeCell ref="K563:K564"/>
    <mergeCell ref="L563:L564"/>
    <mergeCell ref="M563:M564"/>
    <mergeCell ref="N563:N564"/>
    <mergeCell ref="F565:F566"/>
    <mergeCell ref="G565:G566"/>
    <mergeCell ref="H565:H566"/>
    <mergeCell ref="I565:I566"/>
    <mergeCell ref="J565:J566"/>
    <mergeCell ref="K565:K566"/>
    <mergeCell ref="L565:L566"/>
    <mergeCell ref="M565:M566"/>
    <mergeCell ref="N565:N566"/>
    <mergeCell ref="F567:F568"/>
    <mergeCell ref="G567:G568"/>
    <mergeCell ref="H567:H568"/>
    <mergeCell ref="I567:I568"/>
    <mergeCell ref="J567:J568"/>
    <mergeCell ref="K567:K568"/>
    <mergeCell ref="L567:L568"/>
    <mergeCell ref="M567:M568"/>
    <mergeCell ref="N567:N568"/>
    <mergeCell ref="F569:F570"/>
    <mergeCell ref="G569:G570"/>
    <mergeCell ref="H569:H570"/>
    <mergeCell ref="I569:I570"/>
    <mergeCell ref="J569:J570"/>
    <mergeCell ref="K569:K570"/>
    <mergeCell ref="L569:L570"/>
    <mergeCell ref="M569:M570"/>
    <mergeCell ref="N569:N570"/>
    <mergeCell ref="N571:N572"/>
    <mergeCell ref="F573:F574"/>
    <mergeCell ref="G573:G574"/>
    <mergeCell ref="H573:H574"/>
    <mergeCell ref="I573:I574"/>
    <mergeCell ref="J573:J574"/>
    <mergeCell ref="K573:K574"/>
    <mergeCell ref="L573:L574"/>
    <mergeCell ref="M573:M574"/>
    <mergeCell ref="N573:N574"/>
    <mergeCell ref="F575:F576"/>
    <mergeCell ref="G575:G576"/>
    <mergeCell ref="H575:H576"/>
    <mergeCell ref="I575:I576"/>
    <mergeCell ref="J575:J576"/>
    <mergeCell ref="K575:K576"/>
    <mergeCell ref="L575:L576"/>
    <mergeCell ref="M575:M576"/>
    <mergeCell ref="N575:N576"/>
    <mergeCell ref="F571:F572"/>
    <mergeCell ref="G571:G572"/>
    <mergeCell ref="H571:H572"/>
    <mergeCell ref="I571:I572"/>
    <mergeCell ref="J571:J572"/>
    <mergeCell ref="K571:K572"/>
    <mergeCell ref="L571:L572"/>
    <mergeCell ref="M571:M572"/>
    <mergeCell ref="M577:M578"/>
    <mergeCell ref="N577:N578"/>
    <mergeCell ref="F579:F580"/>
    <mergeCell ref="G579:G580"/>
    <mergeCell ref="H579:H580"/>
    <mergeCell ref="I579:I580"/>
    <mergeCell ref="J579:J580"/>
    <mergeCell ref="K579:K580"/>
    <mergeCell ref="L579:L580"/>
    <mergeCell ref="M579:M580"/>
    <mergeCell ref="N579:N580"/>
    <mergeCell ref="F581:F582"/>
    <mergeCell ref="G581:G582"/>
    <mergeCell ref="H581:H582"/>
    <mergeCell ref="I581:I582"/>
    <mergeCell ref="J581:J582"/>
    <mergeCell ref="K581:K582"/>
    <mergeCell ref="L581:L582"/>
    <mergeCell ref="M581:M582"/>
    <mergeCell ref="N581:N582"/>
    <mergeCell ref="F577:F578"/>
    <mergeCell ref="G577:G578"/>
    <mergeCell ref="H577:H578"/>
    <mergeCell ref="I577:I578"/>
    <mergeCell ref="J577:J578"/>
    <mergeCell ref="K577:K578"/>
    <mergeCell ref="L577:L578"/>
    <mergeCell ref="J583:J584"/>
    <mergeCell ref="K583:K584"/>
    <mergeCell ref="L583:L584"/>
    <mergeCell ref="M583:M584"/>
    <mergeCell ref="N583:N584"/>
    <mergeCell ref="F585:F586"/>
    <mergeCell ref="G585:G586"/>
    <mergeCell ref="H585:H586"/>
    <mergeCell ref="I585:I586"/>
    <mergeCell ref="J585:J586"/>
    <mergeCell ref="K585:K586"/>
    <mergeCell ref="L585:L586"/>
    <mergeCell ref="M585:M586"/>
    <mergeCell ref="N585:N586"/>
    <mergeCell ref="F589:F590"/>
    <mergeCell ref="G589:G590"/>
    <mergeCell ref="H589:H590"/>
    <mergeCell ref="I589:I590"/>
    <mergeCell ref="J589:J590"/>
    <mergeCell ref="K589:K590"/>
    <mergeCell ref="M587:M588"/>
    <mergeCell ref="F583:F584"/>
    <mergeCell ref="G583:G584"/>
    <mergeCell ref="H583:H584"/>
    <mergeCell ref="I583:I584"/>
    <mergeCell ref="G591:G592"/>
    <mergeCell ref="H591:H592"/>
    <mergeCell ref="I591:I592"/>
    <mergeCell ref="J591:J592"/>
    <mergeCell ref="K591:K592"/>
    <mergeCell ref="N587:N588"/>
    <mergeCell ref="L589:L590"/>
    <mergeCell ref="M589:M590"/>
    <mergeCell ref="N589:N590"/>
    <mergeCell ref="C595:J596"/>
    <mergeCell ref="K595:O595"/>
    <mergeCell ref="K596:O596"/>
    <mergeCell ref="L591:L592"/>
    <mergeCell ref="M591:M592"/>
    <mergeCell ref="N591:N592"/>
    <mergeCell ref="C593:H594"/>
    <mergeCell ref="I593:O593"/>
    <mergeCell ref="I594:O594"/>
    <mergeCell ref="F591:F592"/>
    <mergeCell ref="F587:F588"/>
    <mergeCell ref="G587:G588"/>
    <mergeCell ref="H587:H588"/>
    <mergeCell ref="I587:I588"/>
    <mergeCell ref="J587:J588"/>
    <mergeCell ref="K587:K588"/>
    <mergeCell ref="L587:L588"/>
  </mergeCells>
  <printOptions horizontalCentered="1"/>
  <pageMargins left="0" right="0" top="0.06" bottom="0.6" header="0.03" footer="0.39370078740157499"/>
  <pageSetup paperSize="9" scale="83" orientation="landscape" r:id="rId1"/>
  <headerFooter>
    <oddFooter>&amp;L&amp;"Times New Roman,Regular"&amp;10    Afghanistan Statistical Yearbook 2023-24&amp;R&amp;"Times New Roman,Regular"&amp;10          د ۱۴۰۲ احصایيوي کالنۍ  /سالنامه احصائیوی ۱۴۰۲</oddFooter>
  </headerFooter>
  <rowBreaks count="4" manualBreakCount="4">
    <brk id="164" min="1" max="15" man="1"/>
    <brk id="191" max="15" man="1"/>
    <brk id="271" min="1" max="15" man="1"/>
    <brk id="296" min="1" max="15" man="1"/>
  </rowBreak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theme="0"/>
  </sheetPr>
  <dimension ref="A1:U45"/>
  <sheetViews>
    <sheetView view="pageBreakPreview" topLeftCell="A3" zoomScale="118" zoomScaleSheetLayoutView="118" workbookViewId="0">
      <selection activeCell="A3" sqref="A3:L3"/>
    </sheetView>
  </sheetViews>
  <sheetFormatPr baseColWidth="10" defaultColWidth="8.83203125" defaultRowHeight="15"/>
  <cols>
    <col min="1" max="1" width="3.33203125" customWidth="1"/>
    <col min="2" max="2" width="32.6640625" style="100" customWidth="1"/>
    <col min="3" max="3" width="8.5" style="100" bestFit="1" customWidth="1"/>
    <col min="4" max="4" width="6.83203125" style="100" customWidth="1"/>
    <col min="5" max="5" width="6.5" style="100" bestFit="1" customWidth="1"/>
    <col min="6" max="6" width="8.83203125" style="100" bestFit="1" customWidth="1"/>
    <col min="7" max="7" width="6.5" style="100" customWidth="1"/>
    <col min="8" max="8" width="7.5" style="100" bestFit="1" customWidth="1"/>
    <col min="9" max="9" width="8.83203125" style="100" bestFit="1" customWidth="1"/>
    <col min="10" max="10" width="6.33203125" style="100" customWidth="1"/>
    <col min="11" max="11" width="44.5" style="100" customWidth="1"/>
    <col min="12" max="12" width="3.5" style="469" customWidth="1"/>
    <col min="13" max="13" width="9.1640625" style="100"/>
    <col min="14" max="14" width="24.1640625" customWidth="1"/>
  </cols>
  <sheetData>
    <row r="1" spans="1:16" ht="21" hidden="1" customHeight="1">
      <c r="B1" s="1443" t="s">
        <v>2218</v>
      </c>
      <c r="C1" s="1443"/>
      <c r="D1" s="1443"/>
      <c r="E1" s="1443"/>
      <c r="F1" s="1443"/>
      <c r="G1" s="1443"/>
      <c r="H1" s="1443"/>
      <c r="I1" s="1443"/>
      <c r="J1" s="1443"/>
      <c r="K1" s="1443"/>
      <c r="L1" s="1443"/>
      <c r="M1" s="463"/>
      <c r="N1" s="111"/>
      <c r="O1" s="111"/>
      <c r="P1" s="111"/>
    </row>
    <row r="2" spans="1:16" ht="20.25" hidden="1" customHeight="1">
      <c r="B2" s="1443" t="s">
        <v>2219</v>
      </c>
      <c r="C2" s="1443"/>
      <c r="D2" s="1443"/>
      <c r="E2" s="1443"/>
      <c r="F2" s="1443"/>
      <c r="G2" s="1443"/>
      <c r="H2" s="1443"/>
      <c r="I2" s="1443"/>
      <c r="J2" s="1443"/>
      <c r="K2" s="1443"/>
      <c r="L2" s="1443"/>
      <c r="M2" s="463"/>
      <c r="N2" s="111"/>
      <c r="O2" s="111"/>
      <c r="P2" s="111"/>
    </row>
    <row r="3" spans="1:16" ht="15" customHeight="1">
      <c r="A3" s="1478" t="s">
        <v>2220</v>
      </c>
      <c r="B3" s="1478"/>
      <c r="C3" s="1478"/>
      <c r="D3" s="1478"/>
      <c r="E3" s="1478"/>
      <c r="F3" s="1478"/>
      <c r="G3" s="1478"/>
      <c r="H3" s="1478"/>
      <c r="I3" s="1478"/>
      <c r="J3" s="1478"/>
      <c r="K3" s="1478"/>
      <c r="L3" s="1478"/>
      <c r="M3" s="463"/>
      <c r="N3" s="111"/>
      <c r="O3" s="111"/>
      <c r="P3" s="111"/>
    </row>
    <row r="4" spans="1:16">
      <c r="A4" s="1527" t="s">
        <v>621</v>
      </c>
      <c r="B4" s="1343" t="s">
        <v>286</v>
      </c>
      <c r="C4" s="1530" t="s">
        <v>139</v>
      </c>
      <c r="D4" s="1522" t="s">
        <v>1307</v>
      </c>
      <c r="E4" s="1524"/>
      <c r="F4" s="1524"/>
      <c r="G4" s="1522" t="s">
        <v>276</v>
      </c>
      <c r="H4" s="1524"/>
      <c r="I4" s="1533"/>
      <c r="J4" s="1534" t="s">
        <v>17</v>
      </c>
      <c r="K4" s="1535" t="s">
        <v>1575</v>
      </c>
      <c r="L4" s="1536" t="s">
        <v>1308</v>
      </c>
    </row>
    <row r="5" spans="1:16" ht="12" customHeight="1">
      <c r="A5" s="1528"/>
      <c r="B5" s="1266"/>
      <c r="C5" s="1531"/>
      <c r="D5" s="1532" t="s">
        <v>277</v>
      </c>
      <c r="E5" s="1537"/>
      <c r="F5" s="1537"/>
      <c r="G5" s="1532" t="s">
        <v>137</v>
      </c>
      <c r="H5" s="1537"/>
      <c r="I5" s="1538"/>
      <c r="J5" s="1533"/>
      <c r="K5" s="1343"/>
      <c r="L5" s="1456"/>
    </row>
    <row r="6" spans="1:16" ht="23.25" customHeight="1">
      <c r="A6" s="1528"/>
      <c r="B6" s="1266"/>
      <c r="C6" s="1531"/>
      <c r="D6" s="530" t="s">
        <v>278</v>
      </c>
      <c r="E6" s="530" t="s">
        <v>279</v>
      </c>
      <c r="F6" s="1218" t="s">
        <v>256</v>
      </c>
      <c r="G6" s="530" t="s">
        <v>278</v>
      </c>
      <c r="H6" s="530" t="s">
        <v>279</v>
      </c>
      <c r="I6" s="1219" t="s">
        <v>256</v>
      </c>
      <c r="J6" s="1533"/>
      <c r="K6" s="1343"/>
      <c r="L6" s="1456"/>
    </row>
    <row r="7" spans="1:16">
      <c r="A7" s="1528"/>
      <c r="B7" s="1266"/>
      <c r="C7" s="1531"/>
      <c r="D7" s="1204" t="s">
        <v>12</v>
      </c>
      <c r="E7" s="1204" t="s">
        <v>13</v>
      </c>
      <c r="F7" s="960" t="s">
        <v>14</v>
      </c>
      <c r="G7" s="1204" t="s">
        <v>12</v>
      </c>
      <c r="H7" s="1204" t="s">
        <v>13</v>
      </c>
      <c r="I7" s="893" t="s">
        <v>14</v>
      </c>
      <c r="J7" s="1533"/>
      <c r="K7" s="1343"/>
      <c r="L7" s="1456"/>
    </row>
    <row r="8" spans="1:16">
      <c r="A8" s="1529"/>
      <c r="B8" s="1267"/>
      <c r="C8" s="1532"/>
      <c r="D8" s="1220" t="s">
        <v>162</v>
      </c>
      <c r="E8" s="1220" t="s">
        <v>163</v>
      </c>
      <c r="F8" s="964" t="s">
        <v>100</v>
      </c>
      <c r="G8" s="1220" t="s">
        <v>162</v>
      </c>
      <c r="H8" s="1220" t="s">
        <v>163</v>
      </c>
      <c r="I8" s="351" t="s">
        <v>100</v>
      </c>
      <c r="J8" s="1533"/>
      <c r="K8" s="1343"/>
      <c r="L8" s="1456"/>
    </row>
    <row r="9" spans="1:16" ht="40" customHeight="1">
      <c r="A9" s="313"/>
      <c r="B9" s="575" t="s">
        <v>70</v>
      </c>
      <c r="C9" s="327"/>
      <c r="D9" s="961">
        <f t="shared" ref="D9:I9" si="0">SUM(D10:D18)</f>
        <v>2</v>
      </c>
      <c r="E9" s="962">
        <f t="shared" si="0"/>
        <v>18</v>
      </c>
      <c r="F9" s="962">
        <f t="shared" si="0"/>
        <v>20</v>
      </c>
      <c r="G9" s="961">
        <f t="shared" si="0"/>
        <v>0</v>
      </c>
      <c r="H9" s="962">
        <f t="shared" si="0"/>
        <v>176</v>
      </c>
      <c r="I9" s="965">
        <f t="shared" si="0"/>
        <v>176</v>
      </c>
      <c r="J9" s="464"/>
      <c r="K9" s="465" t="s">
        <v>671</v>
      </c>
      <c r="L9" s="299"/>
    </row>
    <row r="10" spans="1:16" s="639" customFormat="1" ht="40" customHeight="1">
      <c r="A10" s="148">
        <v>1</v>
      </c>
      <c r="B10" s="698" t="s">
        <v>1229</v>
      </c>
      <c r="C10" s="185" t="s">
        <v>101</v>
      </c>
      <c r="D10" s="133">
        <v>2</v>
      </c>
      <c r="E10" s="134">
        <v>8</v>
      </c>
      <c r="F10" s="134">
        <v>10</v>
      </c>
      <c r="G10" s="133">
        <v>0</v>
      </c>
      <c r="H10" s="134">
        <v>26</v>
      </c>
      <c r="I10" s="135">
        <v>26</v>
      </c>
      <c r="J10" s="717" t="s">
        <v>18</v>
      </c>
      <c r="K10" s="643" t="s">
        <v>1566</v>
      </c>
      <c r="L10" s="883">
        <v>1</v>
      </c>
      <c r="N10" s="1076"/>
    </row>
    <row r="11" spans="1:16" s="639" customFormat="1" ht="40" customHeight="1">
      <c r="A11" s="147">
        <v>2</v>
      </c>
      <c r="B11" s="283" t="s">
        <v>722</v>
      </c>
      <c r="C11" s="147" t="s">
        <v>101</v>
      </c>
      <c r="D11" s="466" t="s">
        <v>54</v>
      </c>
      <c r="E11" s="139">
        <v>3</v>
      </c>
      <c r="F11" s="139">
        <v>3</v>
      </c>
      <c r="G11" s="137">
        <v>0</v>
      </c>
      <c r="H11" s="138">
        <v>93</v>
      </c>
      <c r="I11" s="142">
        <v>93</v>
      </c>
      <c r="J11" s="295" t="s">
        <v>18</v>
      </c>
      <c r="K11" s="238" t="s">
        <v>1567</v>
      </c>
      <c r="L11" s="933">
        <v>2</v>
      </c>
      <c r="N11" s="716"/>
    </row>
    <row r="12" spans="1:16" s="639" customFormat="1" ht="40" customHeight="1">
      <c r="A12" s="148">
        <v>3</v>
      </c>
      <c r="B12" s="698" t="s">
        <v>661</v>
      </c>
      <c r="C12" s="148" t="s">
        <v>109</v>
      </c>
      <c r="D12" s="133">
        <v>0</v>
      </c>
      <c r="E12" s="134">
        <v>3</v>
      </c>
      <c r="F12" s="134">
        <v>3</v>
      </c>
      <c r="G12" s="713">
        <v>0</v>
      </c>
      <c r="H12" s="714">
        <v>19</v>
      </c>
      <c r="I12" s="141">
        <v>19</v>
      </c>
      <c r="J12" s="715" t="s">
        <v>21</v>
      </c>
      <c r="K12" s="643" t="s">
        <v>1568</v>
      </c>
      <c r="L12" s="883">
        <v>3</v>
      </c>
      <c r="N12" s="716"/>
    </row>
    <row r="13" spans="1:16" ht="40" customHeight="1">
      <c r="A13" s="147">
        <v>4</v>
      </c>
      <c r="B13" s="283" t="s">
        <v>1195</v>
      </c>
      <c r="C13" s="147" t="s">
        <v>154</v>
      </c>
      <c r="D13" s="466" t="s">
        <v>54</v>
      </c>
      <c r="E13" s="139" t="s">
        <v>56</v>
      </c>
      <c r="F13" s="139" t="s">
        <v>56</v>
      </c>
      <c r="G13" s="137">
        <v>0</v>
      </c>
      <c r="H13" s="138" t="s">
        <v>56</v>
      </c>
      <c r="I13" s="142" t="s">
        <v>56</v>
      </c>
      <c r="J13" s="295" t="s">
        <v>45</v>
      </c>
      <c r="K13" s="238" t="s">
        <v>1569</v>
      </c>
      <c r="L13" s="933">
        <v>4</v>
      </c>
      <c r="N13" s="22"/>
    </row>
    <row r="14" spans="1:16" s="639" customFormat="1" ht="40" customHeight="1">
      <c r="A14" s="148">
        <v>5</v>
      </c>
      <c r="B14" s="698" t="s">
        <v>1196</v>
      </c>
      <c r="C14" s="148" t="s">
        <v>154</v>
      </c>
      <c r="D14" s="133" t="s">
        <v>54</v>
      </c>
      <c r="E14" s="134" t="s">
        <v>56</v>
      </c>
      <c r="F14" s="134" t="s">
        <v>56</v>
      </c>
      <c r="G14" s="713">
        <v>0</v>
      </c>
      <c r="H14" s="714" t="s">
        <v>56</v>
      </c>
      <c r="I14" s="141" t="s">
        <v>56</v>
      </c>
      <c r="J14" s="715" t="s">
        <v>45</v>
      </c>
      <c r="K14" s="643" t="s">
        <v>1570</v>
      </c>
      <c r="L14" s="883">
        <v>5</v>
      </c>
      <c r="N14" s="716"/>
    </row>
    <row r="15" spans="1:16" ht="40" customHeight="1">
      <c r="A15" s="147">
        <v>6</v>
      </c>
      <c r="B15" s="283" t="s">
        <v>724</v>
      </c>
      <c r="C15" s="147" t="s">
        <v>122</v>
      </c>
      <c r="D15" s="466" t="s">
        <v>54</v>
      </c>
      <c r="E15" s="139" t="s">
        <v>56</v>
      </c>
      <c r="F15" s="139" t="s">
        <v>2156</v>
      </c>
      <c r="G15" s="137">
        <v>0</v>
      </c>
      <c r="H15" s="138" t="s">
        <v>56</v>
      </c>
      <c r="I15" s="142" t="s">
        <v>2156</v>
      </c>
      <c r="J15" s="295" t="s">
        <v>23</v>
      </c>
      <c r="K15" s="238" t="s">
        <v>1571</v>
      </c>
      <c r="L15" s="933">
        <v>6</v>
      </c>
    </row>
    <row r="16" spans="1:16" s="639" customFormat="1" ht="40" customHeight="1">
      <c r="A16" s="148">
        <v>7</v>
      </c>
      <c r="B16" s="698" t="s">
        <v>723</v>
      </c>
      <c r="C16" s="185" t="s">
        <v>122</v>
      </c>
      <c r="D16" s="133" t="s">
        <v>54</v>
      </c>
      <c r="E16" s="134" t="s">
        <v>56</v>
      </c>
      <c r="F16" s="134" t="s">
        <v>56</v>
      </c>
      <c r="G16" s="133">
        <v>0</v>
      </c>
      <c r="H16" s="134" t="s">
        <v>56</v>
      </c>
      <c r="I16" s="135" t="s">
        <v>56</v>
      </c>
      <c r="J16" s="717" t="s">
        <v>23</v>
      </c>
      <c r="K16" s="643" t="s">
        <v>1572</v>
      </c>
      <c r="L16" s="883">
        <v>7</v>
      </c>
    </row>
    <row r="17" spans="1:21" s="639" customFormat="1" ht="40" customHeight="1">
      <c r="A17" s="147">
        <v>8</v>
      </c>
      <c r="B17" s="283" t="s">
        <v>1197</v>
      </c>
      <c r="C17" s="186" t="s">
        <v>1198</v>
      </c>
      <c r="D17" s="466"/>
      <c r="E17" s="139"/>
      <c r="F17" s="139"/>
      <c r="G17" s="466"/>
      <c r="H17" s="139"/>
      <c r="I17" s="140"/>
      <c r="J17" s="311" t="s">
        <v>1194</v>
      </c>
      <c r="K17" s="238" t="s">
        <v>1573</v>
      </c>
      <c r="L17" s="933">
        <v>8</v>
      </c>
    </row>
    <row r="18" spans="1:21" s="639" customFormat="1" ht="40" customHeight="1">
      <c r="A18" s="170">
        <v>9</v>
      </c>
      <c r="B18" s="718" t="s">
        <v>1193</v>
      </c>
      <c r="C18" s="187" t="s">
        <v>143</v>
      </c>
      <c r="D18" s="229">
        <v>0</v>
      </c>
      <c r="E18" s="194">
        <v>4</v>
      </c>
      <c r="F18" s="194">
        <v>4</v>
      </c>
      <c r="G18" s="811">
        <v>0</v>
      </c>
      <c r="H18" s="812">
        <v>38</v>
      </c>
      <c r="I18" s="193">
        <v>38</v>
      </c>
      <c r="J18" s="1077" t="s">
        <v>28</v>
      </c>
      <c r="K18" s="696" t="s">
        <v>1574</v>
      </c>
      <c r="L18" s="883">
        <v>9</v>
      </c>
      <c r="U18" s="23"/>
    </row>
    <row r="19" spans="1:21" ht="15" customHeight="1">
      <c r="A19" s="1539" t="s">
        <v>760</v>
      </c>
      <c r="B19" s="1539"/>
      <c r="C19" s="1539"/>
      <c r="D19" s="1539"/>
      <c r="E19" s="1539"/>
      <c r="F19" s="1539"/>
      <c r="G19" s="1539"/>
      <c r="H19" s="1540" t="s">
        <v>1565</v>
      </c>
      <c r="I19" s="1540"/>
      <c r="J19" s="1540"/>
      <c r="K19" s="1540"/>
      <c r="L19" s="1485"/>
      <c r="N19" s="1497"/>
      <c r="O19" s="1497"/>
      <c r="P19" s="1497"/>
    </row>
    <row r="20" spans="1:21" ht="40" customHeight="1"/>
    <row r="21" spans="1:21" ht="40" customHeight="1"/>
    <row r="22" spans="1:21" ht="40" customHeight="1"/>
    <row r="23" spans="1:21" ht="40" customHeight="1"/>
    <row r="24" spans="1:21" ht="40" customHeight="1"/>
    <row r="25" spans="1:21" ht="40" customHeight="1"/>
    <row r="26" spans="1:21" ht="40" customHeight="1"/>
    <row r="27" spans="1:21" ht="40" customHeight="1"/>
    <row r="28" spans="1:21" ht="40" customHeight="1"/>
    <row r="29" spans="1:21" ht="40" customHeight="1"/>
    <row r="30" spans="1:21" ht="40" customHeight="1"/>
    <row r="31" spans="1:21" ht="40" customHeight="1"/>
    <row r="32" spans="1:21" ht="40" customHeight="1"/>
    <row r="33" spans="4:11" ht="40" customHeight="1"/>
    <row r="34" spans="4:11" ht="40" customHeight="1"/>
    <row r="35" spans="4:11" ht="40" customHeight="1"/>
    <row r="36" spans="4:11" ht="40" customHeight="1"/>
    <row r="37" spans="4:11" ht="40" customHeight="1"/>
    <row r="38" spans="4:11" ht="40" customHeight="1"/>
    <row r="39" spans="4:11" ht="40" customHeight="1"/>
    <row r="40" spans="4:11" ht="40" customHeight="1"/>
    <row r="41" spans="4:11" ht="40" customHeight="1"/>
    <row r="42" spans="4:11" ht="40" customHeight="1">
      <c r="D42" s="451"/>
      <c r="E42" s="451"/>
      <c r="F42" s="451"/>
      <c r="G42" s="451"/>
      <c r="H42" s="451"/>
      <c r="I42" s="451"/>
      <c r="J42" s="18"/>
      <c r="K42" s="451"/>
    </row>
    <row r="43" spans="4:11" ht="40" customHeight="1">
      <c r="D43" s="451"/>
      <c r="E43" s="451"/>
      <c r="F43" s="451"/>
      <c r="G43" s="451"/>
      <c r="H43" s="451"/>
      <c r="I43" s="451"/>
      <c r="J43" s="18"/>
      <c r="K43" s="451"/>
    </row>
    <row r="44" spans="4:11" ht="40" customHeight="1">
      <c r="D44" s="451"/>
      <c r="E44" s="451"/>
      <c r="F44" s="451"/>
      <c r="G44" s="451"/>
      <c r="H44" s="451"/>
      <c r="I44" s="451"/>
      <c r="J44" s="18"/>
      <c r="K44" s="451"/>
    </row>
    <row r="45" spans="4:11" ht="40" customHeight="1"/>
  </sheetData>
  <mergeCells count="16">
    <mergeCell ref="N19:P19"/>
    <mergeCell ref="B1:L1"/>
    <mergeCell ref="B2:L2"/>
    <mergeCell ref="A3:L3"/>
    <mergeCell ref="A4:A8"/>
    <mergeCell ref="B4:B8"/>
    <mergeCell ref="C4:C8"/>
    <mergeCell ref="D4:F4"/>
    <mergeCell ref="G4:I4"/>
    <mergeCell ref="J4:J8"/>
    <mergeCell ref="K4:K8"/>
    <mergeCell ref="L4:L8"/>
    <mergeCell ref="D5:F5"/>
    <mergeCell ref="G5:I5"/>
    <mergeCell ref="A19:G19"/>
    <mergeCell ref="H19:L19"/>
  </mergeCells>
  <printOptions horizontalCentered="1"/>
  <pageMargins left="0" right="0" top="0.06" bottom="0.6" header="0.03" footer="0.34"/>
  <pageSetup paperSize="9" orientation="landscape" r:id="rId1"/>
  <headerFooter>
    <oddFooter>&amp;L&amp;"Times New Roman,Regular"&amp;10    Afghanistan Statistical Yearbook 2023-24&amp;R&amp;"Times New Roman,Regular"&amp;10          د ۱۴۰۲ احصایيوي کالنۍ  /سالنامه احصائیوی ۱۴۰۲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theme="0"/>
  </sheetPr>
  <dimension ref="A1:P50"/>
  <sheetViews>
    <sheetView view="pageBreakPreview" topLeftCell="A3" zoomScale="124" zoomScaleSheetLayoutView="124" workbookViewId="0">
      <selection activeCell="A3" sqref="A3:H3"/>
    </sheetView>
  </sheetViews>
  <sheetFormatPr baseColWidth="10" defaultColWidth="8.83203125" defaultRowHeight="15"/>
  <cols>
    <col min="2" max="2" width="17.1640625" style="100" customWidth="1"/>
    <col min="3" max="3" width="13.33203125" style="100" customWidth="1"/>
    <col min="4" max="4" width="13.1640625" style="100" customWidth="1"/>
    <col min="5" max="5" width="9.33203125" style="100" customWidth="1"/>
    <col min="6" max="6" width="10.5" style="100" customWidth="1"/>
    <col min="7" max="7" width="19.5" style="100" customWidth="1"/>
    <col min="8" max="8" width="7.6640625" style="100" customWidth="1"/>
    <col min="9" max="11" width="9.1640625" style="100"/>
    <col min="12" max="12" width="12.33203125" style="100" customWidth="1"/>
    <col min="13" max="13" width="13.5" style="100" customWidth="1"/>
  </cols>
  <sheetData>
    <row r="1" spans="1:16" ht="18" hidden="1" customHeight="1">
      <c r="A1" s="1443" t="s">
        <v>2215</v>
      </c>
      <c r="B1" s="1443"/>
      <c r="C1" s="1443"/>
      <c r="D1" s="1443"/>
      <c r="E1" s="1443"/>
      <c r="F1" s="1443"/>
      <c r="G1" s="1443"/>
      <c r="H1" s="1443"/>
      <c r="I1" s="463"/>
      <c r="J1" s="463"/>
      <c r="K1" s="463"/>
      <c r="L1" s="463"/>
      <c r="M1" s="463"/>
      <c r="N1" s="111"/>
      <c r="O1" s="111"/>
      <c r="P1" s="111"/>
    </row>
    <row r="2" spans="1:16" ht="20.25" hidden="1" customHeight="1">
      <c r="A2" s="1477" t="s">
        <v>2216</v>
      </c>
      <c r="B2" s="1477"/>
      <c r="C2" s="1477"/>
      <c r="D2" s="1477"/>
      <c r="E2" s="1477"/>
      <c r="F2" s="1477"/>
      <c r="G2" s="1477"/>
      <c r="H2" s="1477"/>
      <c r="I2" s="463"/>
      <c r="J2" s="463"/>
      <c r="K2" s="463"/>
      <c r="L2" s="463"/>
      <c r="M2" s="463"/>
      <c r="N2" s="111"/>
      <c r="O2" s="111"/>
      <c r="P2" s="111"/>
    </row>
    <row r="3" spans="1:16" ht="36" customHeight="1">
      <c r="A3" s="1478" t="s">
        <v>2217</v>
      </c>
      <c r="B3" s="1478"/>
      <c r="C3" s="1478"/>
      <c r="D3" s="1478"/>
      <c r="E3" s="1478"/>
      <c r="F3" s="1478"/>
      <c r="G3" s="1478"/>
      <c r="H3" s="1478"/>
      <c r="I3" s="463"/>
      <c r="J3" s="463"/>
      <c r="K3" s="463"/>
      <c r="L3" s="463"/>
      <c r="M3" s="463"/>
      <c r="N3" s="111"/>
      <c r="O3" s="111"/>
      <c r="P3" s="111"/>
    </row>
    <row r="4" spans="1:16" ht="15.75" customHeight="1">
      <c r="A4" s="1327" t="s">
        <v>621</v>
      </c>
      <c r="B4" s="1522" t="s">
        <v>139</v>
      </c>
      <c r="C4" s="1511" t="s">
        <v>338</v>
      </c>
      <c r="D4" s="1512"/>
      <c r="E4" s="1513"/>
      <c r="F4" s="1354" t="s">
        <v>1230</v>
      </c>
      <c r="G4" s="1455" t="s">
        <v>17</v>
      </c>
      <c r="H4" s="1536" t="s">
        <v>727</v>
      </c>
    </row>
    <row r="5" spans="1:16" ht="6.75" customHeight="1">
      <c r="A5" s="1328"/>
      <c r="B5" s="1541"/>
      <c r="C5" s="1505"/>
      <c r="D5" s="1506"/>
      <c r="E5" s="1507"/>
      <c r="F5" s="1355"/>
      <c r="G5" s="1455"/>
      <c r="H5" s="1536"/>
    </row>
    <row r="6" spans="1:16" ht="13.5" customHeight="1">
      <c r="A6" s="1328"/>
      <c r="B6" s="1541"/>
      <c r="C6" s="1542" t="s">
        <v>280</v>
      </c>
      <c r="D6" s="1543"/>
      <c r="E6" s="1514"/>
      <c r="F6" s="1355" t="s">
        <v>81</v>
      </c>
      <c r="G6" s="1455"/>
      <c r="H6" s="1536"/>
    </row>
    <row r="7" spans="1:16" ht="16.5" customHeight="1">
      <c r="A7" s="1328"/>
      <c r="B7" s="1541"/>
      <c r="C7" s="1205" t="s">
        <v>254</v>
      </c>
      <c r="D7" s="1205" t="s">
        <v>255</v>
      </c>
      <c r="E7" s="1215" t="s">
        <v>256</v>
      </c>
      <c r="F7" s="1356"/>
      <c r="G7" s="1455"/>
      <c r="H7" s="1536"/>
    </row>
    <row r="8" spans="1:16" ht="15.75" customHeight="1">
      <c r="A8" s="1328"/>
      <c r="B8" s="1541"/>
      <c r="C8" s="971" t="s">
        <v>4</v>
      </c>
      <c r="D8" s="971" t="s">
        <v>6</v>
      </c>
      <c r="E8" s="869" t="s">
        <v>14</v>
      </c>
      <c r="F8" s="1544" t="s">
        <v>281</v>
      </c>
      <c r="G8" s="1455"/>
      <c r="H8" s="1536"/>
    </row>
    <row r="9" spans="1:16" ht="14.25" customHeight="1">
      <c r="A9" s="1329"/>
      <c r="B9" s="1523"/>
      <c r="C9" s="971" t="s">
        <v>98</v>
      </c>
      <c r="D9" s="971" t="s">
        <v>99</v>
      </c>
      <c r="E9" s="893" t="s">
        <v>100</v>
      </c>
      <c r="F9" s="1545"/>
      <c r="G9" s="1455"/>
      <c r="H9" s="1536"/>
    </row>
    <row r="10" spans="1:16" ht="18" customHeight="1">
      <c r="A10" s="462"/>
      <c r="B10" s="517" t="s">
        <v>70</v>
      </c>
      <c r="C10" s="966">
        <f>SUM(C11:C44)</f>
        <v>0</v>
      </c>
      <c r="D10" s="967">
        <f>SUM(D11:D44)</f>
        <v>5782</v>
      </c>
      <c r="E10" s="968">
        <f>SUM(E11:E44)</f>
        <v>5782</v>
      </c>
      <c r="F10" s="460" t="s">
        <v>56</v>
      </c>
      <c r="G10" s="461" t="s">
        <v>707</v>
      </c>
      <c r="H10" s="462"/>
    </row>
    <row r="11" spans="1:16" s="639" customFormat="1" ht="18" customHeight="1">
      <c r="A11" s="148">
        <v>1</v>
      </c>
      <c r="B11" s="784" t="s">
        <v>101</v>
      </c>
      <c r="C11" s="708">
        <v>0</v>
      </c>
      <c r="D11" s="689">
        <v>1121</v>
      </c>
      <c r="E11" s="689">
        <f t="shared" ref="E11:E44" si="0">D11+C11</f>
        <v>1121</v>
      </c>
      <c r="F11" s="709" t="s">
        <v>56</v>
      </c>
      <c r="G11" s="710" t="s">
        <v>18</v>
      </c>
      <c r="H11" s="24">
        <v>1</v>
      </c>
    </row>
    <row r="12" spans="1:16" ht="18" customHeight="1">
      <c r="A12" s="147">
        <v>2</v>
      </c>
      <c r="B12" s="254" t="s">
        <v>102</v>
      </c>
      <c r="C12" s="144">
        <v>0</v>
      </c>
      <c r="D12" s="371">
        <v>190</v>
      </c>
      <c r="E12" s="145">
        <f t="shared" si="0"/>
        <v>190</v>
      </c>
      <c r="F12" s="146" t="s">
        <v>56</v>
      </c>
      <c r="G12" s="277" t="s">
        <v>26</v>
      </c>
      <c r="H12" s="909">
        <v>2</v>
      </c>
      <c r="L12" s="463"/>
    </row>
    <row r="13" spans="1:16" s="639" customFormat="1" ht="18" customHeight="1">
      <c r="A13" s="148">
        <v>3</v>
      </c>
      <c r="B13" s="784" t="s">
        <v>103</v>
      </c>
      <c r="C13" s="708">
        <v>0</v>
      </c>
      <c r="D13" s="689">
        <v>192</v>
      </c>
      <c r="E13" s="689">
        <f t="shared" si="0"/>
        <v>192</v>
      </c>
      <c r="F13" s="709" t="s">
        <v>56</v>
      </c>
      <c r="G13" s="711" t="s">
        <v>27</v>
      </c>
      <c r="H13" s="24">
        <v>3</v>
      </c>
      <c r="L13" s="589"/>
      <c r="N13" s="841"/>
    </row>
    <row r="14" spans="1:16" ht="18" customHeight="1">
      <c r="A14" s="147">
        <v>4</v>
      </c>
      <c r="B14" s="254" t="s">
        <v>652</v>
      </c>
      <c r="C14" s="144">
        <v>0</v>
      </c>
      <c r="D14" s="371">
        <v>268</v>
      </c>
      <c r="E14" s="145">
        <f t="shared" si="0"/>
        <v>268</v>
      </c>
      <c r="F14" s="146" t="s">
        <v>56</v>
      </c>
      <c r="G14" s="277" t="s">
        <v>1255</v>
      </c>
      <c r="H14" s="909">
        <v>4</v>
      </c>
      <c r="L14" s="589"/>
      <c r="N14" s="589"/>
    </row>
    <row r="15" spans="1:16" s="639" customFormat="1" ht="18" customHeight="1">
      <c r="A15" s="148">
        <v>5</v>
      </c>
      <c r="B15" s="784" t="s">
        <v>104</v>
      </c>
      <c r="C15" s="708">
        <v>0</v>
      </c>
      <c r="D15" s="689">
        <v>87</v>
      </c>
      <c r="E15" s="689">
        <f t="shared" si="0"/>
        <v>87</v>
      </c>
      <c r="F15" s="709" t="s">
        <v>56</v>
      </c>
      <c r="G15" s="710" t="s">
        <v>19</v>
      </c>
      <c r="H15" s="24">
        <v>5</v>
      </c>
      <c r="L15" s="589"/>
      <c r="M15" s="589"/>
      <c r="N15" s="842"/>
    </row>
    <row r="16" spans="1:16" ht="18" customHeight="1">
      <c r="A16" s="147">
        <v>6</v>
      </c>
      <c r="B16" s="254" t="s">
        <v>143</v>
      </c>
      <c r="C16" s="144">
        <v>0</v>
      </c>
      <c r="D16" s="371">
        <v>417</v>
      </c>
      <c r="E16" s="145">
        <f t="shared" si="0"/>
        <v>417</v>
      </c>
      <c r="F16" s="146" t="s">
        <v>56</v>
      </c>
      <c r="G16" s="284" t="s">
        <v>28</v>
      </c>
      <c r="H16" s="909">
        <v>6</v>
      </c>
    </row>
    <row r="17" spans="1:8" s="639" customFormat="1" ht="18" customHeight="1">
      <c r="A17" s="148">
        <v>7</v>
      </c>
      <c r="B17" s="784" t="s">
        <v>144</v>
      </c>
      <c r="C17" s="708">
        <v>0</v>
      </c>
      <c r="D17" s="689">
        <v>117</v>
      </c>
      <c r="E17" s="689">
        <f t="shared" si="0"/>
        <v>117</v>
      </c>
      <c r="F17" s="709" t="s">
        <v>56</v>
      </c>
      <c r="G17" s="711" t="s">
        <v>29</v>
      </c>
      <c r="H17" s="24">
        <v>7</v>
      </c>
    </row>
    <row r="18" spans="1:8" ht="18" customHeight="1">
      <c r="A18" s="147">
        <v>8</v>
      </c>
      <c r="B18" s="254" t="s">
        <v>107</v>
      </c>
      <c r="C18" s="144">
        <v>0</v>
      </c>
      <c r="D18" s="371">
        <v>5</v>
      </c>
      <c r="E18" s="145">
        <f t="shared" si="0"/>
        <v>5</v>
      </c>
      <c r="F18" s="146" t="s">
        <v>56</v>
      </c>
      <c r="G18" s="284" t="s">
        <v>30</v>
      </c>
      <c r="H18" s="909">
        <v>8</v>
      </c>
    </row>
    <row r="19" spans="1:8" s="639" customFormat="1" ht="18" customHeight="1">
      <c r="A19" s="148">
        <v>9</v>
      </c>
      <c r="B19" s="784" t="s">
        <v>145</v>
      </c>
      <c r="C19" s="708">
        <v>0</v>
      </c>
      <c r="D19" s="689">
        <v>241</v>
      </c>
      <c r="E19" s="689">
        <f t="shared" si="0"/>
        <v>241</v>
      </c>
      <c r="F19" s="709" t="s">
        <v>56</v>
      </c>
      <c r="G19" s="710" t="s">
        <v>20</v>
      </c>
      <c r="H19" s="24">
        <v>9</v>
      </c>
    </row>
    <row r="20" spans="1:8" ht="18" customHeight="1">
      <c r="A20" s="147">
        <v>10</v>
      </c>
      <c r="B20" s="254" t="s">
        <v>146</v>
      </c>
      <c r="C20" s="144">
        <v>0</v>
      </c>
      <c r="D20" s="371">
        <v>81</v>
      </c>
      <c r="E20" s="145">
        <f t="shared" si="0"/>
        <v>81</v>
      </c>
      <c r="F20" s="146" t="s">
        <v>56</v>
      </c>
      <c r="G20" s="277" t="s">
        <v>21</v>
      </c>
      <c r="H20" s="909">
        <v>10</v>
      </c>
    </row>
    <row r="21" spans="1:8" s="639" customFormat="1" ht="18" customHeight="1">
      <c r="A21" s="148">
        <v>11</v>
      </c>
      <c r="B21" s="784" t="s">
        <v>110</v>
      </c>
      <c r="C21" s="708">
        <v>0</v>
      </c>
      <c r="D21" s="689">
        <v>95</v>
      </c>
      <c r="E21" s="689">
        <f t="shared" si="0"/>
        <v>95</v>
      </c>
      <c r="F21" s="709" t="s">
        <v>56</v>
      </c>
      <c r="G21" s="710" t="s">
        <v>31</v>
      </c>
      <c r="H21" s="24">
        <v>11</v>
      </c>
    </row>
    <row r="22" spans="1:8" ht="18" customHeight="1">
      <c r="A22" s="147">
        <v>12</v>
      </c>
      <c r="B22" s="254" t="s">
        <v>111</v>
      </c>
      <c r="C22" s="144">
        <v>0</v>
      </c>
      <c r="D22" s="371">
        <v>83</v>
      </c>
      <c r="E22" s="145">
        <f t="shared" si="0"/>
        <v>83</v>
      </c>
      <c r="F22" s="146" t="s">
        <v>56</v>
      </c>
      <c r="G22" s="285" t="s">
        <v>32</v>
      </c>
      <c r="H22" s="909">
        <v>12</v>
      </c>
    </row>
    <row r="23" spans="1:8" s="639" customFormat="1" ht="18" customHeight="1">
      <c r="A23" s="148">
        <v>13</v>
      </c>
      <c r="B23" s="784" t="s">
        <v>112</v>
      </c>
      <c r="C23" s="708">
        <v>0</v>
      </c>
      <c r="D23" s="689">
        <v>176</v>
      </c>
      <c r="E23" s="689">
        <f t="shared" si="0"/>
        <v>176</v>
      </c>
      <c r="F23" s="709" t="s">
        <v>56</v>
      </c>
      <c r="G23" s="712" t="s">
        <v>33</v>
      </c>
      <c r="H23" s="24">
        <v>13</v>
      </c>
    </row>
    <row r="24" spans="1:8" ht="18" customHeight="1">
      <c r="A24" s="147">
        <v>14</v>
      </c>
      <c r="B24" s="254" t="s">
        <v>113</v>
      </c>
      <c r="C24" s="144">
        <v>0</v>
      </c>
      <c r="D24" s="371">
        <v>237</v>
      </c>
      <c r="E24" s="145">
        <f t="shared" si="0"/>
        <v>237</v>
      </c>
      <c r="F24" s="146" t="s">
        <v>56</v>
      </c>
      <c r="G24" s="277" t="s">
        <v>34</v>
      </c>
      <c r="H24" s="909">
        <v>14</v>
      </c>
    </row>
    <row r="25" spans="1:8" s="639" customFormat="1" ht="18" customHeight="1">
      <c r="A25" s="148">
        <v>15</v>
      </c>
      <c r="B25" s="784" t="s">
        <v>763</v>
      </c>
      <c r="C25" s="708">
        <v>0</v>
      </c>
      <c r="D25" s="689">
        <v>151</v>
      </c>
      <c r="E25" s="689">
        <f t="shared" si="0"/>
        <v>151</v>
      </c>
      <c r="F25" s="709" t="s">
        <v>56</v>
      </c>
      <c r="G25" s="710" t="s">
        <v>1576</v>
      </c>
      <c r="H25" s="24">
        <v>15</v>
      </c>
    </row>
    <row r="26" spans="1:8" ht="18" customHeight="1">
      <c r="A26" s="147">
        <v>16</v>
      </c>
      <c r="B26" s="254" t="s">
        <v>69</v>
      </c>
      <c r="C26" s="144">
        <v>0</v>
      </c>
      <c r="D26" s="371">
        <v>51</v>
      </c>
      <c r="E26" s="145">
        <f t="shared" si="0"/>
        <v>51</v>
      </c>
      <c r="F26" s="146" t="s">
        <v>56</v>
      </c>
      <c r="G26" s="277" t="s">
        <v>35</v>
      </c>
      <c r="H26" s="909">
        <v>16</v>
      </c>
    </row>
    <row r="27" spans="1:8" s="639" customFormat="1" ht="18" customHeight="1">
      <c r="A27" s="148">
        <v>17</v>
      </c>
      <c r="B27" s="784" t="s">
        <v>147</v>
      </c>
      <c r="C27" s="708">
        <v>0</v>
      </c>
      <c r="D27" s="689">
        <v>247</v>
      </c>
      <c r="E27" s="689">
        <f t="shared" si="0"/>
        <v>247</v>
      </c>
      <c r="F27" s="709" t="s">
        <v>56</v>
      </c>
      <c r="G27" s="711" t="s">
        <v>36</v>
      </c>
      <c r="H27" s="24">
        <v>17</v>
      </c>
    </row>
    <row r="28" spans="1:8" ht="18" customHeight="1">
      <c r="A28" s="147">
        <v>18</v>
      </c>
      <c r="B28" s="254" t="s">
        <v>148</v>
      </c>
      <c r="C28" s="144">
        <v>0</v>
      </c>
      <c r="D28" s="371">
        <v>167</v>
      </c>
      <c r="E28" s="145">
        <f t="shared" si="0"/>
        <v>167</v>
      </c>
      <c r="F28" s="146" t="s">
        <v>56</v>
      </c>
      <c r="G28" s="284" t="s">
        <v>37</v>
      </c>
      <c r="H28" s="909">
        <v>18</v>
      </c>
    </row>
    <row r="29" spans="1:8" s="639" customFormat="1" ht="18" customHeight="1">
      <c r="A29" s="148">
        <v>19</v>
      </c>
      <c r="B29" s="784" t="s">
        <v>149</v>
      </c>
      <c r="C29" s="708">
        <v>0</v>
      </c>
      <c r="D29" s="689">
        <v>131</v>
      </c>
      <c r="E29" s="689">
        <f t="shared" si="0"/>
        <v>131</v>
      </c>
      <c r="F29" s="709" t="s">
        <v>56</v>
      </c>
      <c r="G29" s="711" t="s">
        <v>38</v>
      </c>
      <c r="H29" s="24">
        <v>19</v>
      </c>
    </row>
    <row r="30" spans="1:8" ht="18" customHeight="1">
      <c r="A30" s="147">
        <v>20</v>
      </c>
      <c r="B30" s="254" t="s">
        <v>150</v>
      </c>
      <c r="C30" s="144">
        <v>0</v>
      </c>
      <c r="D30" s="371">
        <v>56</v>
      </c>
      <c r="E30" s="145">
        <f t="shared" si="0"/>
        <v>56</v>
      </c>
      <c r="F30" s="146" t="s">
        <v>56</v>
      </c>
      <c r="G30" s="284" t="s">
        <v>39</v>
      </c>
      <c r="H30" s="909">
        <v>20</v>
      </c>
    </row>
    <row r="31" spans="1:8" s="639" customFormat="1" ht="18" customHeight="1">
      <c r="A31" s="148">
        <v>21</v>
      </c>
      <c r="B31" s="784" t="s">
        <v>151</v>
      </c>
      <c r="C31" s="708">
        <v>0</v>
      </c>
      <c r="D31" s="689">
        <v>277</v>
      </c>
      <c r="E31" s="689">
        <f t="shared" si="0"/>
        <v>277</v>
      </c>
      <c r="F31" s="709" t="s">
        <v>56</v>
      </c>
      <c r="G31" s="711" t="s">
        <v>40</v>
      </c>
      <c r="H31" s="24">
        <v>21</v>
      </c>
    </row>
    <row r="32" spans="1:8" ht="18" customHeight="1">
      <c r="A32" s="147">
        <v>22</v>
      </c>
      <c r="B32" s="254" t="s">
        <v>152</v>
      </c>
      <c r="C32" s="144">
        <v>0</v>
      </c>
      <c r="D32" s="371">
        <v>58</v>
      </c>
      <c r="E32" s="145">
        <f t="shared" si="0"/>
        <v>58</v>
      </c>
      <c r="F32" s="146" t="s">
        <v>56</v>
      </c>
      <c r="G32" s="284" t="s">
        <v>41</v>
      </c>
      <c r="H32" s="909">
        <v>22</v>
      </c>
    </row>
    <row r="33" spans="1:13" s="639" customFormat="1" ht="18" customHeight="1">
      <c r="A33" s="148">
        <v>23</v>
      </c>
      <c r="B33" s="784" t="s">
        <v>121</v>
      </c>
      <c r="C33" s="708">
        <v>0</v>
      </c>
      <c r="D33" s="689">
        <v>66</v>
      </c>
      <c r="E33" s="689">
        <f t="shared" si="0"/>
        <v>66</v>
      </c>
      <c r="F33" s="709" t="s">
        <v>56</v>
      </c>
      <c r="G33" s="711" t="s">
        <v>22</v>
      </c>
      <c r="H33" s="24">
        <v>23</v>
      </c>
    </row>
    <row r="34" spans="1:13" ht="18" customHeight="1">
      <c r="A34" s="147">
        <v>24</v>
      </c>
      <c r="B34" s="254" t="s">
        <v>122</v>
      </c>
      <c r="C34" s="144">
        <v>0</v>
      </c>
      <c r="D34" s="371">
        <v>73</v>
      </c>
      <c r="E34" s="145">
        <f t="shared" si="0"/>
        <v>73</v>
      </c>
      <c r="F34" s="146" t="s">
        <v>56</v>
      </c>
      <c r="G34" s="284" t="s">
        <v>23</v>
      </c>
      <c r="H34" s="909">
        <v>24</v>
      </c>
    </row>
    <row r="35" spans="1:13" s="639" customFormat="1" ht="18" customHeight="1">
      <c r="A35" s="148">
        <v>25</v>
      </c>
      <c r="B35" s="784" t="s">
        <v>123</v>
      </c>
      <c r="C35" s="708">
        <v>0</v>
      </c>
      <c r="D35" s="689">
        <v>50</v>
      </c>
      <c r="E35" s="689">
        <f t="shared" si="0"/>
        <v>50</v>
      </c>
      <c r="F35" s="709" t="s">
        <v>56</v>
      </c>
      <c r="G35" s="711" t="s">
        <v>42</v>
      </c>
      <c r="H35" s="24">
        <v>25</v>
      </c>
    </row>
    <row r="36" spans="1:13" ht="18" customHeight="1">
      <c r="A36" s="147">
        <v>26</v>
      </c>
      <c r="B36" s="254" t="s">
        <v>153</v>
      </c>
      <c r="C36" s="144">
        <v>0</v>
      </c>
      <c r="D36" s="371">
        <v>30</v>
      </c>
      <c r="E36" s="145">
        <f t="shared" si="0"/>
        <v>30</v>
      </c>
      <c r="F36" s="146" t="s">
        <v>56</v>
      </c>
      <c r="G36" s="284" t="s">
        <v>44</v>
      </c>
      <c r="H36" s="909">
        <v>26</v>
      </c>
    </row>
    <row r="37" spans="1:13" s="639" customFormat="1" ht="18" customHeight="1">
      <c r="A37" s="148">
        <v>27</v>
      </c>
      <c r="B37" s="784" t="s">
        <v>154</v>
      </c>
      <c r="C37" s="708">
        <v>0</v>
      </c>
      <c r="D37" s="689">
        <v>160</v>
      </c>
      <c r="E37" s="689">
        <f t="shared" si="0"/>
        <v>160</v>
      </c>
      <c r="F37" s="709" t="s">
        <v>56</v>
      </c>
      <c r="G37" s="711" t="s">
        <v>45</v>
      </c>
      <c r="H37" s="24">
        <v>27</v>
      </c>
    </row>
    <row r="38" spans="1:13" ht="18" customHeight="1">
      <c r="A38" s="147">
        <v>28</v>
      </c>
      <c r="B38" s="254" t="s">
        <v>155</v>
      </c>
      <c r="C38" s="144">
        <v>0</v>
      </c>
      <c r="D38" s="371">
        <v>98</v>
      </c>
      <c r="E38" s="145">
        <f t="shared" si="0"/>
        <v>98</v>
      </c>
      <c r="F38" s="146" t="s">
        <v>56</v>
      </c>
      <c r="G38" s="284" t="s">
        <v>46</v>
      </c>
      <c r="H38" s="909">
        <v>28</v>
      </c>
    </row>
    <row r="39" spans="1:13" s="639" customFormat="1" ht="18" customHeight="1">
      <c r="A39" s="148">
        <v>29</v>
      </c>
      <c r="B39" s="784" t="s">
        <v>156</v>
      </c>
      <c r="C39" s="708">
        <v>0</v>
      </c>
      <c r="D39" s="689">
        <v>186</v>
      </c>
      <c r="E39" s="689">
        <f t="shared" si="0"/>
        <v>186</v>
      </c>
      <c r="F39" s="709" t="s">
        <v>56</v>
      </c>
      <c r="G39" s="711" t="s">
        <v>47</v>
      </c>
      <c r="H39" s="24">
        <v>29</v>
      </c>
    </row>
    <row r="40" spans="1:13" ht="18" customHeight="1">
      <c r="A40" s="147">
        <v>30</v>
      </c>
      <c r="B40" s="254" t="s">
        <v>157</v>
      </c>
      <c r="C40" s="144">
        <v>0</v>
      </c>
      <c r="D40" s="371">
        <v>313</v>
      </c>
      <c r="E40" s="145">
        <f t="shared" si="0"/>
        <v>313</v>
      </c>
      <c r="F40" s="146" t="s">
        <v>56</v>
      </c>
      <c r="G40" s="284" t="s">
        <v>48</v>
      </c>
      <c r="H40" s="909">
        <v>30</v>
      </c>
      <c r="M40"/>
    </row>
    <row r="41" spans="1:13" s="639" customFormat="1" ht="18" customHeight="1">
      <c r="A41" s="148">
        <v>31</v>
      </c>
      <c r="B41" s="784" t="s">
        <v>129</v>
      </c>
      <c r="C41" s="708">
        <v>0</v>
      </c>
      <c r="D41" s="689">
        <v>69</v>
      </c>
      <c r="E41" s="689">
        <f t="shared" si="0"/>
        <v>69</v>
      </c>
      <c r="F41" s="709" t="s">
        <v>56</v>
      </c>
      <c r="G41" s="711" t="s">
        <v>24</v>
      </c>
      <c r="H41" s="24">
        <v>31</v>
      </c>
    </row>
    <row r="42" spans="1:13" ht="18" customHeight="1">
      <c r="A42" s="147">
        <v>32</v>
      </c>
      <c r="B42" s="254" t="s">
        <v>130</v>
      </c>
      <c r="C42" s="144">
        <v>0</v>
      </c>
      <c r="D42" s="371">
        <v>162</v>
      </c>
      <c r="E42" s="145">
        <f t="shared" si="0"/>
        <v>162</v>
      </c>
      <c r="F42" s="146" t="s">
        <v>56</v>
      </c>
      <c r="G42" s="284" t="s">
        <v>25</v>
      </c>
      <c r="H42" s="909">
        <v>32</v>
      </c>
      <c r="M42"/>
    </row>
    <row r="43" spans="1:13" s="639" customFormat="1" ht="18" customHeight="1">
      <c r="A43" s="148">
        <v>33</v>
      </c>
      <c r="B43" s="784" t="s">
        <v>131</v>
      </c>
      <c r="C43" s="708">
        <v>0</v>
      </c>
      <c r="D43" s="689">
        <v>85</v>
      </c>
      <c r="E43" s="689">
        <f t="shared" si="0"/>
        <v>85</v>
      </c>
      <c r="F43" s="709" t="s">
        <v>56</v>
      </c>
      <c r="G43" s="711" t="s">
        <v>49</v>
      </c>
      <c r="H43" s="24">
        <v>33</v>
      </c>
    </row>
    <row r="44" spans="1:13" ht="18" customHeight="1">
      <c r="A44" s="160">
        <v>34</v>
      </c>
      <c r="B44" s="502" t="s">
        <v>158</v>
      </c>
      <c r="C44" s="552">
        <v>0</v>
      </c>
      <c r="D44" s="553">
        <v>42</v>
      </c>
      <c r="E44" s="145">
        <f t="shared" si="0"/>
        <v>42</v>
      </c>
      <c r="F44" s="554" t="s">
        <v>56</v>
      </c>
      <c r="G44" s="555" t="s">
        <v>50</v>
      </c>
      <c r="H44" s="910">
        <v>34</v>
      </c>
      <c r="M44"/>
    </row>
    <row r="45" spans="1:13" ht="18.75" customHeight="1">
      <c r="A45" s="1549" t="s">
        <v>760</v>
      </c>
      <c r="B45" s="1549"/>
      <c r="C45" s="1549"/>
      <c r="D45" s="1549"/>
      <c r="E45" s="1546" t="s">
        <v>1577</v>
      </c>
      <c r="F45" s="1546"/>
      <c r="G45" s="1546"/>
      <c r="H45" s="1546"/>
    </row>
    <row r="46" spans="1:13" ht="23.25" customHeight="1">
      <c r="A46" s="1448" t="s">
        <v>2167</v>
      </c>
      <c r="B46" s="1448"/>
      <c r="C46" s="1448"/>
      <c r="D46" s="1448"/>
      <c r="E46" s="1448"/>
      <c r="F46" s="1448"/>
      <c r="G46" s="1448"/>
      <c r="H46" s="1448"/>
    </row>
    <row r="47" spans="1:13" ht="18" customHeight="1">
      <c r="A47" s="1453" t="s">
        <v>2168</v>
      </c>
      <c r="B47" s="1453"/>
      <c r="C47" s="1453"/>
      <c r="D47" s="1453"/>
      <c r="E47" s="1453"/>
      <c r="F47" s="1453"/>
      <c r="G47" s="1453"/>
      <c r="H47" s="1453"/>
    </row>
    <row r="49" spans="3:8">
      <c r="C49" s="1547"/>
      <c r="D49" s="1547"/>
      <c r="E49" s="1547"/>
      <c r="F49" s="1547"/>
      <c r="G49" s="1547"/>
      <c r="H49" s="1547"/>
    </row>
    <row r="50" spans="3:8">
      <c r="C50" s="1548"/>
      <c r="D50" s="1548"/>
      <c r="E50" s="1548"/>
      <c r="F50" s="1548"/>
      <c r="G50" s="1548"/>
      <c r="H50" s="1548"/>
    </row>
  </sheetData>
  <mergeCells count="18">
    <mergeCell ref="E45:H45"/>
    <mergeCell ref="A47:H47"/>
    <mergeCell ref="A46:H46"/>
    <mergeCell ref="C49:H49"/>
    <mergeCell ref="C50:H50"/>
    <mergeCell ref="A45:D45"/>
    <mergeCell ref="A1:H1"/>
    <mergeCell ref="A2:H2"/>
    <mergeCell ref="A3:H3"/>
    <mergeCell ref="A4:A9"/>
    <mergeCell ref="B4:B9"/>
    <mergeCell ref="C4:E5"/>
    <mergeCell ref="F4:F5"/>
    <mergeCell ref="G4:G9"/>
    <mergeCell ref="H4:H9"/>
    <mergeCell ref="C6:E6"/>
    <mergeCell ref="F6:F7"/>
    <mergeCell ref="F8:F9"/>
  </mergeCells>
  <printOptions horizontalCentered="1"/>
  <pageMargins left="0" right="0" top="0.06" bottom="0.6" header="0.03" footer="0.39370078740157499"/>
  <pageSetup paperSize="9" orientation="portrait" r:id="rId1"/>
  <headerFooter>
    <oddFooter>&amp;L&amp;"Times New Roman,Regular"&amp;10    Afghanistan Statistical Yearbook 2023-24&amp;R&amp;"Times New Roman,Regular"&amp;10          د ۱۴۰۲ احصایيوي کالنۍ  /سالنامه احصائیوی ۱۴۰۲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theme="0"/>
  </sheetPr>
  <dimension ref="A1:S40"/>
  <sheetViews>
    <sheetView view="pageBreakPreview" topLeftCell="A3" zoomScale="112" zoomScaleNormal="80" zoomScaleSheetLayoutView="112" workbookViewId="0">
      <selection activeCell="A3" sqref="A3:G3"/>
    </sheetView>
  </sheetViews>
  <sheetFormatPr baseColWidth="10" defaultColWidth="8.83203125" defaultRowHeight="15"/>
  <cols>
    <col min="1" max="1" width="5.5" style="100" customWidth="1"/>
    <col min="2" max="2" width="18" style="100" customWidth="1"/>
    <col min="3" max="3" width="12.1640625" style="447" customWidth="1"/>
    <col min="4" max="4" width="16" style="447" customWidth="1"/>
    <col min="5" max="5" width="13.5" style="447" customWidth="1"/>
    <col min="6" max="6" width="29.83203125" style="447" customWidth="1"/>
    <col min="7" max="7" width="4.6640625" style="447" customWidth="1"/>
    <col min="8" max="12" width="9.1640625" style="100"/>
  </cols>
  <sheetData>
    <row r="1" spans="1:19" ht="35.25" hidden="1" customHeight="1">
      <c r="A1" s="1551" t="s">
        <v>2212</v>
      </c>
      <c r="B1" s="1551"/>
      <c r="C1" s="1551"/>
      <c r="D1" s="1551"/>
      <c r="E1" s="1551"/>
      <c r="F1" s="1551"/>
      <c r="G1" s="1551"/>
      <c r="H1" s="463"/>
      <c r="I1" s="463"/>
      <c r="J1" s="463"/>
      <c r="K1" s="463"/>
      <c r="L1" s="463"/>
      <c r="M1" s="111"/>
      <c r="N1" s="111"/>
      <c r="O1" s="111"/>
      <c r="P1" s="111"/>
    </row>
    <row r="2" spans="1:19" ht="35.25" hidden="1" customHeight="1">
      <c r="A2" s="1551" t="s">
        <v>2213</v>
      </c>
      <c r="B2" s="1551"/>
      <c r="C2" s="1551"/>
      <c r="D2" s="1551"/>
      <c r="E2" s="1551"/>
      <c r="F2" s="1551"/>
      <c r="G2" s="1551"/>
      <c r="H2" s="463"/>
      <c r="I2" s="463"/>
      <c r="J2" s="463"/>
      <c r="K2" s="463"/>
      <c r="L2" s="463"/>
      <c r="M2" s="111"/>
      <c r="N2" s="111"/>
      <c r="O2" s="111"/>
      <c r="P2" s="111"/>
    </row>
    <row r="3" spans="1:19" ht="33.75" customHeight="1">
      <c r="A3" s="1444" t="s">
        <v>2214</v>
      </c>
      <c r="B3" s="1444"/>
      <c r="C3" s="1478"/>
      <c r="D3" s="1478"/>
      <c r="E3" s="1478"/>
      <c r="F3" s="1444"/>
      <c r="G3" s="1444"/>
      <c r="H3" s="463"/>
      <c r="I3" s="463"/>
      <c r="J3" s="463"/>
      <c r="K3" s="463"/>
      <c r="L3" s="463"/>
      <c r="M3" s="111"/>
      <c r="N3" s="111"/>
      <c r="O3" s="111"/>
      <c r="P3" s="111"/>
    </row>
    <row r="4" spans="1:19" ht="25.5" customHeight="1">
      <c r="A4" s="1343" t="s">
        <v>621</v>
      </c>
      <c r="B4" s="1522" t="s">
        <v>90</v>
      </c>
      <c r="C4" s="1216">
        <v>1402</v>
      </c>
      <c r="D4" s="1216">
        <v>1401</v>
      </c>
      <c r="E4" s="1216">
        <v>1400</v>
      </c>
      <c r="F4" s="1533" t="s">
        <v>11</v>
      </c>
      <c r="G4" s="1456" t="s">
        <v>727</v>
      </c>
    </row>
    <row r="5" spans="1:19" ht="36" customHeight="1">
      <c r="A5" s="1267"/>
      <c r="B5" s="1523"/>
      <c r="C5" s="1217" t="s">
        <v>772</v>
      </c>
      <c r="D5" s="1217" t="s">
        <v>725</v>
      </c>
      <c r="E5" s="1217" t="s">
        <v>726</v>
      </c>
      <c r="F5" s="1552"/>
      <c r="G5" s="1457"/>
    </row>
    <row r="6" spans="1:19" ht="46.5" customHeight="1">
      <c r="A6" s="400">
        <v>1</v>
      </c>
      <c r="B6" s="563" t="s">
        <v>478</v>
      </c>
      <c r="C6" s="1051">
        <v>9</v>
      </c>
      <c r="D6" s="1050">
        <v>11</v>
      </c>
      <c r="E6" s="1055">
        <v>10</v>
      </c>
      <c r="F6" s="431" t="s">
        <v>1309</v>
      </c>
      <c r="G6" s="500">
        <v>1</v>
      </c>
    </row>
    <row r="7" spans="1:19" ht="50" customHeight="1">
      <c r="A7" s="257">
        <v>2</v>
      </c>
      <c r="B7" s="836" t="s">
        <v>479</v>
      </c>
      <c r="C7" s="1054">
        <f>C8+C9</f>
        <v>2201</v>
      </c>
      <c r="D7" s="1053">
        <f>D8+D9</f>
        <v>1821</v>
      </c>
      <c r="E7" s="1053">
        <f>E8+E9</f>
        <v>2421</v>
      </c>
      <c r="F7" s="1052" t="s">
        <v>1578</v>
      </c>
      <c r="G7" s="875">
        <v>2</v>
      </c>
      <c r="K7" s="455"/>
    </row>
    <row r="8" spans="1:19" ht="50" customHeight="1">
      <c r="A8" s="147">
        <v>2.1</v>
      </c>
      <c r="B8" s="548" t="s">
        <v>134</v>
      </c>
      <c r="C8" s="280">
        <v>1125</v>
      </c>
      <c r="D8" s="288">
        <v>911</v>
      </c>
      <c r="E8" s="454">
        <v>1197</v>
      </c>
      <c r="F8" s="287" t="s">
        <v>1579</v>
      </c>
      <c r="G8" s="876" t="s">
        <v>3</v>
      </c>
      <c r="K8" s="455"/>
      <c r="S8" s="4"/>
    </row>
    <row r="9" spans="1:19" ht="50" customHeight="1">
      <c r="A9" s="148">
        <v>2.2000000000000002</v>
      </c>
      <c r="B9" s="659" t="s">
        <v>133</v>
      </c>
      <c r="C9" s="656">
        <v>1076</v>
      </c>
      <c r="D9" s="657">
        <v>910</v>
      </c>
      <c r="E9" s="197">
        <v>1224</v>
      </c>
      <c r="F9" s="660" t="s">
        <v>1584</v>
      </c>
      <c r="G9" s="877" t="s">
        <v>5</v>
      </c>
      <c r="K9" s="455"/>
    </row>
    <row r="10" spans="1:19" ht="45.75" customHeight="1">
      <c r="A10" s="400">
        <v>3</v>
      </c>
      <c r="B10" s="1094" t="s">
        <v>482</v>
      </c>
      <c r="C10" s="1051">
        <f>C11+C12</f>
        <v>522</v>
      </c>
      <c r="D10" s="1050">
        <f>D11+D12</f>
        <v>871</v>
      </c>
      <c r="E10" s="1050">
        <f>E11+E12</f>
        <v>641</v>
      </c>
      <c r="F10" s="1049" t="s">
        <v>1580</v>
      </c>
      <c r="G10" s="500">
        <v>3</v>
      </c>
      <c r="K10" s="455"/>
    </row>
    <row r="11" spans="1:19" ht="38.25" customHeight="1">
      <c r="A11" s="148">
        <v>3.1</v>
      </c>
      <c r="B11" s="659" t="s">
        <v>134</v>
      </c>
      <c r="C11" s="656">
        <v>338</v>
      </c>
      <c r="D11" s="657">
        <v>366</v>
      </c>
      <c r="E11" s="197">
        <v>468</v>
      </c>
      <c r="F11" s="660" t="s">
        <v>1579</v>
      </c>
      <c r="G11" s="877" t="s">
        <v>604</v>
      </c>
      <c r="I11" s="449"/>
      <c r="K11" s="455"/>
    </row>
    <row r="12" spans="1:19" ht="50" customHeight="1">
      <c r="A12" s="147">
        <v>3.2</v>
      </c>
      <c r="B12" s="548" t="s">
        <v>133</v>
      </c>
      <c r="C12" s="280">
        <v>184</v>
      </c>
      <c r="D12" s="288">
        <v>505</v>
      </c>
      <c r="E12" s="454">
        <v>173</v>
      </c>
      <c r="F12" s="287" t="s">
        <v>1584</v>
      </c>
      <c r="G12" s="876" t="s">
        <v>617</v>
      </c>
      <c r="K12" s="455"/>
      <c r="L12" s="463"/>
    </row>
    <row r="13" spans="1:19" ht="50" customHeight="1">
      <c r="A13" s="257">
        <v>4</v>
      </c>
      <c r="B13" s="836" t="s">
        <v>480</v>
      </c>
      <c r="C13" s="1054">
        <f>C14+C15</f>
        <v>438</v>
      </c>
      <c r="D13" s="1053">
        <f>D14+D15</f>
        <v>936</v>
      </c>
      <c r="E13" s="1053">
        <f>E14+E15</f>
        <v>936</v>
      </c>
      <c r="F13" s="1052" t="s">
        <v>1581</v>
      </c>
      <c r="G13" s="875">
        <v>4</v>
      </c>
      <c r="K13" s="455"/>
    </row>
    <row r="14" spans="1:19" ht="50" customHeight="1">
      <c r="A14" s="147">
        <v>4.0999999999999996</v>
      </c>
      <c r="B14" s="548" t="s">
        <v>134</v>
      </c>
      <c r="C14" s="280">
        <v>240</v>
      </c>
      <c r="D14" s="288">
        <v>509</v>
      </c>
      <c r="E14" s="454">
        <v>509</v>
      </c>
      <c r="F14" s="287" t="s">
        <v>1579</v>
      </c>
      <c r="G14" s="876" t="s">
        <v>739</v>
      </c>
      <c r="K14" s="455"/>
    </row>
    <row r="15" spans="1:19" ht="50" customHeight="1">
      <c r="A15" s="148">
        <v>4.2</v>
      </c>
      <c r="B15" s="659" t="s">
        <v>133</v>
      </c>
      <c r="C15" s="656">
        <v>198</v>
      </c>
      <c r="D15" s="657">
        <v>427</v>
      </c>
      <c r="E15" s="197">
        <v>427</v>
      </c>
      <c r="F15" s="660" t="s">
        <v>1584</v>
      </c>
      <c r="G15" s="877" t="s">
        <v>740</v>
      </c>
      <c r="K15" s="455"/>
    </row>
    <row r="16" spans="1:19" ht="42.75" customHeight="1">
      <c r="A16" s="400">
        <v>5</v>
      </c>
      <c r="B16" s="618" t="s">
        <v>268</v>
      </c>
      <c r="C16" s="1051">
        <f>C17+C18</f>
        <v>224</v>
      </c>
      <c r="D16" s="1050">
        <f>D17+D18</f>
        <v>299</v>
      </c>
      <c r="E16" s="1050">
        <f>E17+E18</f>
        <v>293</v>
      </c>
      <c r="F16" s="1049" t="s">
        <v>1582</v>
      </c>
      <c r="G16" s="500">
        <v>5</v>
      </c>
      <c r="K16" s="455"/>
    </row>
    <row r="17" spans="1:13" ht="50" customHeight="1">
      <c r="A17" s="148">
        <v>5.0999999999999996</v>
      </c>
      <c r="B17" s="659" t="s">
        <v>134</v>
      </c>
      <c r="C17" s="656">
        <v>129</v>
      </c>
      <c r="D17" s="657">
        <v>152</v>
      </c>
      <c r="E17" s="197">
        <v>152</v>
      </c>
      <c r="F17" s="660" t="s">
        <v>1579</v>
      </c>
      <c r="G17" s="877" t="s">
        <v>737</v>
      </c>
      <c r="I17" s="450"/>
      <c r="K17" s="455"/>
    </row>
    <row r="18" spans="1:13" ht="44.25" customHeight="1">
      <c r="A18" s="160">
        <v>5.2</v>
      </c>
      <c r="B18" s="549" t="s">
        <v>133</v>
      </c>
      <c r="C18" s="984">
        <v>95</v>
      </c>
      <c r="D18" s="550">
        <v>147</v>
      </c>
      <c r="E18" s="456">
        <v>141</v>
      </c>
      <c r="F18" s="457" t="s">
        <v>1584</v>
      </c>
      <c r="G18" s="919" t="s">
        <v>738</v>
      </c>
      <c r="K18" s="455"/>
      <c r="L18" s="100" t="s">
        <v>57</v>
      </c>
    </row>
    <row r="19" spans="1:13" ht="24.75" customHeight="1">
      <c r="A19" s="1458" t="s">
        <v>759</v>
      </c>
      <c r="B19" s="1458"/>
      <c r="C19" s="1458"/>
      <c r="D19" s="442"/>
      <c r="E19" s="442"/>
      <c r="F19" s="1550" t="s">
        <v>1583</v>
      </c>
      <c r="G19" s="1550"/>
    </row>
    <row r="20" spans="1:13" ht="20" customHeight="1">
      <c r="B20" s="413"/>
      <c r="C20" s="458"/>
      <c r="D20" s="458"/>
      <c r="E20" s="458"/>
      <c r="F20" s="459"/>
    </row>
    <row r="21" spans="1:13">
      <c r="B21" s="413"/>
    </row>
    <row r="22" spans="1:13">
      <c r="B22" s="413"/>
    </row>
    <row r="23" spans="1:13">
      <c r="B23" s="413"/>
    </row>
    <row r="24" spans="1:13">
      <c r="B24" s="413"/>
    </row>
    <row r="25" spans="1:13">
      <c r="B25" s="413"/>
      <c r="K25" s="449"/>
      <c r="L25" s="449"/>
      <c r="M25" s="1"/>
    </row>
    <row r="26" spans="1:13">
      <c r="B26" s="413"/>
    </row>
    <row r="27" spans="1:13">
      <c r="B27" s="413"/>
      <c r="K27" s="453"/>
    </row>
    <row r="28" spans="1:13">
      <c r="B28" s="413"/>
      <c r="K28" s="453"/>
    </row>
    <row r="29" spans="1:13">
      <c r="B29" s="413"/>
      <c r="K29" s="453"/>
    </row>
    <row r="30" spans="1:13">
      <c r="B30" s="551"/>
    </row>
    <row r="31" spans="1:13">
      <c r="B31" s="413"/>
    </row>
    <row r="32" spans="1:13">
      <c r="B32" s="413"/>
    </row>
    <row r="33" spans="2:15">
      <c r="B33" s="413"/>
    </row>
    <row r="34" spans="2:15">
      <c r="B34" s="413"/>
      <c r="M34" s="21"/>
      <c r="N34" s="21"/>
      <c r="O34" s="21"/>
    </row>
    <row r="35" spans="2:15">
      <c r="B35" s="413"/>
      <c r="M35" s="21"/>
      <c r="N35" s="21"/>
      <c r="O35" s="21"/>
    </row>
    <row r="36" spans="2:15">
      <c r="B36" s="413"/>
      <c r="M36" s="21"/>
      <c r="N36" s="21"/>
      <c r="O36" s="21"/>
    </row>
    <row r="37" spans="2:15">
      <c r="B37" s="413"/>
    </row>
    <row r="38" spans="2:15">
      <c r="B38" s="413"/>
    </row>
    <row r="39" spans="2:15">
      <c r="B39" s="413"/>
    </row>
    <row r="40" spans="2:15">
      <c r="B40" s="413"/>
    </row>
  </sheetData>
  <dataConsolidate/>
  <mergeCells count="9">
    <mergeCell ref="A19:C19"/>
    <mergeCell ref="F19:G19"/>
    <mergeCell ref="A1:G1"/>
    <mergeCell ref="A2:G2"/>
    <mergeCell ref="A3:G3"/>
    <mergeCell ref="A4:A5"/>
    <mergeCell ref="B4:B5"/>
    <mergeCell ref="F4:F5"/>
    <mergeCell ref="G4:G5"/>
  </mergeCells>
  <printOptions horizontalCentered="1"/>
  <pageMargins left="0" right="0" top="0.06" bottom="0.6" header="0.03" footer="0.39370078740157499"/>
  <pageSetup paperSize="9" orientation="portrait" r:id="rId1"/>
  <headerFooter>
    <oddFooter>&amp;L&amp;"Times New Roman,Regular"&amp;10    Afghanistan Statistical Yearbook 2023-24&amp;R&amp;"Times New Roman,Regular"&amp;10          د ۱۴۰۲ احصایيوي کالنۍ  /سالنامه احصائیوی ۱۴۰۲</oddFooter>
  </headerFooter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theme="0"/>
  </sheetPr>
  <dimension ref="A1:Q46"/>
  <sheetViews>
    <sheetView view="pageBreakPreview" topLeftCell="A3" zoomScale="154" zoomScaleSheetLayoutView="154" workbookViewId="0">
      <selection activeCell="A3" sqref="A3:G3"/>
    </sheetView>
  </sheetViews>
  <sheetFormatPr baseColWidth="10" defaultColWidth="8.83203125" defaultRowHeight="28" customHeight="1"/>
  <cols>
    <col min="1" max="1" width="4.5" style="100" customWidth="1"/>
    <col min="2" max="2" width="28.1640625" style="100" customWidth="1"/>
    <col min="3" max="3" width="9.6640625" style="447" customWidth="1"/>
    <col min="4" max="4" width="10.5" style="447" customWidth="1"/>
    <col min="5" max="5" width="9.6640625" style="447" customWidth="1"/>
    <col min="6" max="6" width="33.6640625" style="447" customWidth="1"/>
    <col min="7" max="7" width="4" style="447" customWidth="1"/>
    <col min="8" max="8" width="9.1640625" style="100"/>
    <col min="9" max="9" width="10.1640625" style="100" bestFit="1" customWidth="1"/>
    <col min="10" max="10" width="9.1640625" style="100"/>
    <col min="11" max="11" width="9.5" style="100" customWidth="1"/>
    <col min="12" max="12" width="25.1640625" style="100" customWidth="1"/>
    <col min="14" max="14" width="14.5" bestFit="1" customWidth="1"/>
    <col min="17" max="17" width="12.1640625" bestFit="1" customWidth="1"/>
  </cols>
  <sheetData>
    <row r="1" spans="1:17" ht="33" hidden="1" customHeight="1">
      <c r="A1" s="1551" t="s">
        <v>2209</v>
      </c>
      <c r="B1" s="1551"/>
      <c r="C1" s="1551"/>
      <c r="D1" s="1551"/>
      <c r="E1" s="1551"/>
      <c r="F1" s="1551"/>
      <c r="G1" s="1551"/>
      <c r="H1" s="338"/>
      <c r="I1" s="463"/>
      <c r="J1" s="463"/>
      <c r="K1" s="463"/>
      <c r="L1" s="463"/>
      <c r="M1" s="111"/>
      <c r="N1" s="111"/>
      <c r="O1" s="111"/>
      <c r="P1" s="111"/>
    </row>
    <row r="2" spans="1:17" ht="30.75" hidden="1" customHeight="1">
      <c r="A2" s="1551" t="s">
        <v>2210</v>
      </c>
      <c r="B2" s="1551"/>
      <c r="C2" s="1551"/>
      <c r="D2" s="1551"/>
      <c r="E2" s="1551"/>
      <c r="F2" s="1551"/>
      <c r="G2" s="1551"/>
      <c r="H2" s="338"/>
      <c r="I2" s="463"/>
      <c r="J2" s="463"/>
      <c r="K2" s="463"/>
      <c r="L2" s="463"/>
      <c r="M2" s="111"/>
      <c r="N2" s="111"/>
      <c r="O2" s="111"/>
      <c r="P2" s="111"/>
    </row>
    <row r="3" spans="1:17" ht="30.75" customHeight="1">
      <c r="A3" s="1478" t="s">
        <v>2211</v>
      </c>
      <c r="B3" s="1478"/>
      <c r="C3" s="1478"/>
      <c r="D3" s="1478"/>
      <c r="E3" s="1478"/>
      <c r="F3" s="1478"/>
      <c r="G3" s="1478"/>
      <c r="H3" s="338"/>
      <c r="I3" s="463"/>
      <c r="J3" s="463"/>
      <c r="K3" s="463"/>
      <c r="L3" s="463"/>
      <c r="M3" s="111"/>
      <c r="N3" s="111"/>
      <c r="O3" s="111"/>
      <c r="P3" s="111"/>
    </row>
    <row r="4" spans="1:17" ht="28.5" customHeight="1">
      <c r="A4" s="1343" t="s">
        <v>621</v>
      </c>
      <c r="B4" s="1522" t="s">
        <v>90</v>
      </c>
      <c r="C4" s="1216">
        <v>1402</v>
      </c>
      <c r="D4" s="1216">
        <v>1401</v>
      </c>
      <c r="E4" s="1216">
        <v>1400</v>
      </c>
      <c r="F4" s="1533" t="s">
        <v>11</v>
      </c>
      <c r="G4" s="1456" t="s">
        <v>727</v>
      </c>
      <c r="H4" s="447"/>
    </row>
    <row r="5" spans="1:17" ht="23.25" customHeight="1">
      <c r="A5" s="1267"/>
      <c r="B5" s="1523"/>
      <c r="C5" s="1217" t="s">
        <v>772</v>
      </c>
      <c r="D5" s="1217" t="s">
        <v>725</v>
      </c>
      <c r="E5" s="1217" t="s">
        <v>726</v>
      </c>
      <c r="F5" s="1552"/>
      <c r="G5" s="1457"/>
      <c r="H5" s="447"/>
    </row>
    <row r="6" spans="1:17" ht="39.75" customHeight="1">
      <c r="A6" s="400">
        <v>1</v>
      </c>
      <c r="B6" s="567" t="s">
        <v>1185</v>
      </c>
      <c r="C6" s="541">
        <f>C7+C8</f>
        <v>161</v>
      </c>
      <c r="D6" s="521">
        <f>D7+D8</f>
        <v>167</v>
      </c>
      <c r="E6" s="542">
        <f>E7+E8</f>
        <v>168</v>
      </c>
      <c r="F6" s="444" t="s">
        <v>1585</v>
      </c>
      <c r="G6" s="856">
        <v>1</v>
      </c>
      <c r="H6" s="447"/>
    </row>
    <row r="7" spans="1:17" ht="24" customHeight="1">
      <c r="A7" s="148">
        <v>1.1000000000000001</v>
      </c>
      <c r="B7" s="1060" t="s">
        <v>1240</v>
      </c>
      <c r="C7" s="154">
        <v>40</v>
      </c>
      <c r="D7" s="155">
        <v>40</v>
      </c>
      <c r="E7" s="634">
        <v>39</v>
      </c>
      <c r="F7" s="655" t="s">
        <v>1586</v>
      </c>
      <c r="G7" s="877" t="s">
        <v>87</v>
      </c>
      <c r="H7" s="447"/>
      <c r="L7" s="1069"/>
    </row>
    <row r="8" spans="1:17" ht="24" customHeight="1">
      <c r="A8" s="147">
        <v>1.2</v>
      </c>
      <c r="B8" s="1061" t="s">
        <v>1184</v>
      </c>
      <c r="C8" s="156">
        <v>121</v>
      </c>
      <c r="D8" s="157">
        <v>127</v>
      </c>
      <c r="E8" s="158">
        <v>129</v>
      </c>
      <c r="F8" s="375" t="s">
        <v>1587</v>
      </c>
      <c r="G8" s="876" t="s">
        <v>88</v>
      </c>
      <c r="H8" s="447"/>
      <c r="L8" s="448"/>
    </row>
    <row r="9" spans="1:17" ht="24" customHeight="1">
      <c r="A9" s="257">
        <v>2</v>
      </c>
      <c r="B9" s="1065" t="s">
        <v>1183</v>
      </c>
      <c r="C9" s="1064">
        <f>C10+C11</f>
        <v>678</v>
      </c>
      <c r="D9" s="215">
        <f>D10+D11</f>
        <v>675</v>
      </c>
      <c r="E9" s="1063">
        <f>E10+E11</f>
        <v>675</v>
      </c>
      <c r="F9" s="1062" t="s">
        <v>1588</v>
      </c>
      <c r="G9" s="875">
        <v>2</v>
      </c>
      <c r="H9" s="447"/>
      <c r="I9" s="448"/>
      <c r="L9" s="448"/>
      <c r="Q9" s="4"/>
    </row>
    <row r="10" spans="1:17" ht="24.75" customHeight="1">
      <c r="A10" s="147">
        <v>2.1</v>
      </c>
      <c r="B10" s="1061" t="s">
        <v>1241</v>
      </c>
      <c r="C10" s="156">
        <v>278</v>
      </c>
      <c r="D10" s="157">
        <v>262</v>
      </c>
      <c r="E10" s="158">
        <v>252</v>
      </c>
      <c r="F10" s="375" t="s">
        <v>1586</v>
      </c>
      <c r="G10" s="876" t="s">
        <v>3</v>
      </c>
      <c r="H10" s="447"/>
      <c r="I10" s="448"/>
      <c r="K10" s="448"/>
      <c r="L10" s="450"/>
    </row>
    <row r="11" spans="1:17" ht="28.5" customHeight="1">
      <c r="A11" s="148">
        <v>2.2000000000000002</v>
      </c>
      <c r="B11" s="1060" t="s">
        <v>273</v>
      </c>
      <c r="C11" s="154">
        <v>400</v>
      </c>
      <c r="D11" s="155">
        <v>413</v>
      </c>
      <c r="E11" s="634">
        <v>423</v>
      </c>
      <c r="F11" s="655" t="s">
        <v>1587</v>
      </c>
      <c r="G11" s="877" t="s">
        <v>5</v>
      </c>
      <c r="H11" s="447"/>
      <c r="I11" s="449"/>
      <c r="L11" s="450"/>
    </row>
    <row r="12" spans="1:17" ht="23.25" customHeight="1">
      <c r="A12" s="400">
        <v>3</v>
      </c>
      <c r="B12" s="566" t="s">
        <v>368</v>
      </c>
      <c r="C12" s="541">
        <f>C13+C14</f>
        <v>193289</v>
      </c>
      <c r="D12" s="521">
        <f>D13+D14</f>
        <v>280895</v>
      </c>
      <c r="E12" s="542">
        <f>E13+E14</f>
        <v>348810</v>
      </c>
      <c r="F12" s="1066" t="s">
        <v>1589</v>
      </c>
      <c r="G12" s="500">
        <v>3</v>
      </c>
      <c r="H12" s="1068"/>
      <c r="J12" s="448"/>
      <c r="K12" s="448"/>
      <c r="L12" s="485"/>
    </row>
    <row r="13" spans="1:17" ht="24" customHeight="1">
      <c r="A13" s="148">
        <v>3.1</v>
      </c>
      <c r="B13" s="1060" t="s">
        <v>1175</v>
      </c>
      <c r="C13" s="154">
        <f>C16+C19</f>
        <v>192616</v>
      </c>
      <c r="D13" s="155">
        <v>191439</v>
      </c>
      <c r="E13" s="634">
        <v>246180</v>
      </c>
      <c r="F13" s="655" t="s">
        <v>1590</v>
      </c>
      <c r="G13" s="877" t="s">
        <v>604</v>
      </c>
      <c r="H13" s="447"/>
      <c r="J13" s="1067"/>
      <c r="K13" s="1067"/>
      <c r="O13" s="21"/>
    </row>
    <row r="14" spans="1:17" ht="24" customHeight="1">
      <c r="A14" s="147">
        <v>3.2</v>
      </c>
      <c r="B14" s="1061" t="s">
        <v>133</v>
      </c>
      <c r="C14" s="156">
        <f>C17+C20</f>
        <v>673</v>
      </c>
      <c r="D14" s="157">
        <v>89456</v>
      </c>
      <c r="E14" s="158">
        <v>102630</v>
      </c>
      <c r="F14" s="375" t="s">
        <v>708</v>
      </c>
      <c r="G14" s="876" t="s">
        <v>617</v>
      </c>
      <c r="H14" s="447"/>
      <c r="I14" s="448"/>
      <c r="J14" s="1067"/>
      <c r="K14" s="1067"/>
      <c r="M14" s="4"/>
    </row>
    <row r="15" spans="1:17" ht="28.5" customHeight="1">
      <c r="A15" s="257">
        <v>4</v>
      </c>
      <c r="B15" s="1065" t="s">
        <v>2149</v>
      </c>
      <c r="C15" s="1064">
        <f>C16+C17</f>
        <v>113827</v>
      </c>
      <c r="D15" s="215">
        <f>D16+D17</f>
        <v>167323</v>
      </c>
      <c r="E15" s="1063">
        <f>E16+E17</f>
        <v>196906</v>
      </c>
      <c r="F15" s="1062" t="s">
        <v>1591</v>
      </c>
      <c r="G15" s="875">
        <v>4</v>
      </c>
      <c r="H15" s="447"/>
    </row>
    <row r="16" spans="1:17" ht="30" customHeight="1">
      <c r="A16" s="147">
        <v>4.0999999999999996</v>
      </c>
      <c r="B16" s="1061" t="s">
        <v>1175</v>
      </c>
      <c r="C16" s="156">
        <v>113725</v>
      </c>
      <c r="D16" s="157">
        <v>110437</v>
      </c>
      <c r="E16" s="158">
        <v>137038</v>
      </c>
      <c r="F16" s="375" t="s">
        <v>1590</v>
      </c>
      <c r="G16" s="876" t="s">
        <v>739</v>
      </c>
      <c r="H16" s="1068"/>
      <c r="J16" s="450"/>
      <c r="L16" s="453"/>
      <c r="M16" s="4"/>
    </row>
    <row r="17" spans="1:15" ht="24.75" customHeight="1">
      <c r="A17" s="148">
        <v>4.2</v>
      </c>
      <c r="B17" s="1060" t="s">
        <v>133</v>
      </c>
      <c r="C17" s="154">
        <v>102</v>
      </c>
      <c r="D17" s="155">
        <v>56886</v>
      </c>
      <c r="E17" s="634">
        <v>59868</v>
      </c>
      <c r="F17" s="655" t="s">
        <v>708</v>
      </c>
      <c r="G17" s="877" t="s">
        <v>740</v>
      </c>
      <c r="H17" s="447"/>
      <c r="J17" s="448"/>
      <c r="M17" s="4"/>
    </row>
    <row r="18" spans="1:15" ht="28.5" customHeight="1">
      <c r="A18" s="400">
        <v>5</v>
      </c>
      <c r="B18" s="566" t="s">
        <v>1182</v>
      </c>
      <c r="C18" s="541">
        <f>C19+C20</f>
        <v>79462</v>
      </c>
      <c r="D18" s="521">
        <f>D19+D20</f>
        <v>113572</v>
      </c>
      <c r="E18" s="542">
        <f>E19+E20</f>
        <v>151904</v>
      </c>
      <c r="F18" s="1066" t="s">
        <v>1592</v>
      </c>
      <c r="G18" s="500">
        <v>5</v>
      </c>
      <c r="H18" s="447"/>
      <c r="K18" s="448"/>
      <c r="L18" s="453"/>
    </row>
    <row r="19" spans="1:15" ht="27" customHeight="1">
      <c r="A19" s="148">
        <v>5.0999999999999996</v>
      </c>
      <c r="B19" s="1060" t="s">
        <v>1175</v>
      </c>
      <c r="C19" s="154">
        <v>78891</v>
      </c>
      <c r="D19" s="155">
        <v>81002</v>
      </c>
      <c r="E19" s="634">
        <v>109142</v>
      </c>
      <c r="F19" s="655" t="s">
        <v>1590</v>
      </c>
      <c r="G19" s="877" t="s">
        <v>737</v>
      </c>
      <c r="H19" s="451"/>
      <c r="I19" s="451"/>
      <c r="J19" s="451"/>
      <c r="K19" s="448"/>
    </row>
    <row r="20" spans="1:15" ht="35.25" customHeight="1">
      <c r="A20" s="147">
        <v>5.2</v>
      </c>
      <c r="B20" s="1061" t="s">
        <v>133</v>
      </c>
      <c r="C20" s="156">
        <v>571</v>
      </c>
      <c r="D20" s="157">
        <v>32570</v>
      </c>
      <c r="E20" s="158">
        <v>42762</v>
      </c>
      <c r="F20" s="375" t="s">
        <v>708</v>
      </c>
      <c r="G20" s="876" t="s">
        <v>738</v>
      </c>
      <c r="H20" s="447"/>
    </row>
    <row r="21" spans="1:15" ht="31.5" customHeight="1">
      <c r="A21" s="257">
        <v>6</v>
      </c>
      <c r="B21" s="1065" t="s">
        <v>1181</v>
      </c>
      <c r="C21" s="1064">
        <f>C22+C23</f>
        <v>13266</v>
      </c>
      <c r="D21" s="215">
        <f>D22+D23</f>
        <v>14744</v>
      </c>
      <c r="E21" s="1063">
        <f>E22+E23</f>
        <v>16546</v>
      </c>
      <c r="F21" s="1062" t="s">
        <v>1593</v>
      </c>
      <c r="G21" s="875">
        <v>6</v>
      </c>
      <c r="H21" s="1068"/>
      <c r="I21" s="448"/>
      <c r="L21" s="448"/>
    </row>
    <row r="22" spans="1:15" ht="33" customHeight="1">
      <c r="A22" s="147">
        <v>6.1</v>
      </c>
      <c r="B22" s="1061" t="s">
        <v>1175</v>
      </c>
      <c r="C22" s="156">
        <f>C25+C28</f>
        <v>12355</v>
      </c>
      <c r="D22" s="157">
        <v>12786</v>
      </c>
      <c r="E22" s="158">
        <v>14270</v>
      </c>
      <c r="F22" s="375" t="s">
        <v>1590</v>
      </c>
      <c r="G22" s="876" t="s">
        <v>1180</v>
      </c>
      <c r="H22" s="1068"/>
      <c r="I22" s="1067"/>
      <c r="J22" s="1067"/>
    </row>
    <row r="23" spans="1:15" ht="27" customHeight="1">
      <c r="A23" s="148">
        <v>6.2</v>
      </c>
      <c r="B23" s="1060" t="s">
        <v>133</v>
      </c>
      <c r="C23" s="154">
        <f>C26+C29</f>
        <v>911</v>
      </c>
      <c r="D23" s="155">
        <v>1958</v>
      </c>
      <c r="E23" s="634">
        <v>2276</v>
      </c>
      <c r="F23" s="655" t="s">
        <v>708</v>
      </c>
      <c r="G23" s="877" t="s">
        <v>1179</v>
      </c>
      <c r="H23" s="447"/>
      <c r="I23" s="1067"/>
      <c r="J23" s="1067"/>
    </row>
    <row r="24" spans="1:15" ht="26.25" customHeight="1">
      <c r="A24" s="400">
        <v>7</v>
      </c>
      <c r="B24" s="566" t="s">
        <v>2150</v>
      </c>
      <c r="C24" s="541">
        <f>C25+C26</f>
        <v>6619</v>
      </c>
      <c r="D24" s="521">
        <f>D25+D26</f>
        <v>5943</v>
      </c>
      <c r="E24" s="542">
        <f>E25+E26</f>
        <v>6261</v>
      </c>
      <c r="F24" s="1066" t="s">
        <v>1594</v>
      </c>
      <c r="G24" s="500">
        <v>7</v>
      </c>
      <c r="H24" s="452"/>
      <c r="I24" s="448"/>
    </row>
    <row r="25" spans="1:15" ht="21" customHeight="1">
      <c r="A25" s="148">
        <v>7.1</v>
      </c>
      <c r="B25" s="1060" t="s">
        <v>1175</v>
      </c>
      <c r="C25" s="154">
        <v>5915</v>
      </c>
      <c r="D25" s="155">
        <v>5215</v>
      </c>
      <c r="E25" s="634">
        <v>5409</v>
      </c>
      <c r="F25" s="655" t="s">
        <v>1590</v>
      </c>
      <c r="G25" s="877" t="s">
        <v>1178</v>
      </c>
      <c r="H25" s="447"/>
      <c r="J25" s="450"/>
    </row>
    <row r="26" spans="1:15" ht="21" customHeight="1">
      <c r="A26" s="147">
        <v>7.2</v>
      </c>
      <c r="B26" s="1061" t="s">
        <v>133</v>
      </c>
      <c r="C26" s="156">
        <v>704</v>
      </c>
      <c r="D26" s="157">
        <v>728</v>
      </c>
      <c r="E26" s="158">
        <v>852</v>
      </c>
      <c r="F26" s="375" t="s">
        <v>708</v>
      </c>
      <c r="G26" s="876" t="s">
        <v>1177</v>
      </c>
      <c r="H26" s="447"/>
      <c r="J26" s="450"/>
    </row>
    <row r="27" spans="1:15" ht="24.75" customHeight="1">
      <c r="A27" s="257">
        <v>8</v>
      </c>
      <c r="B27" s="1065" t="s">
        <v>1176</v>
      </c>
      <c r="C27" s="1064">
        <f>C28+C29</f>
        <v>6647</v>
      </c>
      <c r="D27" s="215">
        <f>D28+D29</f>
        <v>8801</v>
      </c>
      <c r="E27" s="1063">
        <f>E28+E29</f>
        <v>10285</v>
      </c>
      <c r="F27" s="1062" t="s">
        <v>1595</v>
      </c>
      <c r="G27" s="875">
        <v>8</v>
      </c>
      <c r="H27" s="447"/>
      <c r="I27" s="448"/>
      <c r="J27" s="450"/>
    </row>
    <row r="28" spans="1:15" ht="24" customHeight="1">
      <c r="A28" s="147">
        <v>8.1</v>
      </c>
      <c r="B28" s="1061" t="s">
        <v>1175</v>
      </c>
      <c r="C28" s="156">
        <v>6440</v>
      </c>
      <c r="D28" s="157">
        <v>7571</v>
      </c>
      <c r="E28" s="158">
        <v>8861</v>
      </c>
      <c r="F28" s="375" t="s">
        <v>1590</v>
      </c>
      <c r="G28" s="876" t="s">
        <v>1174</v>
      </c>
      <c r="H28" s="447"/>
      <c r="I28" s="453"/>
      <c r="M28" s="4"/>
    </row>
    <row r="29" spans="1:15" ht="24" customHeight="1">
      <c r="A29" s="170">
        <v>8.1999999999999993</v>
      </c>
      <c r="B29" s="1060" t="s">
        <v>133</v>
      </c>
      <c r="C29" s="154">
        <v>207</v>
      </c>
      <c r="D29" s="155">
        <v>1230</v>
      </c>
      <c r="E29" s="634">
        <v>1424</v>
      </c>
      <c r="F29" s="655" t="s">
        <v>708</v>
      </c>
      <c r="G29" s="1059" t="s">
        <v>1173</v>
      </c>
      <c r="H29" s="447"/>
      <c r="L29" s="450"/>
      <c r="O29" s="4"/>
    </row>
    <row r="30" spans="1:15" ht="15" customHeight="1">
      <c r="A30" s="1268" t="s">
        <v>758</v>
      </c>
      <c r="B30" s="1268"/>
      <c r="C30" s="1268"/>
      <c r="D30" s="1268"/>
      <c r="E30" s="1485" t="s">
        <v>1596</v>
      </c>
      <c r="F30" s="1485"/>
      <c r="G30" s="1485"/>
      <c r="H30" s="447"/>
    </row>
    <row r="34" spans="10:15" ht="28" customHeight="1">
      <c r="L34" s="399"/>
      <c r="M34" s="25"/>
      <c r="O34" s="4"/>
    </row>
    <row r="35" spans="10:15" ht="28" customHeight="1">
      <c r="L35" s="451"/>
      <c r="M35" s="1058"/>
      <c r="O35" s="4"/>
    </row>
    <row r="36" spans="10:15" ht="28" customHeight="1">
      <c r="L36" s="451"/>
      <c r="M36" s="1058"/>
      <c r="O36" s="4"/>
    </row>
    <row r="37" spans="10:15" ht="28" customHeight="1">
      <c r="L37" s="451"/>
      <c r="M37" s="1057"/>
      <c r="O37" s="4"/>
    </row>
    <row r="38" spans="10:15" ht="28" customHeight="1">
      <c r="L38" s="451"/>
      <c r="M38" s="1056"/>
      <c r="O38" s="4"/>
    </row>
    <row r="39" spans="10:15" ht="28" customHeight="1">
      <c r="L39" s="451"/>
      <c r="M39" s="1056"/>
      <c r="O39" s="4"/>
    </row>
    <row r="46" spans="10:15" ht="28" customHeight="1">
      <c r="J46" s="1553"/>
      <c r="K46" s="1553"/>
      <c r="L46" s="1553"/>
      <c r="M46" s="1553"/>
      <c r="N46" s="1553"/>
    </row>
  </sheetData>
  <mergeCells count="10">
    <mergeCell ref="A30:D30"/>
    <mergeCell ref="E30:G30"/>
    <mergeCell ref="J46:N46"/>
    <mergeCell ref="A1:G1"/>
    <mergeCell ref="A2:G2"/>
    <mergeCell ref="A3:G3"/>
    <mergeCell ref="A4:A5"/>
    <mergeCell ref="B4:B5"/>
    <mergeCell ref="F4:F5"/>
    <mergeCell ref="G4:G5"/>
  </mergeCells>
  <printOptions horizontalCentered="1"/>
  <pageMargins left="0" right="0" top="0.06" bottom="0.6" header="0.03" footer="0.39370078740157499"/>
  <pageSetup paperSize="9" orientation="portrait" r:id="rId1"/>
  <headerFooter>
    <oddFooter>&amp;L&amp;"Times New Roman,Regular"&amp;10    Afghanistan Statistical Yearbook 2023-24&amp;R&amp;"Times New Roman,Regular"&amp;10          د ۱۴۰۲ احصایيوي کالنۍ  /سالنامه احصائیوی ۱۴۰۲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theme="0"/>
  </sheetPr>
  <dimension ref="A1:AI127"/>
  <sheetViews>
    <sheetView view="pageBreakPreview" topLeftCell="A3" zoomScale="98" zoomScaleNormal="70" zoomScaleSheetLayoutView="98" workbookViewId="0">
      <selection activeCell="A3" sqref="A3:M3"/>
    </sheetView>
  </sheetViews>
  <sheetFormatPr baseColWidth="10" defaultColWidth="8.83203125" defaultRowHeight="15"/>
  <cols>
    <col min="1" max="1" width="2.83203125" customWidth="1"/>
    <col min="2" max="2" width="20.5" style="100" customWidth="1"/>
    <col min="3" max="3" width="7.33203125" style="447" customWidth="1"/>
    <col min="4" max="4" width="10.6640625" style="447" customWidth="1"/>
    <col min="5" max="5" width="10.5" style="447" customWidth="1"/>
    <col min="6" max="6" width="9.5" style="447" customWidth="1"/>
    <col min="7" max="7" width="10.6640625" style="447" customWidth="1"/>
    <col min="8" max="8" width="11.5" style="447" customWidth="1"/>
    <col min="9" max="9" width="8.83203125" style="447" customWidth="1"/>
    <col min="10" max="10" width="11.5" style="447" customWidth="1"/>
    <col min="11" max="11" width="10.83203125" style="447" customWidth="1"/>
    <col min="12" max="12" width="21.6640625" style="447" customWidth="1"/>
    <col min="13" max="13" width="3.5" style="447" customWidth="1"/>
    <col min="14" max="14" width="13.33203125" style="3" customWidth="1"/>
    <col min="15" max="15" width="14.1640625" customWidth="1"/>
    <col min="16" max="16" width="19" customWidth="1"/>
    <col min="17" max="17" width="19.5" customWidth="1"/>
    <col min="18" max="18" width="13.1640625" customWidth="1"/>
    <col min="21" max="21" width="9.33203125" bestFit="1" customWidth="1"/>
    <col min="22" max="22" width="9.1640625" customWidth="1"/>
    <col min="23" max="23" width="21.5" customWidth="1"/>
  </cols>
  <sheetData>
    <row r="1" spans="1:16" ht="18" hidden="1" customHeight="1">
      <c r="A1" s="1443" t="s">
        <v>2206</v>
      </c>
      <c r="B1" s="1443"/>
      <c r="C1" s="1443"/>
      <c r="D1" s="1443"/>
      <c r="E1" s="1443"/>
      <c r="F1" s="1443"/>
      <c r="G1" s="1443"/>
      <c r="H1" s="1443"/>
      <c r="I1" s="1443"/>
      <c r="J1" s="1443"/>
      <c r="K1" s="1443"/>
      <c r="L1" s="1443"/>
      <c r="M1" s="1443"/>
      <c r="N1" s="985"/>
      <c r="O1" s="111"/>
      <c r="P1" s="111"/>
    </row>
    <row r="2" spans="1:16" ht="18" hidden="1" customHeight="1">
      <c r="A2" s="1443" t="s">
        <v>2207</v>
      </c>
      <c r="B2" s="1443"/>
      <c r="C2" s="1443"/>
      <c r="D2" s="1443"/>
      <c r="E2" s="1443"/>
      <c r="F2" s="1443"/>
      <c r="G2" s="1443"/>
      <c r="H2" s="1443"/>
      <c r="I2" s="1443"/>
      <c r="J2" s="1443"/>
      <c r="K2" s="1443"/>
      <c r="L2" s="1443"/>
      <c r="M2" s="1443"/>
      <c r="N2" s="985"/>
      <c r="O2" s="111"/>
      <c r="P2" s="111"/>
    </row>
    <row r="3" spans="1:16" ht="18" customHeight="1">
      <c r="A3" s="1521" t="s">
        <v>2208</v>
      </c>
      <c r="B3" s="1521"/>
      <c r="C3" s="1521"/>
      <c r="D3" s="1521"/>
      <c r="E3" s="1521"/>
      <c r="F3" s="1521"/>
      <c r="G3" s="1521"/>
      <c r="H3" s="1521"/>
      <c r="I3" s="1521"/>
      <c r="J3" s="1521"/>
      <c r="K3" s="1521"/>
      <c r="L3" s="1521"/>
      <c r="M3" s="1521"/>
    </row>
    <row r="4" spans="1:16" ht="21.75" customHeight="1">
      <c r="A4" s="1327" t="s">
        <v>621</v>
      </c>
      <c r="B4" s="1567" t="s">
        <v>1598</v>
      </c>
      <c r="C4" s="1570">
        <v>1402</v>
      </c>
      <c r="D4" s="1571"/>
      <c r="E4" s="1572"/>
      <c r="F4" s="1570">
        <v>1401</v>
      </c>
      <c r="G4" s="1571"/>
      <c r="H4" s="1572"/>
      <c r="I4" s="1570">
        <v>1400</v>
      </c>
      <c r="J4" s="1571"/>
      <c r="K4" s="1572"/>
      <c r="L4" s="1343" t="s">
        <v>1597</v>
      </c>
      <c r="M4" s="1563" t="s">
        <v>727</v>
      </c>
    </row>
    <row r="5" spans="1:16" ht="24.75" customHeight="1">
      <c r="A5" s="1328"/>
      <c r="B5" s="1568"/>
      <c r="C5" s="1573" t="s">
        <v>772</v>
      </c>
      <c r="D5" s="1574"/>
      <c r="E5" s="1575"/>
      <c r="F5" s="1573" t="s">
        <v>725</v>
      </c>
      <c r="G5" s="1574"/>
      <c r="H5" s="1575"/>
      <c r="I5" s="1573" t="s">
        <v>726</v>
      </c>
      <c r="J5" s="1574"/>
      <c r="K5" s="1575"/>
      <c r="L5" s="1266"/>
      <c r="M5" s="1564"/>
    </row>
    <row r="6" spans="1:16" ht="19.5" customHeight="1">
      <c r="A6" s="1328"/>
      <c r="B6" s="1568"/>
      <c r="C6" s="530" t="s">
        <v>278</v>
      </c>
      <c r="D6" s="530" t="s">
        <v>279</v>
      </c>
      <c r="E6" s="530" t="s">
        <v>256</v>
      </c>
      <c r="F6" s="530" t="s">
        <v>278</v>
      </c>
      <c r="G6" s="530" t="s">
        <v>279</v>
      </c>
      <c r="H6" s="530" t="s">
        <v>256</v>
      </c>
      <c r="I6" s="530" t="s">
        <v>278</v>
      </c>
      <c r="J6" s="530" t="s">
        <v>279</v>
      </c>
      <c r="K6" s="530" t="s">
        <v>256</v>
      </c>
      <c r="L6" s="1266"/>
      <c r="M6" s="1564"/>
    </row>
    <row r="7" spans="1:16" ht="18" customHeight="1">
      <c r="A7" s="1328"/>
      <c r="B7" s="1568"/>
      <c r="C7" s="1204" t="s">
        <v>12</v>
      </c>
      <c r="D7" s="1204" t="s">
        <v>13</v>
      </c>
      <c r="E7" s="1204" t="s">
        <v>52</v>
      </c>
      <c r="F7" s="1204" t="s">
        <v>12</v>
      </c>
      <c r="G7" s="1204" t="s">
        <v>13</v>
      </c>
      <c r="H7" s="1204" t="s">
        <v>52</v>
      </c>
      <c r="I7" s="1204" t="s">
        <v>12</v>
      </c>
      <c r="J7" s="1204" t="s">
        <v>13</v>
      </c>
      <c r="K7" s="1204" t="s">
        <v>52</v>
      </c>
      <c r="L7" s="1266"/>
      <c r="M7" s="1564"/>
    </row>
    <row r="8" spans="1:16" ht="24.75" customHeight="1">
      <c r="A8" s="1329"/>
      <c r="B8" s="1569"/>
      <c r="C8" s="1204" t="s">
        <v>162</v>
      </c>
      <c r="D8" s="1204" t="s">
        <v>163</v>
      </c>
      <c r="E8" s="1204" t="s">
        <v>282</v>
      </c>
      <c r="F8" s="1204" t="s">
        <v>162</v>
      </c>
      <c r="G8" s="1204" t="s">
        <v>163</v>
      </c>
      <c r="H8" s="1204" t="s">
        <v>282</v>
      </c>
      <c r="I8" s="1204" t="s">
        <v>162</v>
      </c>
      <c r="J8" s="1204" t="s">
        <v>163</v>
      </c>
      <c r="K8" s="1204" t="s">
        <v>282</v>
      </c>
      <c r="L8" s="1267"/>
      <c r="M8" s="1565"/>
    </row>
    <row r="9" spans="1:16" ht="39.75" customHeight="1">
      <c r="A9" s="573"/>
      <c r="B9" s="567" t="s">
        <v>70</v>
      </c>
      <c r="C9" s="541">
        <f t="shared" ref="C9:K9" si="0">SUM(C10:C34,C42:C56)</f>
        <v>102</v>
      </c>
      <c r="D9" s="521">
        <f t="shared" si="0"/>
        <v>113725</v>
      </c>
      <c r="E9" s="542">
        <f t="shared" si="0"/>
        <v>113827</v>
      </c>
      <c r="F9" s="429">
        <f t="shared" si="0"/>
        <v>56886</v>
      </c>
      <c r="G9" s="429">
        <f t="shared" si="0"/>
        <v>110437</v>
      </c>
      <c r="H9" s="446">
        <f t="shared" si="0"/>
        <v>167323</v>
      </c>
      <c r="I9" s="429">
        <f t="shared" si="0"/>
        <v>59868</v>
      </c>
      <c r="J9" s="429">
        <f>SUM(J10:J34,J42:J56)</f>
        <v>137038</v>
      </c>
      <c r="K9" s="446">
        <f t="shared" si="0"/>
        <v>196906</v>
      </c>
      <c r="L9" s="443" t="s">
        <v>671</v>
      </c>
      <c r="M9" s="573"/>
      <c r="O9" s="330"/>
      <c r="P9" s="35"/>
    </row>
    <row r="10" spans="1:16" s="639" customFormat="1" ht="28" customHeight="1">
      <c r="A10" s="632">
        <v>1</v>
      </c>
      <c r="B10" s="633" t="s">
        <v>344</v>
      </c>
      <c r="C10" s="154" t="s">
        <v>56</v>
      </c>
      <c r="D10" s="155">
        <v>11518</v>
      </c>
      <c r="E10" s="155">
        <f t="shared" ref="E10:E16" si="1">D10</f>
        <v>11518</v>
      </c>
      <c r="F10" s="154">
        <v>8125</v>
      </c>
      <c r="G10" s="155">
        <v>10822</v>
      </c>
      <c r="H10" s="155">
        <f>G10+F10</f>
        <v>18947</v>
      </c>
      <c r="I10" s="154">
        <v>9024</v>
      </c>
      <c r="J10" s="155">
        <v>13100</v>
      </c>
      <c r="K10" s="634">
        <f>J10+I10</f>
        <v>22124</v>
      </c>
      <c r="L10" s="635" t="s">
        <v>1606</v>
      </c>
      <c r="M10" s="953">
        <v>1</v>
      </c>
      <c r="N10" s="636"/>
      <c r="O10" s="637"/>
      <c r="P10" s="638"/>
    </row>
    <row r="11" spans="1:16" ht="33" customHeight="1">
      <c r="A11" s="396">
        <v>2</v>
      </c>
      <c r="B11" s="289" t="s">
        <v>345</v>
      </c>
      <c r="C11" s="156" t="s">
        <v>56</v>
      </c>
      <c r="D11" s="157">
        <v>4743</v>
      </c>
      <c r="E11" s="157">
        <f t="shared" si="1"/>
        <v>4743</v>
      </c>
      <c r="F11" s="156">
        <v>1272</v>
      </c>
      <c r="G11" s="157">
        <v>3647</v>
      </c>
      <c r="H11" s="157">
        <f>G11+F11</f>
        <v>4919</v>
      </c>
      <c r="I11" s="156">
        <v>1389</v>
      </c>
      <c r="J11" s="157">
        <v>4077</v>
      </c>
      <c r="K11" s="158">
        <f>J11+I11</f>
        <v>5466</v>
      </c>
      <c r="L11" s="246" t="s">
        <v>1607</v>
      </c>
      <c r="M11" s="879">
        <v>2</v>
      </c>
      <c r="N11" s="986"/>
      <c r="O11" s="637"/>
      <c r="P11" s="8"/>
    </row>
    <row r="12" spans="1:16" s="639" customFormat="1" ht="30" customHeight="1">
      <c r="A12" s="632">
        <v>3</v>
      </c>
      <c r="B12" s="633" t="s">
        <v>346</v>
      </c>
      <c r="C12" s="154" t="s">
        <v>56</v>
      </c>
      <c r="D12" s="155">
        <v>2368</v>
      </c>
      <c r="E12" s="155">
        <f t="shared" si="1"/>
        <v>2368</v>
      </c>
      <c r="F12" s="154">
        <v>4408</v>
      </c>
      <c r="G12" s="155">
        <v>2119</v>
      </c>
      <c r="H12" s="155">
        <f>G12+F12</f>
        <v>6527</v>
      </c>
      <c r="I12" s="154">
        <v>4934</v>
      </c>
      <c r="J12" s="155">
        <v>2558</v>
      </c>
      <c r="K12" s="634">
        <f>J12+I12</f>
        <v>7492</v>
      </c>
      <c r="L12" s="635" t="s">
        <v>1608</v>
      </c>
      <c r="M12" s="953">
        <v>3</v>
      </c>
      <c r="N12" s="640"/>
      <c r="O12" s="637"/>
      <c r="P12" s="641"/>
    </row>
    <row r="13" spans="1:16" ht="33" customHeight="1">
      <c r="A13" s="396">
        <v>4</v>
      </c>
      <c r="B13" s="289" t="s">
        <v>347</v>
      </c>
      <c r="C13" s="156" t="s">
        <v>56</v>
      </c>
      <c r="D13" s="157">
        <v>1955</v>
      </c>
      <c r="E13" s="157">
        <f t="shared" si="1"/>
        <v>1955</v>
      </c>
      <c r="F13" s="156">
        <v>1769</v>
      </c>
      <c r="G13" s="157">
        <v>1718</v>
      </c>
      <c r="H13" s="157">
        <f>G13+F13</f>
        <v>3487</v>
      </c>
      <c r="I13" s="156">
        <v>1743</v>
      </c>
      <c r="J13" s="157">
        <v>1644</v>
      </c>
      <c r="K13" s="158">
        <f>J13+I13</f>
        <v>3387</v>
      </c>
      <c r="L13" s="246" t="s">
        <v>1609</v>
      </c>
      <c r="M13" s="879">
        <v>4</v>
      </c>
      <c r="O13" s="637"/>
    </row>
    <row r="14" spans="1:16" s="639" customFormat="1" ht="51" customHeight="1">
      <c r="A14" s="632">
        <v>5</v>
      </c>
      <c r="B14" s="633" t="s">
        <v>2171</v>
      </c>
      <c r="C14" s="154" t="s">
        <v>56</v>
      </c>
      <c r="D14" s="155" t="s">
        <v>56</v>
      </c>
      <c r="E14" s="155" t="s">
        <v>56</v>
      </c>
      <c r="F14" s="154" t="s">
        <v>54</v>
      </c>
      <c r="G14" s="155" t="s">
        <v>54</v>
      </c>
      <c r="H14" s="634" t="s">
        <v>54</v>
      </c>
      <c r="I14" s="154" t="s">
        <v>54</v>
      </c>
      <c r="J14" s="155" t="s">
        <v>54</v>
      </c>
      <c r="K14" s="634" t="s">
        <v>54</v>
      </c>
      <c r="L14" s="635" t="s">
        <v>2170</v>
      </c>
      <c r="M14" s="953" t="s">
        <v>2169</v>
      </c>
      <c r="N14" s="642"/>
      <c r="O14" s="637"/>
    </row>
    <row r="15" spans="1:16" ht="33" customHeight="1">
      <c r="A15" s="396">
        <v>6</v>
      </c>
      <c r="B15" s="289" t="s">
        <v>348</v>
      </c>
      <c r="C15" s="156" t="s">
        <v>56</v>
      </c>
      <c r="D15" s="157">
        <v>4173</v>
      </c>
      <c r="E15" s="157">
        <f t="shared" si="1"/>
        <v>4173</v>
      </c>
      <c r="F15" s="156">
        <v>1326</v>
      </c>
      <c r="G15" s="157">
        <v>3405</v>
      </c>
      <c r="H15" s="157">
        <f t="shared" ref="H15:H34" si="2">G15+F15</f>
        <v>4731</v>
      </c>
      <c r="I15" s="156">
        <v>1518</v>
      </c>
      <c r="J15" s="157">
        <v>4972</v>
      </c>
      <c r="K15" s="158">
        <f t="shared" ref="K15:K34" si="3">J15+I15</f>
        <v>6490</v>
      </c>
      <c r="L15" s="246" t="s">
        <v>1654</v>
      </c>
      <c r="M15" s="879">
        <v>6</v>
      </c>
      <c r="O15" s="637"/>
      <c r="P15" s="8"/>
    </row>
    <row r="16" spans="1:16" s="639" customFormat="1" ht="39.75" customHeight="1">
      <c r="A16" s="632">
        <v>7</v>
      </c>
      <c r="B16" s="633" t="s">
        <v>349</v>
      </c>
      <c r="C16" s="154" t="s">
        <v>56</v>
      </c>
      <c r="D16" s="155">
        <v>3235</v>
      </c>
      <c r="E16" s="155">
        <f t="shared" si="1"/>
        <v>3235</v>
      </c>
      <c r="F16" s="154">
        <v>1765</v>
      </c>
      <c r="G16" s="155">
        <v>3825</v>
      </c>
      <c r="H16" s="155">
        <f t="shared" si="2"/>
        <v>5590</v>
      </c>
      <c r="I16" s="154">
        <v>690</v>
      </c>
      <c r="J16" s="155">
        <v>5282</v>
      </c>
      <c r="K16" s="634">
        <f t="shared" si="3"/>
        <v>5972</v>
      </c>
      <c r="L16" s="635" t="s">
        <v>1611</v>
      </c>
      <c r="M16" s="953">
        <v>7</v>
      </c>
      <c r="N16" s="642"/>
      <c r="O16" s="637"/>
    </row>
    <row r="17" spans="1:16" ht="32.25" customHeight="1">
      <c r="A17" s="396">
        <v>8</v>
      </c>
      <c r="B17" s="289" t="s">
        <v>350</v>
      </c>
      <c r="C17" s="156">
        <v>32</v>
      </c>
      <c r="D17" s="157">
        <v>9107</v>
      </c>
      <c r="E17" s="157">
        <f>D17+C17</f>
        <v>9139</v>
      </c>
      <c r="F17" s="156">
        <v>2462</v>
      </c>
      <c r="G17" s="157">
        <v>9975</v>
      </c>
      <c r="H17" s="157">
        <f t="shared" si="2"/>
        <v>12437</v>
      </c>
      <c r="I17" s="156">
        <v>2143</v>
      </c>
      <c r="J17" s="157">
        <v>11878</v>
      </c>
      <c r="K17" s="158">
        <f t="shared" si="3"/>
        <v>14021</v>
      </c>
      <c r="L17" s="246" t="s">
        <v>1612</v>
      </c>
      <c r="M17" s="879">
        <v>8</v>
      </c>
      <c r="O17" s="637"/>
    </row>
    <row r="18" spans="1:16" s="639" customFormat="1" ht="34.5" customHeight="1">
      <c r="A18" s="632">
        <v>9</v>
      </c>
      <c r="B18" s="633" t="s">
        <v>351</v>
      </c>
      <c r="C18" s="154" t="s">
        <v>56</v>
      </c>
      <c r="D18" s="155">
        <v>2787</v>
      </c>
      <c r="E18" s="155">
        <f t="shared" ref="E18:E29" si="4">D18</f>
        <v>2787</v>
      </c>
      <c r="F18" s="154">
        <v>389</v>
      </c>
      <c r="G18" s="155">
        <v>2174</v>
      </c>
      <c r="H18" s="634">
        <f t="shared" si="2"/>
        <v>2563</v>
      </c>
      <c r="I18" s="155">
        <v>288</v>
      </c>
      <c r="J18" s="155">
        <v>2632</v>
      </c>
      <c r="K18" s="634">
        <f t="shared" si="3"/>
        <v>2920</v>
      </c>
      <c r="L18" s="635" t="s">
        <v>1613</v>
      </c>
      <c r="M18" s="953">
        <v>9</v>
      </c>
      <c r="N18" s="642"/>
      <c r="O18" s="637"/>
    </row>
    <row r="19" spans="1:16" ht="28" customHeight="1">
      <c r="A19" s="396">
        <v>10</v>
      </c>
      <c r="B19" s="289" t="s">
        <v>352</v>
      </c>
      <c r="C19" s="156" t="s">
        <v>56</v>
      </c>
      <c r="D19" s="157">
        <v>2458</v>
      </c>
      <c r="E19" s="157">
        <f t="shared" si="4"/>
        <v>2458</v>
      </c>
      <c r="F19" s="156">
        <v>1170</v>
      </c>
      <c r="G19" s="157">
        <v>2440</v>
      </c>
      <c r="H19" s="157">
        <f t="shared" si="2"/>
        <v>3610</v>
      </c>
      <c r="I19" s="156">
        <v>1315</v>
      </c>
      <c r="J19" s="157">
        <v>3745</v>
      </c>
      <c r="K19" s="158">
        <f t="shared" si="3"/>
        <v>5060</v>
      </c>
      <c r="L19" s="246" t="s">
        <v>1614</v>
      </c>
      <c r="M19" s="879">
        <v>10</v>
      </c>
      <c r="O19" s="637"/>
    </row>
    <row r="20" spans="1:16" s="639" customFormat="1" ht="28" customHeight="1">
      <c r="A20" s="632">
        <v>11</v>
      </c>
      <c r="B20" s="633" t="s">
        <v>353</v>
      </c>
      <c r="C20" s="154" t="s">
        <v>56</v>
      </c>
      <c r="D20" s="155">
        <v>3548</v>
      </c>
      <c r="E20" s="634">
        <f t="shared" si="4"/>
        <v>3548</v>
      </c>
      <c r="F20" s="154">
        <v>2226</v>
      </c>
      <c r="G20" s="155">
        <v>3257</v>
      </c>
      <c r="H20" s="155">
        <f t="shared" si="2"/>
        <v>5483</v>
      </c>
      <c r="I20" s="154">
        <v>2782</v>
      </c>
      <c r="J20" s="155">
        <v>4980</v>
      </c>
      <c r="K20" s="634">
        <f t="shared" si="3"/>
        <v>7762</v>
      </c>
      <c r="L20" s="643" t="s">
        <v>1615</v>
      </c>
      <c r="M20" s="953">
        <v>11</v>
      </c>
      <c r="N20" s="642"/>
      <c r="O20" s="637"/>
    </row>
    <row r="21" spans="1:16" ht="28" customHeight="1">
      <c r="A21" s="396">
        <v>12</v>
      </c>
      <c r="B21" s="289" t="s">
        <v>354</v>
      </c>
      <c r="C21" s="156" t="s">
        <v>56</v>
      </c>
      <c r="D21" s="157">
        <v>2690</v>
      </c>
      <c r="E21" s="157">
        <f t="shared" si="4"/>
        <v>2690</v>
      </c>
      <c r="F21" s="156">
        <v>920</v>
      </c>
      <c r="G21" s="157">
        <v>2026</v>
      </c>
      <c r="H21" s="158">
        <f t="shared" si="2"/>
        <v>2946</v>
      </c>
      <c r="I21" s="156">
        <v>1130</v>
      </c>
      <c r="J21" s="157">
        <v>2765</v>
      </c>
      <c r="K21" s="158">
        <f t="shared" si="3"/>
        <v>3895</v>
      </c>
      <c r="L21" s="246" t="s">
        <v>1616</v>
      </c>
      <c r="M21" s="879">
        <v>12</v>
      </c>
      <c r="O21" s="637"/>
    </row>
    <row r="22" spans="1:16" s="639" customFormat="1" ht="45.75" customHeight="1">
      <c r="A22" s="632">
        <v>13</v>
      </c>
      <c r="B22" s="633" t="s">
        <v>355</v>
      </c>
      <c r="C22" s="154" t="s">
        <v>56</v>
      </c>
      <c r="D22" s="155">
        <v>964</v>
      </c>
      <c r="E22" s="155">
        <f t="shared" si="4"/>
        <v>964</v>
      </c>
      <c r="F22" s="154">
        <v>45</v>
      </c>
      <c r="G22" s="155">
        <v>718</v>
      </c>
      <c r="H22" s="634">
        <f t="shared" si="2"/>
        <v>763</v>
      </c>
      <c r="I22" s="155">
        <v>27</v>
      </c>
      <c r="J22" s="155">
        <v>800</v>
      </c>
      <c r="K22" s="634">
        <f t="shared" si="3"/>
        <v>827</v>
      </c>
      <c r="L22" s="635" t="s">
        <v>1617</v>
      </c>
      <c r="M22" s="953">
        <v>13</v>
      </c>
      <c r="N22" s="642"/>
      <c r="O22" s="637"/>
    </row>
    <row r="23" spans="1:16" ht="34.5" customHeight="1">
      <c r="A23" s="396">
        <v>14</v>
      </c>
      <c r="B23" s="289" t="s">
        <v>356</v>
      </c>
      <c r="C23" s="156" t="s">
        <v>56</v>
      </c>
      <c r="D23" s="157">
        <v>5139</v>
      </c>
      <c r="E23" s="158">
        <f t="shared" si="4"/>
        <v>5139</v>
      </c>
      <c r="F23" s="156">
        <v>418</v>
      </c>
      <c r="G23" s="157">
        <v>5436</v>
      </c>
      <c r="H23" s="157">
        <f t="shared" si="2"/>
        <v>5854</v>
      </c>
      <c r="I23" s="156">
        <v>413</v>
      </c>
      <c r="J23" s="157">
        <v>6487</v>
      </c>
      <c r="K23" s="158">
        <f t="shared" si="3"/>
        <v>6900</v>
      </c>
      <c r="L23" s="238" t="s">
        <v>1618</v>
      </c>
      <c r="M23" s="879">
        <v>14</v>
      </c>
      <c r="N23" s="13"/>
      <c r="O23" s="637"/>
      <c r="P23" s="13"/>
    </row>
    <row r="24" spans="1:16" s="639" customFormat="1" ht="38.25" customHeight="1">
      <c r="A24" s="632">
        <v>15</v>
      </c>
      <c r="B24" s="633" t="s">
        <v>357</v>
      </c>
      <c r="C24" s="154" t="s">
        <v>56</v>
      </c>
      <c r="D24" s="155">
        <v>5600</v>
      </c>
      <c r="E24" s="155">
        <f t="shared" si="4"/>
        <v>5600</v>
      </c>
      <c r="F24" s="154">
        <v>491</v>
      </c>
      <c r="G24" s="155">
        <v>6338</v>
      </c>
      <c r="H24" s="155">
        <f t="shared" si="2"/>
        <v>6829</v>
      </c>
      <c r="I24" s="154">
        <v>466</v>
      </c>
      <c r="J24" s="155">
        <v>7171</v>
      </c>
      <c r="K24" s="634">
        <f t="shared" si="3"/>
        <v>7637</v>
      </c>
      <c r="L24" s="635" t="s">
        <v>1653</v>
      </c>
      <c r="M24" s="953">
        <v>15</v>
      </c>
      <c r="N24" s="14"/>
      <c r="O24" s="637"/>
      <c r="P24" s="14"/>
    </row>
    <row r="25" spans="1:16" ht="48.75" customHeight="1">
      <c r="A25" s="396">
        <v>16</v>
      </c>
      <c r="B25" s="289" t="s">
        <v>2177</v>
      </c>
      <c r="C25" s="156" t="s">
        <v>56</v>
      </c>
      <c r="D25" s="157">
        <v>2521</v>
      </c>
      <c r="E25" s="157">
        <f t="shared" si="4"/>
        <v>2521</v>
      </c>
      <c r="F25" s="156">
        <v>365</v>
      </c>
      <c r="G25" s="157">
        <v>2812</v>
      </c>
      <c r="H25" s="158">
        <f t="shared" si="2"/>
        <v>3177</v>
      </c>
      <c r="I25" s="157">
        <v>281</v>
      </c>
      <c r="J25" s="157">
        <v>3450</v>
      </c>
      <c r="K25" s="158">
        <f t="shared" si="3"/>
        <v>3731</v>
      </c>
      <c r="L25" s="246" t="s">
        <v>1652</v>
      </c>
      <c r="M25" s="879">
        <v>16</v>
      </c>
      <c r="N25" s="13"/>
      <c r="O25" s="637"/>
      <c r="P25" s="13"/>
    </row>
    <row r="26" spans="1:16" s="639" customFormat="1" ht="39" customHeight="1">
      <c r="A26" s="632">
        <v>17</v>
      </c>
      <c r="B26" s="633" t="s">
        <v>359</v>
      </c>
      <c r="C26" s="154" t="s">
        <v>56</v>
      </c>
      <c r="D26" s="155">
        <v>3218</v>
      </c>
      <c r="E26" s="155">
        <f t="shared" si="4"/>
        <v>3218</v>
      </c>
      <c r="F26" s="154">
        <v>2324</v>
      </c>
      <c r="G26" s="155">
        <v>3282</v>
      </c>
      <c r="H26" s="155">
        <f t="shared" si="2"/>
        <v>5606</v>
      </c>
      <c r="I26" s="154">
        <v>2270</v>
      </c>
      <c r="J26" s="155">
        <v>3942</v>
      </c>
      <c r="K26" s="155">
        <f t="shared" si="3"/>
        <v>6212</v>
      </c>
      <c r="L26" s="644" t="s">
        <v>1619</v>
      </c>
      <c r="M26" s="953">
        <v>17</v>
      </c>
      <c r="N26" s="642"/>
      <c r="O26" s="637"/>
    </row>
    <row r="27" spans="1:16" ht="33" customHeight="1">
      <c r="A27" s="396">
        <v>18</v>
      </c>
      <c r="B27" s="289" t="s">
        <v>360</v>
      </c>
      <c r="C27" s="156" t="s">
        <v>56</v>
      </c>
      <c r="D27" s="157">
        <v>3442</v>
      </c>
      <c r="E27" s="158">
        <f t="shared" si="4"/>
        <v>3442</v>
      </c>
      <c r="F27" s="156">
        <v>1834</v>
      </c>
      <c r="G27" s="157">
        <v>3214</v>
      </c>
      <c r="H27" s="158">
        <f t="shared" si="2"/>
        <v>5048</v>
      </c>
      <c r="I27" s="156">
        <v>1668</v>
      </c>
      <c r="J27" s="157">
        <v>4876</v>
      </c>
      <c r="K27" s="158">
        <f t="shared" si="3"/>
        <v>6544</v>
      </c>
      <c r="L27" s="246" t="s">
        <v>1620</v>
      </c>
      <c r="M27" s="879">
        <v>18</v>
      </c>
      <c r="N27" s="13"/>
      <c r="O27" s="637"/>
      <c r="P27" s="13"/>
    </row>
    <row r="28" spans="1:16" s="639" customFormat="1" ht="42" customHeight="1">
      <c r="A28" s="632">
        <v>19</v>
      </c>
      <c r="B28" s="633" t="s">
        <v>361</v>
      </c>
      <c r="C28" s="154" t="s">
        <v>56</v>
      </c>
      <c r="D28" s="155">
        <v>2584</v>
      </c>
      <c r="E28" s="155">
        <f t="shared" si="4"/>
        <v>2584</v>
      </c>
      <c r="F28" s="154">
        <v>1280</v>
      </c>
      <c r="G28" s="155">
        <v>2690</v>
      </c>
      <c r="H28" s="155">
        <f t="shared" si="2"/>
        <v>3970</v>
      </c>
      <c r="I28" s="154">
        <v>1398</v>
      </c>
      <c r="J28" s="155">
        <v>3558</v>
      </c>
      <c r="K28" s="634">
        <f t="shared" si="3"/>
        <v>4956</v>
      </c>
      <c r="L28" s="635" t="s">
        <v>1621</v>
      </c>
      <c r="M28" s="953">
        <v>19</v>
      </c>
      <c r="N28" s="14"/>
      <c r="O28" s="637"/>
      <c r="P28" s="14"/>
    </row>
    <row r="29" spans="1:16" ht="33" customHeight="1">
      <c r="A29" s="396">
        <v>20</v>
      </c>
      <c r="B29" s="289" t="s">
        <v>362</v>
      </c>
      <c r="C29" s="156" t="s">
        <v>56</v>
      </c>
      <c r="D29" s="157">
        <v>6206</v>
      </c>
      <c r="E29" s="157">
        <f t="shared" si="4"/>
        <v>6206</v>
      </c>
      <c r="F29" s="156">
        <v>7165</v>
      </c>
      <c r="G29" s="157">
        <v>7463</v>
      </c>
      <c r="H29" s="157">
        <f t="shared" si="2"/>
        <v>14628</v>
      </c>
      <c r="I29" s="156">
        <v>7457</v>
      </c>
      <c r="J29" s="157">
        <v>9230</v>
      </c>
      <c r="K29" s="158">
        <f t="shared" si="3"/>
        <v>16687</v>
      </c>
      <c r="L29" s="246" t="s">
        <v>1622</v>
      </c>
      <c r="M29" s="879">
        <v>20</v>
      </c>
      <c r="N29" s="13"/>
      <c r="O29" s="637"/>
      <c r="P29" s="13"/>
    </row>
    <row r="30" spans="1:16" s="639" customFormat="1" ht="44.25" customHeight="1">
      <c r="A30" s="632">
        <v>21</v>
      </c>
      <c r="B30" s="633" t="s">
        <v>363</v>
      </c>
      <c r="C30" s="154">
        <v>3</v>
      </c>
      <c r="D30" s="155">
        <v>4946</v>
      </c>
      <c r="E30" s="155">
        <f>D30+C30</f>
        <v>4949</v>
      </c>
      <c r="F30" s="154">
        <v>601</v>
      </c>
      <c r="G30" s="155">
        <v>6240</v>
      </c>
      <c r="H30" s="634">
        <f t="shared" si="2"/>
        <v>6841</v>
      </c>
      <c r="I30" s="154">
        <v>699</v>
      </c>
      <c r="J30" s="155">
        <v>6781</v>
      </c>
      <c r="K30" s="634">
        <f t="shared" si="3"/>
        <v>7480</v>
      </c>
      <c r="L30" s="643" t="s">
        <v>1623</v>
      </c>
      <c r="M30" s="953">
        <v>21</v>
      </c>
      <c r="N30" s="14"/>
      <c r="O30" s="637"/>
      <c r="P30" s="14"/>
    </row>
    <row r="31" spans="1:16" ht="73.5" customHeight="1">
      <c r="A31" s="396">
        <v>22</v>
      </c>
      <c r="B31" s="289" t="s">
        <v>364</v>
      </c>
      <c r="C31" s="156" t="s">
        <v>56</v>
      </c>
      <c r="D31" s="157">
        <v>468</v>
      </c>
      <c r="E31" s="157">
        <f>D31</f>
        <v>468</v>
      </c>
      <c r="F31" s="156">
        <v>10</v>
      </c>
      <c r="G31" s="157">
        <v>465</v>
      </c>
      <c r="H31" s="157">
        <f t="shared" si="2"/>
        <v>475</v>
      </c>
      <c r="I31" s="156">
        <v>10</v>
      </c>
      <c r="J31" s="157">
        <v>724</v>
      </c>
      <c r="K31" s="158">
        <f t="shared" si="3"/>
        <v>734</v>
      </c>
      <c r="L31" s="238" t="s">
        <v>1651</v>
      </c>
      <c r="M31" s="879">
        <v>22</v>
      </c>
      <c r="N31" s="13"/>
      <c r="O31" s="637"/>
      <c r="P31" s="13"/>
    </row>
    <row r="32" spans="1:16" s="639" customFormat="1" ht="36.75" customHeight="1">
      <c r="A32" s="632">
        <v>23</v>
      </c>
      <c r="B32" s="633" t="s">
        <v>365</v>
      </c>
      <c r="C32" s="155" t="s">
        <v>56</v>
      </c>
      <c r="D32" s="155">
        <v>4716</v>
      </c>
      <c r="E32" s="155">
        <f>D32</f>
        <v>4716</v>
      </c>
      <c r="F32" s="154">
        <v>1922</v>
      </c>
      <c r="G32" s="155">
        <v>2925</v>
      </c>
      <c r="H32" s="155">
        <f t="shared" si="2"/>
        <v>4847</v>
      </c>
      <c r="I32" s="154">
        <v>2032</v>
      </c>
      <c r="J32" s="155">
        <v>4368</v>
      </c>
      <c r="K32" s="155">
        <f t="shared" si="3"/>
        <v>6400</v>
      </c>
      <c r="L32" s="644" t="s">
        <v>1624</v>
      </c>
      <c r="M32" s="953">
        <v>23</v>
      </c>
      <c r="N32" s="14"/>
      <c r="O32" s="637"/>
      <c r="P32" s="14"/>
    </row>
    <row r="33" spans="1:35" ht="45" customHeight="1">
      <c r="A33" s="396">
        <v>24</v>
      </c>
      <c r="B33" s="289" t="s">
        <v>366</v>
      </c>
      <c r="C33" s="157" t="s">
        <v>56</v>
      </c>
      <c r="D33" s="157">
        <v>4341</v>
      </c>
      <c r="E33" s="157">
        <f>D33</f>
        <v>4341</v>
      </c>
      <c r="F33" s="156">
        <v>2437</v>
      </c>
      <c r="G33" s="157">
        <v>2961</v>
      </c>
      <c r="H33" s="157">
        <f t="shared" si="2"/>
        <v>5398</v>
      </c>
      <c r="I33" s="156">
        <v>2467</v>
      </c>
      <c r="J33" s="157">
        <v>4090</v>
      </c>
      <c r="K33" s="158">
        <f t="shared" si="3"/>
        <v>6557</v>
      </c>
      <c r="L33" s="238" t="s">
        <v>1625</v>
      </c>
      <c r="M33" s="879">
        <v>24</v>
      </c>
      <c r="O33" s="637"/>
    </row>
    <row r="34" spans="1:35" s="639" customFormat="1" ht="34.5" customHeight="1">
      <c r="A34" s="645">
        <v>25</v>
      </c>
      <c r="B34" s="646" t="s">
        <v>487</v>
      </c>
      <c r="C34" s="647">
        <v>67</v>
      </c>
      <c r="D34" s="647">
        <v>5405</v>
      </c>
      <c r="E34" s="647">
        <f>D34+C34</f>
        <v>5472</v>
      </c>
      <c r="F34" s="648">
        <v>8000</v>
      </c>
      <c r="G34" s="647">
        <v>6523</v>
      </c>
      <c r="H34" s="647">
        <f t="shared" si="2"/>
        <v>14523</v>
      </c>
      <c r="I34" s="648">
        <v>9314</v>
      </c>
      <c r="J34" s="647">
        <v>7999</v>
      </c>
      <c r="K34" s="649">
        <f t="shared" si="3"/>
        <v>17313</v>
      </c>
      <c r="L34" s="650" t="s">
        <v>1626</v>
      </c>
      <c r="M34" s="958">
        <v>25</v>
      </c>
      <c r="N34" s="642"/>
      <c r="O34" s="637"/>
    </row>
    <row r="35" spans="1:35" s="639" customFormat="1" ht="18" hidden="1" customHeight="1">
      <c r="A35" s="1419" t="s">
        <v>1189</v>
      </c>
      <c r="B35" s="1419"/>
      <c r="C35" s="1419"/>
      <c r="D35" s="1419"/>
      <c r="E35" s="1419"/>
      <c r="F35" s="157"/>
      <c r="G35" s="157"/>
      <c r="H35" s="157"/>
      <c r="I35" s="157"/>
      <c r="J35" s="157"/>
      <c r="K35" s="157"/>
      <c r="L35" s="1566" t="s">
        <v>1310</v>
      </c>
      <c r="M35" s="1566"/>
      <c r="N35" s="642"/>
      <c r="O35" s="637"/>
    </row>
    <row r="36" spans="1:35" ht="18" hidden="1" customHeight="1">
      <c r="A36" s="1419"/>
      <c r="B36" s="1419"/>
      <c r="C36" s="1419"/>
      <c r="D36" s="1419"/>
      <c r="E36" s="1419"/>
      <c r="F36" s="1566" t="s">
        <v>1293</v>
      </c>
      <c r="G36" s="1566"/>
      <c r="H36" s="1566"/>
      <c r="I36" s="1566"/>
      <c r="J36" s="1566"/>
      <c r="K36" s="1566"/>
      <c r="L36" s="1566"/>
      <c r="M36" s="1566"/>
      <c r="Y36" s="153">
        <v>23</v>
      </c>
    </row>
    <row r="37" spans="1:35" ht="18" hidden="1" customHeight="1">
      <c r="A37" s="1327" t="s">
        <v>621</v>
      </c>
      <c r="B37" s="1567" t="s">
        <v>1598</v>
      </c>
      <c r="C37" s="1570">
        <v>1402</v>
      </c>
      <c r="D37" s="1571"/>
      <c r="E37" s="1572"/>
      <c r="F37" s="1570">
        <v>1401</v>
      </c>
      <c r="G37" s="1571"/>
      <c r="H37" s="1572"/>
      <c r="I37" s="1570">
        <v>1400</v>
      </c>
      <c r="J37" s="1571"/>
      <c r="K37" s="1572"/>
      <c r="L37" s="1343" t="s">
        <v>1597</v>
      </c>
      <c r="M37" s="1563" t="s">
        <v>727</v>
      </c>
      <c r="Y37" s="325">
        <v>24</v>
      </c>
    </row>
    <row r="38" spans="1:35" ht="18.75" hidden="1" customHeight="1">
      <c r="A38" s="1328"/>
      <c r="B38" s="1568"/>
      <c r="C38" s="1573" t="s">
        <v>772</v>
      </c>
      <c r="D38" s="1574"/>
      <c r="E38" s="1575"/>
      <c r="F38" s="1573" t="s">
        <v>725</v>
      </c>
      <c r="G38" s="1574"/>
      <c r="H38" s="1575"/>
      <c r="I38" s="1573" t="s">
        <v>726</v>
      </c>
      <c r="J38" s="1574"/>
      <c r="K38" s="1575"/>
      <c r="L38" s="1266"/>
      <c r="M38" s="1564"/>
      <c r="Y38" s="1477" t="s">
        <v>339</v>
      </c>
      <c r="Z38" s="1477"/>
      <c r="AA38" s="1477"/>
      <c r="AB38" s="1477"/>
      <c r="AC38" s="1477"/>
      <c r="AD38" s="1477"/>
      <c r="AE38" s="1477"/>
      <c r="AF38" s="1477"/>
      <c r="AG38" s="1477"/>
      <c r="AH38" s="1477"/>
      <c r="AI38" s="1477"/>
    </row>
    <row r="39" spans="1:35" ht="15.75" hidden="1" customHeight="1">
      <c r="A39" s="1328"/>
      <c r="B39" s="1568"/>
      <c r="C39" s="530" t="s">
        <v>278</v>
      </c>
      <c r="D39" s="530" t="s">
        <v>279</v>
      </c>
      <c r="E39" s="530" t="s">
        <v>256</v>
      </c>
      <c r="F39" s="530" t="s">
        <v>278</v>
      </c>
      <c r="G39" s="530" t="s">
        <v>279</v>
      </c>
      <c r="H39" s="530" t="s">
        <v>256</v>
      </c>
      <c r="I39" s="530" t="s">
        <v>278</v>
      </c>
      <c r="J39" s="530" t="s">
        <v>279</v>
      </c>
      <c r="K39" s="530" t="s">
        <v>256</v>
      </c>
      <c r="L39" s="1266"/>
      <c r="M39" s="1564"/>
      <c r="Y39" s="328"/>
      <c r="Z39" s="328"/>
      <c r="AA39" s="328"/>
      <c r="AB39" s="328"/>
      <c r="AC39" s="328"/>
      <c r="AD39" s="328"/>
      <c r="AE39" s="328"/>
      <c r="AF39" s="328"/>
      <c r="AG39" s="328"/>
      <c r="AH39" s="328"/>
      <c r="AI39" s="328"/>
    </row>
    <row r="40" spans="1:35" ht="16.5" hidden="1" customHeight="1">
      <c r="A40" s="1328"/>
      <c r="B40" s="1568"/>
      <c r="C40" s="1204" t="s">
        <v>12</v>
      </c>
      <c r="D40" s="1204" t="s">
        <v>13</v>
      </c>
      <c r="E40" s="1204" t="s">
        <v>52</v>
      </c>
      <c r="F40" s="1204" t="s">
        <v>12</v>
      </c>
      <c r="G40" s="1204" t="s">
        <v>13</v>
      </c>
      <c r="H40" s="1204" t="s">
        <v>52</v>
      </c>
      <c r="I40" s="1204" t="s">
        <v>12</v>
      </c>
      <c r="J40" s="1204" t="s">
        <v>13</v>
      </c>
      <c r="K40" s="1204" t="s">
        <v>52</v>
      </c>
      <c r="L40" s="1266"/>
      <c r="M40" s="1564"/>
      <c r="N40" s="14"/>
      <c r="Y40" s="328"/>
      <c r="Z40" s="328"/>
      <c r="AA40" s="328"/>
      <c r="AB40" s="328"/>
      <c r="AC40" s="328"/>
      <c r="AD40" s="328"/>
      <c r="AE40" s="328"/>
      <c r="AF40" s="328"/>
      <c r="AG40" s="328"/>
      <c r="AH40" s="328"/>
      <c r="AI40" s="328"/>
    </row>
    <row r="41" spans="1:35" ht="15" hidden="1" customHeight="1">
      <c r="A41" s="1329"/>
      <c r="B41" s="1569"/>
      <c r="C41" s="1204" t="s">
        <v>162</v>
      </c>
      <c r="D41" s="1204" t="s">
        <v>163</v>
      </c>
      <c r="E41" s="1204" t="s">
        <v>282</v>
      </c>
      <c r="F41" s="1204" t="s">
        <v>162</v>
      </c>
      <c r="G41" s="1204" t="s">
        <v>163</v>
      </c>
      <c r="H41" s="1204" t="s">
        <v>282</v>
      </c>
      <c r="I41" s="1204" t="s">
        <v>162</v>
      </c>
      <c r="J41" s="1204" t="s">
        <v>163</v>
      </c>
      <c r="K41" s="1204" t="s">
        <v>282</v>
      </c>
      <c r="L41" s="1267"/>
      <c r="M41" s="1565"/>
      <c r="N41" s="14"/>
      <c r="Y41" s="328"/>
      <c r="Z41" s="328"/>
      <c r="AA41" s="328"/>
      <c r="AB41" s="328"/>
      <c r="AC41" s="328"/>
      <c r="AD41" s="328"/>
      <c r="AE41" s="328"/>
      <c r="AF41" s="328"/>
      <c r="AG41" s="328"/>
      <c r="AH41" s="328"/>
      <c r="AI41" s="328"/>
    </row>
    <row r="42" spans="1:35" ht="42">
      <c r="A42" s="147">
        <v>26</v>
      </c>
      <c r="B42" s="289" t="s">
        <v>654</v>
      </c>
      <c r="C42" s="356" t="s">
        <v>56</v>
      </c>
      <c r="D42" s="214">
        <v>687</v>
      </c>
      <c r="E42" s="157">
        <f t="shared" ref="E42:E56" si="5">D42</f>
        <v>687</v>
      </c>
      <c r="F42" s="186">
        <v>0</v>
      </c>
      <c r="G42" s="214">
        <v>594</v>
      </c>
      <c r="H42" s="143">
        <v>594</v>
      </c>
      <c r="I42" s="214">
        <v>0</v>
      </c>
      <c r="J42" s="214">
        <v>623</v>
      </c>
      <c r="K42" s="143">
        <f t="shared" ref="K42:K56" si="6">J42+I42</f>
        <v>623</v>
      </c>
      <c r="L42" s="246" t="s">
        <v>1627</v>
      </c>
      <c r="M42" s="909">
        <v>26</v>
      </c>
      <c r="N42" s="14"/>
      <c r="Y42" s="328"/>
      <c r="Z42" s="328"/>
      <c r="AA42" s="328"/>
      <c r="AB42" s="328"/>
      <c r="AC42" s="328"/>
      <c r="AD42" s="328"/>
      <c r="AE42" s="328"/>
      <c r="AF42" s="328"/>
      <c r="AG42" s="328"/>
      <c r="AH42" s="328"/>
      <c r="AI42" s="328"/>
    </row>
    <row r="43" spans="1:35" s="639" customFormat="1" ht="30" customHeight="1">
      <c r="A43" s="148">
        <v>27</v>
      </c>
      <c r="B43" s="633" t="s">
        <v>369</v>
      </c>
      <c r="C43" s="154" t="s">
        <v>56</v>
      </c>
      <c r="D43" s="155">
        <v>1389</v>
      </c>
      <c r="E43" s="155">
        <f t="shared" si="5"/>
        <v>1389</v>
      </c>
      <c r="F43" s="154">
        <v>196</v>
      </c>
      <c r="G43" s="155">
        <v>728</v>
      </c>
      <c r="H43" s="634">
        <v>924</v>
      </c>
      <c r="I43" s="155">
        <v>224</v>
      </c>
      <c r="J43" s="155">
        <v>882</v>
      </c>
      <c r="K43" s="634">
        <f t="shared" si="6"/>
        <v>1106</v>
      </c>
      <c r="L43" s="635" t="s">
        <v>1231</v>
      </c>
      <c r="M43" s="24">
        <v>27</v>
      </c>
      <c r="N43" s="14"/>
      <c r="O43"/>
      <c r="Y43" s="1557">
        <v>1400</v>
      </c>
      <c r="Z43" s="1558"/>
      <c r="AA43" s="1559"/>
      <c r="AB43" s="1557">
        <v>1399</v>
      </c>
      <c r="AC43" s="1558"/>
      <c r="AD43" s="1559"/>
      <c r="AE43" s="1557">
        <v>1398</v>
      </c>
      <c r="AF43" s="1558"/>
      <c r="AG43" s="1559"/>
      <c r="AH43" s="1327" t="s">
        <v>51</v>
      </c>
      <c r="AI43" s="1560" t="s">
        <v>1</v>
      </c>
    </row>
    <row r="44" spans="1:35" ht="40.5" customHeight="1">
      <c r="A44" s="159">
        <v>28</v>
      </c>
      <c r="B44" s="289" t="s">
        <v>370</v>
      </c>
      <c r="C44" s="156" t="s">
        <v>56</v>
      </c>
      <c r="D44" s="157">
        <v>878</v>
      </c>
      <c r="E44" s="157">
        <f t="shared" si="5"/>
        <v>878</v>
      </c>
      <c r="F44" s="156">
        <v>348</v>
      </c>
      <c r="G44" s="157">
        <v>910</v>
      </c>
      <c r="H44" s="158">
        <v>1258</v>
      </c>
      <c r="I44" s="157">
        <v>426</v>
      </c>
      <c r="J44" s="157">
        <v>1578</v>
      </c>
      <c r="K44" s="158">
        <f t="shared" si="6"/>
        <v>2004</v>
      </c>
      <c r="L44" s="246" t="s">
        <v>1628</v>
      </c>
      <c r="M44" s="937">
        <v>28</v>
      </c>
      <c r="N44" s="14"/>
      <c r="Y44" s="1554" t="s">
        <v>266</v>
      </c>
      <c r="Z44" s="1555"/>
      <c r="AA44" s="1556"/>
      <c r="AB44" s="1554" t="s">
        <v>269</v>
      </c>
      <c r="AC44" s="1555"/>
      <c r="AD44" s="1556"/>
      <c r="AE44" s="1554" t="s">
        <v>270</v>
      </c>
      <c r="AF44" s="1555"/>
      <c r="AG44" s="1556"/>
      <c r="AH44" s="1328"/>
      <c r="AI44" s="1561"/>
    </row>
    <row r="45" spans="1:35" s="639" customFormat="1" ht="36.75" customHeight="1">
      <c r="A45" s="148">
        <v>29</v>
      </c>
      <c r="B45" s="633" t="s">
        <v>371</v>
      </c>
      <c r="C45" s="154" t="s">
        <v>56</v>
      </c>
      <c r="D45" s="155">
        <v>1713</v>
      </c>
      <c r="E45" s="155">
        <f t="shared" si="5"/>
        <v>1713</v>
      </c>
      <c r="F45" s="154">
        <v>1</v>
      </c>
      <c r="G45" s="155">
        <v>1952</v>
      </c>
      <c r="H45" s="634">
        <v>1953</v>
      </c>
      <c r="I45" s="155">
        <v>1</v>
      </c>
      <c r="J45" s="155">
        <v>1868</v>
      </c>
      <c r="K45" s="634">
        <f t="shared" si="6"/>
        <v>1869</v>
      </c>
      <c r="L45" s="635" t="s">
        <v>1629</v>
      </c>
      <c r="M45" s="24">
        <v>29</v>
      </c>
      <c r="N45" s="14"/>
      <c r="O45"/>
      <c r="Y45" s="651" t="s">
        <v>12</v>
      </c>
      <c r="Z45" s="651" t="s">
        <v>13</v>
      </c>
      <c r="AA45" s="651" t="s">
        <v>52</v>
      </c>
      <c r="AB45" s="651" t="s">
        <v>12</v>
      </c>
      <c r="AC45" s="651" t="s">
        <v>13</v>
      </c>
      <c r="AD45" s="651" t="s">
        <v>14</v>
      </c>
      <c r="AE45" s="651" t="s">
        <v>12</v>
      </c>
      <c r="AF45" s="651" t="s">
        <v>13</v>
      </c>
      <c r="AG45" s="651" t="s">
        <v>14</v>
      </c>
      <c r="AH45" s="1328"/>
      <c r="AI45" s="1561"/>
    </row>
    <row r="46" spans="1:35" ht="38.25" customHeight="1">
      <c r="A46" s="159">
        <v>30</v>
      </c>
      <c r="B46" s="289" t="s">
        <v>372</v>
      </c>
      <c r="C46" s="156" t="s">
        <v>56</v>
      </c>
      <c r="D46" s="157">
        <v>1015</v>
      </c>
      <c r="E46" s="157">
        <f t="shared" si="5"/>
        <v>1015</v>
      </c>
      <c r="F46" s="156">
        <v>731</v>
      </c>
      <c r="G46" s="157">
        <v>1108</v>
      </c>
      <c r="H46" s="158">
        <v>1839</v>
      </c>
      <c r="I46" s="156">
        <v>820</v>
      </c>
      <c r="J46" s="157">
        <v>1680</v>
      </c>
      <c r="K46" s="158">
        <f t="shared" si="6"/>
        <v>2500</v>
      </c>
      <c r="L46" s="238" t="s">
        <v>1630</v>
      </c>
      <c r="M46" s="937">
        <v>30</v>
      </c>
      <c r="N46" s="14"/>
      <c r="Y46" s="129" t="s">
        <v>278</v>
      </c>
      <c r="Z46" s="129" t="s">
        <v>279</v>
      </c>
      <c r="AA46" s="149" t="s">
        <v>256</v>
      </c>
      <c r="AB46" s="129" t="s">
        <v>278</v>
      </c>
      <c r="AC46" s="129" t="s">
        <v>279</v>
      </c>
      <c r="AD46" s="149" t="s">
        <v>256</v>
      </c>
      <c r="AE46" s="129" t="s">
        <v>278</v>
      </c>
      <c r="AF46" s="129" t="s">
        <v>279</v>
      </c>
      <c r="AG46" s="149" t="s">
        <v>256</v>
      </c>
      <c r="AH46" s="1328"/>
      <c r="AI46" s="1561"/>
    </row>
    <row r="47" spans="1:35" s="639" customFormat="1" ht="45" customHeight="1">
      <c r="A47" s="148">
        <v>31</v>
      </c>
      <c r="B47" s="633" t="s">
        <v>373</v>
      </c>
      <c r="C47" s="154" t="s">
        <v>56</v>
      </c>
      <c r="D47" s="155">
        <v>1155</v>
      </c>
      <c r="E47" s="634">
        <f t="shared" si="5"/>
        <v>1155</v>
      </c>
      <c r="F47" s="154">
        <v>441</v>
      </c>
      <c r="G47" s="155">
        <v>447</v>
      </c>
      <c r="H47" s="634">
        <v>888</v>
      </c>
      <c r="I47" s="155">
        <v>595</v>
      </c>
      <c r="J47" s="155">
        <v>745</v>
      </c>
      <c r="K47" s="634">
        <f t="shared" si="6"/>
        <v>1340</v>
      </c>
      <c r="L47" s="635" t="s">
        <v>1631</v>
      </c>
      <c r="M47" s="24">
        <v>31</v>
      </c>
      <c r="N47" s="14"/>
      <c r="O47"/>
      <c r="Y47" s="652" t="s">
        <v>162</v>
      </c>
      <c r="Z47" s="652" t="s">
        <v>163</v>
      </c>
      <c r="AA47" s="652" t="s">
        <v>282</v>
      </c>
      <c r="AB47" s="652" t="s">
        <v>162</v>
      </c>
      <c r="AC47" s="652" t="s">
        <v>163</v>
      </c>
      <c r="AD47" s="652" t="s">
        <v>282</v>
      </c>
      <c r="AE47" s="652" t="s">
        <v>162</v>
      </c>
      <c r="AF47" s="652" t="s">
        <v>163</v>
      </c>
      <c r="AG47" s="652" t="s">
        <v>282</v>
      </c>
      <c r="AH47" s="1329"/>
      <c r="AI47" s="1562"/>
    </row>
    <row r="48" spans="1:35" ht="38.25" customHeight="1">
      <c r="A48" s="159">
        <v>32</v>
      </c>
      <c r="B48" s="289" t="s">
        <v>374</v>
      </c>
      <c r="C48" s="156" t="s">
        <v>56</v>
      </c>
      <c r="D48" s="157">
        <v>1411</v>
      </c>
      <c r="E48" s="157">
        <f t="shared" si="5"/>
        <v>1411</v>
      </c>
      <c r="F48" s="156">
        <v>554</v>
      </c>
      <c r="G48" s="157">
        <v>1615</v>
      </c>
      <c r="H48" s="158">
        <v>2169</v>
      </c>
      <c r="I48" s="157">
        <v>524</v>
      </c>
      <c r="J48" s="157">
        <v>1603</v>
      </c>
      <c r="K48" s="158">
        <f t="shared" si="6"/>
        <v>2127</v>
      </c>
      <c r="L48" s="246" t="s">
        <v>1632</v>
      </c>
      <c r="M48" s="937">
        <v>32</v>
      </c>
      <c r="N48" s="14"/>
    </row>
    <row r="49" spans="1:16" s="639" customFormat="1" ht="37.5" customHeight="1">
      <c r="A49" s="148">
        <v>33</v>
      </c>
      <c r="B49" s="633" t="s">
        <v>375</v>
      </c>
      <c r="C49" s="154" t="s">
        <v>56</v>
      </c>
      <c r="D49" s="155">
        <v>241</v>
      </c>
      <c r="E49" s="155">
        <f t="shared" si="5"/>
        <v>241</v>
      </c>
      <c r="F49" s="154">
        <v>464</v>
      </c>
      <c r="G49" s="155">
        <v>239</v>
      </c>
      <c r="H49" s="634">
        <v>703</v>
      </c>
      <c r="I49" s="155">
        <v>587</v>
      </c>
      <c r="J49" s="155">
        <v>412</v>
      </c>
      <c r="K49" s="634">
        <f t="shared" si="6"/>
        <v>999</v>
      </c>
      <c r="L49" s="635" t="s">
        <v>1633</v>
      </c>
      <c r="M49" s="24">
        <v>33</v>
      </c>
      <c r="N49" s="14"/>
      <c r="O49"/>
    </row>
    <row r="50" spans="1:16" ht="39.75" customHeight="1">
      <c r="A50" s="159">
        <v>34</v>
      </c>
      <c r="B50" s="289" t="s">
        <v>376</v>
      </c>
      <c r="C50" s="156" t="s">
        <v>56</v>
      </c>
      <c r="D50" s="157">
        <v>1541</v>
      </c>
      <c r="E50" s="157">
        <f t="shared" si="5"/>
        <v>1541</v>
      </c>
      <c r="F50" s="156">
        <v>21</v>
      </c>
      <c r="G50" s="157">
        <v>1470</v>
      </c>
      <c r="H50" s="158">
        <v>1491</v>
      </c>
      <c r="I50" s="157">
        <v>35</v>
      </c>
      <c r="J50" s="157">
        <v>1468</v>
      </c>
      <c r="K50" s="158">
        <f t="shared" si="6"/>
        <v>1503</v>
      </c>
      <c r="L50" s="246" t="s">
        <v>1634</v>
      </c>
      <c r="M50" s="937">
        <v>34</v>
      </c>
      <c r="N50" s="14"/>
    </row>
    <row r="51" spans="1:16" s="639" customFormat="1" ht="36.75" customHeight="1">
      <c r="A51" s="148">
        <v>35</v>
      </c>
      <c r="B51" s="633" t="s">
        <v>377</v>
      </c>
      <c r="C51" s="154" t="s">
        <v>56</v>
      </c>
      <c r="D51" s="155">
        <v>879</v>
      </c>
      <c r="E51" s="155">
        <f t="shared" si="5"/>
        <v>879</v>
      </c>
      <c r="F51" s="154">
        <v>38</v>
      </c>
      <c r="G51" s="155">
        <v>753</v>
      </c>
      <c r="H51" s="634">
        <v>791</v>
      </c>
      <c r="I51" s="155">
        <v>43</v>
      </c>
      <c r="J51" s="155">
        <v>633</v>
      </c>
      <c r="K51" s="634">
        <f t="shared" si="6"/>
        <v>676</v>
      </c>
      <c r="L51" s="635" t="s">
        <v>1635</v>
      </c>
      <c r="M51" s="24">
        <v>35</v>
      </c>
      <c r="N51" s="642"/>
      <c r="O51"/>
    </row>
    <row r="52" spans="1:16" ht="34.5" customHeight="1">
      <c r="A52" s="159">
        <v>36</v>
      </c>
      <c r="B52" s="289" t="s">
        <v>378</v>
      </c>
      <c r="C52" s="156" t="s">
        <v>56</v>
      </c>
      <c r="D52" s="157">
        <v>2133</v>
      </c>
      <c r="E52" s="157">
        <f t="shared" si="5"/>
        <v>2133</v>
      </c>
      <c r="F52" s="156">
        <v>185</v>
      </c>
      <c r="G52" s="157">
        <v>2288</v>
      </c>
      <c r="H52" s="158">
        <v>2473</v>
      </c>
      <c r="I52" s="157">
        <v>201</v>
      </c>
      <c r="J52" s="157">
        <v>2275</v>
      </c>
      <c r="K52" s="158">
        <f t="shared" si="6"/>
        <v>2476</v>
      </c>
      <c r="L52" s="246" t="s">
        <v>1636</v>
      </c>
      <c r="M52" s="937">
        <v>36</v>
      </c>
    </row>
    <row r="53" spans="1:16" s="639" customFormat="1" ht="38.25" customHeight="1">
      <c r="A53" s="148">
        <v>37</v>
      </c>
      <c r="B53" s="633" t="s">
        <v>379</v>
      </c>
      <c r="C53" s="154" t="s">
        <v>56</v>
      </c>
      <c r="D53" s="155">
        <v>1168</v>
      </c>
      <c r="E53" s="155">
        <f t="shared" si="5"/>
        <v>1168</v>
      </c>
      <c r="F53" s="154">
        <v>220</v>
      </c>
      <c r="G53" s="155">
        <v>679</v>
      </c>
      <c r="H53" s="634">
        <v>899</v>
      </c>
      <c r="I53" s="155">
        <v>231</v>
      </c>
      <c r="J53" s="155">
        <v>907</v>
      </c>
      <c r="K53" s="634">
        <f t="shared" si="6"/>
        <v>1138</v>
      </c>
      <c r="L53" s="635" t="s">
        <v>1637</v>
      </c>
      <c r="M53" s="24">
        <v>37</v>
      </c>
      <c r="N53" s="642"/>
      <c r="O53"/>
    </row>
    <row r="54" spans="1:16" ht="42" customHeight="1">
      <c r="A54" s="159">
        <v>38</v>
      </c>
      <c r="B54" s="289" t="s">
        <v>380</v>
      </c>
      <c r="C54" s="156" t="s">
        <v>56</v>
      </c>
      <c r="D54" s="157">
        <v>846</v>
      </c>
      <c r="E54" s="157">
        <f t="shared" si="5"/>
        <v>846</v>
      </c>
      <c r="F54" s="156">
        <v>652</v>
      </c>
      <c r="G54" s="157">
        <v>797</v>
      </c>
      <c r="H54" s="158">
        <v>1449</v>
      </c>
      <c r="I54" s="157">
        <v>426</v>
      </c>
      <c r="J54" s="157">
        <v>839</v>
      </c>
      <c r="K54" s="158">
        <f t="shared" si="6"/>
        <v>1265</v>
      </c>
      <c r="L54" s="246" t="s">
        <v>1232</v>
      </c>
      <c r="M54" s="937">
        <v>38</v>
      </c>
    </row>
    <row r="55" spans="1:16" s="639" customFormat="1" ht="39" customHeight="1">
      <c r="A55" s="148">
        <v>39</v>
      </c>
      <c r="B55" s="633" t="s">
        <v>381</v>
      </c>
      <c r="C55" s="154" t="s">
        <v>56</v>
      </c>
      <c r="D55" s="155">
        <v>196</v>
      </c>
      <c r="E55" s="155">
        <f t="shared" si="5"/>
        <v>196</v>
      </c>
      <c r="F55" s="154">
        <v>5</v>
      </c>
      <c r="G55" s="155">
        <v>113</v>
      </c>
      <c r="H55" s="634">
        <v>118</v>
      </c>
      <c r="I55" s="155">
        <v>1</v>
      </c>
      <c r="J55" s="155">
        <v>79</v>
      </c>
      <c r="K55" s="634">
        <f t="shared" si="6"/>
        <v>80</v>
      </c>
      <c r="L55" s="635" t="s">
        <v>1638</v>
      </c>
      <c r="M55" s="24">
        <v>39</v>
      </c>
      <c r="N55" s="642"/>
      <c r="O55"/>
    </row>
    <row r="56" spans="1:16" ht="38.25" customHeight="1">
      <c r="A56" s="201">
        <v>40</v>
      </c>
      <c r="B56" s="291" t="s">
        <v>382</v>
      </c>
      <c r="C56" s="292" t="s">
        <v>56</v>
      </c>
      <c r="D56" s="206">
        <v>341</v>
      </c>
      <c r="E56" s="206">
        <f t="shared" si="5"/>
        <v>341</v>
      </c>
      <c r="F56" s="292">
        <v>306</v>
      </c>
      <c r="G56" s="206">
        <v>269</v>
      </c>
      <c r="H56" s="207">
        <v>575</v>
      </c>
      <c r="I56" s="206">
        <v>296</v>
      </c>
      <c r="J56" s="206">
        <v>337</v>
      </c>
      <c r="K56" s="207">
        <f t="shared" si="6"/>
        <v>633</v>
      </c>
      <c r="L56" s="293" t="s">
        <v>1639</v>
      </c>
      <c r="M56" s="938">
        <v>40</v>
      </c>
    </row>
    <row r="57" spans="1:16" ht="16.5" customHeight="1">
      <c r="A57" s="1484" t="s">
        <v>758</v>
      </c>
      <c r="B57" s="1484"/>
      <c r="C57" s="1484"/>
      <c r="D57" s="1484"/>
      <c r="E57" s="1484"/>
      <c r="F57" s="1540"/>
      <c r="G57" s="1540"/>
      <c r="H57" s="1540"/>
      <c r="I57" s="1540"/>
      <c r="J57" s="1540" t="s">
        <v>1602</v>
      </c>
      <c r="K57" s="1540"/>
      <c r="L57" s="1540"/>
      <c r="M57" s="1540"/>
      <c r="P57" s="233" t="s">
        <v>57</v>
      </c>
    </row>
    <row r="58" spans="1:16" ht="39" customHeight="1">
      <c r="O58" s="631"/>
    </row>
    <row r="59" spans="1:16" ht="32" customHeight="1">
      <c r="M59" s="574"/>
    </row>
    <row r="60" spans="1:16" ht="34.5" customHeight="1">
      <c r="C60" s="543"/>
      <c r="D60" s="543"/>
      <c r="E60" s="543"/>
      <c r="F60" s="543"/>
      <c r="G60" s="543"/>
      <c r="H60" s="543"/>
      <c r="I60" s="543"/>
      <c r="J60" s="543"/>
      <c r="K60" s="543"/>
      <c r="L60" s="543"/>
      <c r="M60" s="543"/>
    </row>
    <row r="61" spans="1:16" ht="36.75" customHeight="1">
      <c r="C61" s="544"/>
      <c r="D61" s="544"/>
      <c r="E61" s="544"/>
      <c r="F61" s="544"/>
      <c r="G61" s="544"/>
      <c r="H61" s="544"/>
      <c r="I61" s="544"/>
      <c r="J61" s="544"/>
      <c r="K61" s="544"/>
      <c r="L61" s="544"/>
      <c r="M61" s="544"/>
      <c r="N61" s="15"/>
    </row>
    <row r="62" spans="1:16" ht="14.25" customHeight="1">
      <c r="C62" s="544"/>
      <c r="D62" s="544"/>
      <c r="E62" s="544"/>
      <c r="F62" s="544"/>
      <c r="G62" s="544"/>
      <c r="H62" s="544"/>
      <c r="I62" s="544"/>
      <c r="J62" s="544"/>
      <c r="K62" s="544"/>
      <c r="L62" s="544"/>
      <c r="M62" s="544"/>
    </row>
    <row r="63" spans="1:16" ht="25.5" customHeight="1">
      <c r="C63" s="544"/>
      <c r="D63" s="544"/>
      <c r="E63" s="544"/>
      <c r="F63" s="544"/>
      <c r="G63" s="544"/>
      <c r="H63" s="544"/>
      <c r="I63" s="544"/>
      <c r="J63" s="544"/>
      <c r="K63" s="544"/>
      <c r="L63" s="544"/>
      <c r="M63" s="544"/>
    </row>
    <row r="64" spans="1:16" ht="25.5" customHeight="1">
      <c r="C64" s="544"/>
      <c r="D64" s="544"/>
      <c r="E64" s="544"/>
      <c r="F64" s="544"/>
      <c r="G64" s="544"/>
      <c r="H64" s="544"/>
      <c r="I64" s="544"/>
      <c r="J64" s="544"/>
      <c r="K64" s="544"/>
      <c r="L64" s="544"/>
      <c r="M64" s="544"/>
    </row>
    <row r="65" spans="1:21" ht="25.5" customHeight="1">
      <c r="C65" s="544"/>
      <c r="D65" s="544"/>
      <c r="E65" s="544"/>
      <c r="F65" s="544"/>
      <c r="G65" s="544"/>
      <c r="H65" s="544"/>
      <c r="I65" s="544"/>
      <c r="J65" s="544"/>
      <c r="K65" s="544"/>
      <c r="L65" s="544"/>
      <c r="M65" s="544"/>
    </row>
    <row r="66" spans="1:21" ht="25.5" customHeight="1">
      <c r="C66" s="544"/>
      <c r="D66" s="544"/>
      <c r="E66" s="544"/>
      <c r="F66" s="544"/>
      <c r="G66" s="544"/>
      <c r="H66" s="544"/>
      <c r="I66" s="544"/>
      <c r="J66" s="544"/>
      <c r="K66" s="544"/>
      <c r="L66" s="544"/>
      <c r="M66" s="544"/>
    </row>
    <row r="67" spans="1:21" ht="26" customHeight="1">
      <c r="C67" s="544"/>
      <c r="D67" s="544"/>
      <c r="E67" s="544"/>
      <c r="F67" s="544"/>
      <c r="G67" s="544"/>
      <c r="H67" s="544"/>
      <c r="I67" s="544"/>
      <c r="J67" s="544"/>
      <c r="K67" s="544"/>
      <c r="L67" s="544"/>
      <c r="M67" s="544"/>
    </row>
    <row r="68" spans="1:21" ht="26" customHeight="1">
      <c r="E68" s="547" t="s">
        <v>726</v>
      </c>
      <c r="F68" s="547" t="s">
        <v>725</v>
      </c>
      <c r="G68" s="547" t="s">
        <v>772</v>
      </c>
      <c r="Q68" s="4"/>
      <c r="R68" s="4"/>
      <c r="S68" s="4"/>
    </row>
    <row r="69" spans="1:21" ht="21.75" customHeight="1">
      <c r="E69" s="1098">
        <v>1400</v>
      </c>
      <c r="F69" s="1098">
        <v>1401</v>
      </c>
      <c r="G69" s="1098">
        <v>1402</v>
      </c>
    </row>
    <row r="70" spans="1:21" ht="18" customHeight="1">
      <c r="D70" s="447" t="s">
        <v>584</v>
      </c>
      <c r="E70" s="546">
        <f>J9/K9*100</f>
        <v>69.595644622307091</v>
      </c>
      <c r="F70" s="452">
        <f>G9/H9*100</f>
        <v>66.00228300950856</v>
      </c>
      <c r="G70" s="452">
        <f>D9/E9*100</f>
        <v>99.91039032918377</v>
      </c>
    </row>
    <row r="71" spans="1:21" ht="18" customHeight="1">
      <c r="D71" s="532" t="s">
        <v>585</v>
      </c>
      <c r="E71" s="546">
        <f>I9/K9*100</f>
        <v>30.404355377692909</v>
      </c>
      <c r="F71" s="452">
        <f>F9/H9*100</f>
        <v>33.997716990491448</v>
      </c>
      <c r="G71" s="452">
        <f>C9/E9*100</f>
        <v>8.9609670816238676E-2</v>
      </c>
      <c r="H71" s="544"/>
      <c r="I71" s="544"/>
      <c r="J71" s="544"/>
      <c r="K71" s="544"/>
      <c r="L71" s="544"/>
      <c r="M71" s="544"/>
      <c r="Q71" s="3"/>
      <c r="R71" s="3"/>
      <c r="S71" s="3"/>
    </row>
    <row r="72" spans="1:21" ht="25.5" hidden="1" customHeight="1">
      <c r="C72" s="544"/>
      <c r="D72" s="544"/>
      <c r="E72" s="544"/>
      <c r="F72" s="544"/>
      <c r="G72" s="544"/>
      <c r="H72" s="544"/>
      <c r="I72" s="544"/>
      <c r="J72" s="544"/>
      <c r="K72" s="544"/>
      <c r="L72" s="544"/>
      <c r="M72" s="544"/>
    </row>
    <row r="73" spans="1:21" ht="25.5" hidden="1" customHeight="1">
      <c r="C73" s="544"/>
      <c r="D73" s="544"/>
      <c r="E73" s="544"/>
      <c r="F73" s="544"/>
      <c r="G73" s="544"/>
      <c r="H73" s="544"/>
      <c r="I73" s="544"/>
      <c r="J73" s="544"/>
      <c r="K73" s="544"/>
      <c r="L73" s="544"/>
      <c r="M73" s="544"/>
      <c r="S73" s="4"/>
    </row>
    <row r="74" spans="1:21" ht="25.5" customHeight="1">
      <c r="B74" s="603" t="s">
        <v>2174</v>
      </c>
    </row>
    <row r="75" spans="1:21" hidden="1">
      <c r="Q75" s="1"/>
      <c r="R75" s="1"/>
      <c r="S75" s="1"/>
    </row>
    <row r="76" spans="1:21" ht="18" customHeight="1">
      <c r="H76" s="1521"/>
      <c r="I76" s="1521"/>
      <c r="J76" s="1521"/>
      <c r="K76" s="1521"/>
      <c r="L76" s="1521"/>
      <c r="M76" s="1521"/>
      <c r="N76" s="1521"/>
      <c r="O76" s="1521"/>
      <c r="P76" s="1521"/>
      <c r="Q76" s="1521"/>
      <c r="R76" s="1521"/>
      <c r="S76" s="1521"/>
      <c r="T76" s="1521"/>
    </row>
    <row r="77" spans="1:21" ht="11.25" customHeight="1">
      <c r="A77" s="1448" t="s">
        <v>2172</v>
      </c>
      <c r="B77" s="1448"/>
      <c r="C77" s="1448"/>
      <c r="D77" s="1448"/>
      <c r="E77" s="1448"/>
      <c r="F77" s="1448"/>
      <c r="G77" s="1448"/>
      <c r="H77" s="1448"/>
      <c r="I77" s="1448"/>
      <c r="J77" s="1448"/>
      <c r="K77" s="1448"/>
      <c r="L77" s="1448"/>
      <c r="M77" s="1448"/>
      <c r="T77" s="4"/>
      <c r="U77" s="4"/>
    </row>
    <row r="78" spans="1:21" ht="25.5" customHeight="1">
      <c r="A78" s="1453" t="s">
        <v>2173</v>
      </c>
      <c r="B78" s="1453"/>
      <c r="C78" s="1453"/>
      <c r="D78" s="1453"/>
      <c r="E78" s="1453"/>
      <c r="F78" s="1453"/>
      <c r="G78" s="1453"/>
      <c r="H78" s="1453"/>
      <c r="I78" s="1453"/>
      <c r="J78" s="1453"/>
      <c r="K78" s="1453"/>
      <c r="L78" s="1453"/>
      <c r="M78" s="1453"/>
      <c r="T78" s="4"/>
      <c r="U78" s="4"/>
    </row>
    <row r="79" spans="1:21" ht="24" customHeight="1">
      <c r="C79" s="544"/>
      <c r="D79" s="545"/>
      <c r="E79" s="545"/>
      <c r="F79" s="545"/>
    </row>
    <row r="80" spans="1:21" ht="24" customHeight="1">
      <c r="C80" s="544"/>
      <c r="D80" s="545"/>
      <c r="E80" s="545"/>
      <c r="F80" s="545"/>
    </row>
    <row r="81" spans="3:17">
      <c r="C81" s="544"/>
      <c r="D81" s="546"/>
      <c r="E81" s="546"/>
      <c r="F81" s="546"/>
      <c r="H81" s="544"/>
      <c r="I81" s="544"/>
      <c r="M81" s="544"/>
    </row>
    <row r="82" spans="3:17">
      <c r="D82" s="546"/>
      <c r="E82" s="546"/>
      <c r="F82" s="546"/>
      <c r="H82" s="544"/>
      <c r="I82" s="546"/>
    </row>
    <row r="83" spans="3:17">
      <c r="D83" s="452"/>
      <c r="E83" s="452"/>
      <c r="F83" s="452"/>
      <c r="H83" s="544"/>
      <c r="I83" s="546"/>
      <c r="Q83" s="3"/>
    </row>
    <row r="84" spans="3:17">
      <c r="H84" s="544"/>
      <c r="I84" s="546"/>
    </row>
    <row r="85" spans="3:17">
      <c r="H85" s="544"/>
    </row>
    <row r="86" spans="3:17">
      <c r="H86" s="544"/>
    </row>
    <row r="87" spans="3:17">
      <c r="H87" s="544"/>
      <c r="I87" s="546"/>
    </row>
    <row r="90" spans="3:17" ht="16">
      <c r="K90" s="518"/>
      <c r="L90" s="544"/>
    </row>
    <row r="91" spans="3:17" ht="16">
      <c r="K91" s="518"/>
      <c r="L91" s="546"/>
    </row>
    <row r="92" spans="3:17" ht="16">
      <c r="K92" s="518"/>
      <c r="L92" s="546"/>
    </row>
    <row r="125" spans="18:21">
      <c r="R125" s="26"/>
      <c r="S125" s="75">
        <v>1398</v>
      </c>
      <c r="T125" s="75">
        <v>2020</v>
      </c>
      <c r="U125" s="75">
        <v>2021</v>
      </c>
    </row>
    <row r="126" spans="18:21">
      <c r="R126" s="26" t="s">
        <v>283</v>
      </c>
      <c r="S126" s="27" t="e">
        <f>Y61/Z61*100</f>
        <v>#DIV/0!</v>
      </c>
      <c r="T126" s="27" t="e">
        <f>V61/W61*100</f>
        <v>#DIV/0!</v>
      </c>
      <c r="U126" s="27" t="e">
        <f>S61/T61*100</f>
        <v>#DIV/0!</v>
      </c>
    </row>
    <row r="127" spans="18:21">
      <c r="R127" s="125" t="s">
        <v>284</v>
      </c>
      <c r="S127" s="27" t="e">
        <f>X61/Z61*100</f>
        <v>#DIV/0!</v>
      </c>
      <c r="T127" s="27" t="e">
        <f>U61/W61*100</f>
        <v>#DIV/0!</v>
      </c>
      <c r="U127" s="27" t="e">
        <f>R61/T61*100</f>
        <v>#DIV/0!</v>
      </c>
    </row>
  </sheetData>
  <mergeCells count="41">
    <mergeCell ref="A77:M77"/>
    <mergeCell ref="A78:M78"/>
    <mergeCell ref="A1:M1"/>
    <mergeCell ref="A2:M2"/>
    <mergeCell ref="A3:M3"/>
    <mergeCell ref="A4:A8"/>
    <mergeCell ref="B4:B8"/>
    <mergeCell ref="C4:E4"/>
    <mergeCell ref="F4:H4"/>
    <mergeCell ref="I4:K4"/>
    <mergeCell ref="L4:L8"/>
    <mergeCell ref="M4:M8"/>
    <mergeCell ref="C5:E5"/>
    <mergeCell ref="F5:H5"/>
    <mergeCell ref="I5:K5"/>
    <mergeCell ref="A35:E36"/>
    <mergeCell ref="L35:M35"/>
    <mergeCell ref="F36:M36"/>
    <mergeCell ref="A37:A41"/>
    <mergeCell ref="B37:B41"/>
    <mergeCell ref="C37:E37"/>
    <mergeCell ref="F37:H37"/>
    <mergeCell ref="I37:K37"/>
    <mergeCell ref="C38:E38"/>
    <mergeCell ref="F38:H38"/>
    <mergeCell ref="I38:K38"/>
    <mergeCell ref="Y38:AI38"/>
    <mergeCell ref="L37:L41"/>
    <mergeCell ref="AB43:AD43"/>
    <mergeCell ref="AE43:AG43"/>
    <mergeCell ref="AH43:AH47"/>
    <mergeCell ref="AI43:AI47"/>
    <mergeCell ref="M37:M41"/>
    <mergeCell ref="Y43:AA43"/>
    <mergeCell ref="H76:T76"/>
    <mergeCell ref="Y44:AA44"/>
    <mergeCell ref="AB44:AD44"/>
    <mergeCell ref="AE44:AG44"/>
    <mergeCell ref="A57:E57"/>
    <mergeCell ref="F57:I57"/>
    <mergeCell ref="J57:M57"/>
  </mergeCells>
  <printOptions horizontalCentered="1"/>
  <pageMargins left="0" right="0" top="0.06" bottom="0.6" header="0.03" footer="0.39370078740157499"/>
  <pageSetup paperSize="9" scale="70" orientation="portrait" r:id="rId1"/>
  <headerFooter>
    <oddFooter>&amp;L&amp;"Times New Roman,Regular"&amp;10    Afghanistan Statistical Yearbook 2023-24&amp;R&amp;"Times New Roman,Regular"&amp;10          د ۱۴۰۲ احصایيوي کالنۍ  /سالنامه احصائیوی ۱۴۰۲</oddFooter>
  </headerFooter>
  <rowBreaks count="1" manualBreakCount="1">
    <brk id="37" min="23" max="34" man="1"/>
  </rowBreaks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theme="0"/>
  </sheetPr>
  <dimension ref="A1:P42"/>
  <sheetViews>
    <sheetView view="pageBreakPreview" topLeftCell="A3" zoomScale="124" zoomScaleNormal="100" zoomScaleSheetLayoutView="124" workbookViewId="0">
      <selection activeCell="A3" sqref="A3:M3"/>
    </sheetView>
  </sheetViews>
  <sheetFormatPr baseColWidth="10" defaultColWidth="8.83203125" defaultRowHeight="15"/>
  <cols>
    <col min="1" max="1" width="2.6640625" customWidth="1"/>
    <col min="2" max="2" width="22.6640625" customWidth="1"/>
    <col min="3" max="3" width="7.6640625" customWidth="1"/>
    <col min="4" max="5" width="8.6640625" customWidth="1"/>
    <col min="6" max="6" width="7.6640625" customWidth="1"/>
    <col min="7" max="7" width="8.33203125" bestFit="1" customWidth="1"/>
    <col min="8" max="8" width="8.5" customWidth="1"/>
    <col min="9" max="9" width="7.6640625" customWidth="1"/>
    <col min="10" max="10" width="8.33203125" bestFit="1" customWidth="1"/>
    <col min="11" max="11" width="8.5" customWidth="1"/>
    <col min="12" max="12" width="30.6640625" customWidth="1"/>
    <col min="13" max="13" width="2.83203125" customWidth="1"/>
  </cols>
  <sheetData>
    <row r="1" spans="1:16" ht="18" hidden="1" customHeight="1">
      <c r="A1" s="1418" t="s">
        <v>2203</v>
      </c>
      <c r="B1" s="1418"/>
      <c r="C1" s="1418"/>
      <c r="D1" s="1418"/>
      <c r="E1" s="1418"/>
      <c r="F1" s="1418"/>
      <c r="G1" s="1418"/>
      <c r="H1" s="1418"/>
      <c r="I1" s="1418"/>
      <c r="J1" s="1418"/>
      <c r="K1" s="1418"/>
      <c r="L1" s="1418"/>
      <c r="M1" s="1418"/>
    </row>
    <row r="2" spans="1:16" ht="18" hidden="1" customHeight="1">
      <c r="A2" s="1443" t="s">
        <v>2204</v>
      </c>
      <c r="B2" s="1443"/>
      <c r="C2" s="1443"/>
      <c r="D2" s="1443"/>
      <c r="E2" s="1443"/>
      <c r="F2" s="1443"/>
      <c r="G2" s="1443"/>
      <c r="H2" s="1443"/>
      <c r="I2" s="1443"/>
      <c r="J2" s="1443"/>
      <c r="K2" s="1443"/>
      <c r="L2" s="1443"/>
      <c r="M2" s="1443"/>
    </row>
    <row r="3" spans="1:16" ht="18" customHeight="1">
      <c r="A3" s="1521" t="s">
        <v>2205</v>
      </c>
      <c r="B3" s="1521"/>
      <c r="C3" s="1521"/>
      <c r="D3" s="1521"/>
      <c r="E3" s="1521"/>
      <c r="F3" s="1521"/>
      <c r="G3" s="1521"/>
      <c r="H3" s="1521"/>
      <c r="I3" s="1521"/>
      <c r="J3" s="1521"/>
      <c r="K3" s="1521"/>
      <c r="L3" s="1521"/>
      <c r="M3" s="1521"/>
    </row>
    <row r="4" spans="1:16" ht="15" customHeight="1">
      <c r="A4" s="1327" t="s">
        <v>621</v>
      </c>
      <c r="B4" s="1530" t="s">
        <v>383</v>
      </c>
      <c r="C4" s="1576">
        <v>1402</v>
      </c>
      <c r="D4" s="1577"/>
      <c r="E4" s="1578"/>
      <c r="F4" s="1576">
        <v>1401</v>
      </c>
      <c r="G4" s="1577"/>
      <c r="H4" s="1578"/>
      <c r="I4" s="1577">
        <v>1400</v>
      </c>
      <c r="J4" s="1577"/>
      <c r="K4" s="1578"/>
      <c r="L4" s="1535" t="s">
        <v>53</v>
      </c>
      <c r="M4" s="1563" t="s">
        <v>727</v>
      </c>
    </row>
    <row r="5" spans="1:16">
      <c r="A5" s="1328"/>
      <c r="B5" s="1531"/>
      <c r="C5" s="1573" t="s">
        <v>772</v>
      </c>
      <c r="D5" s="1574"/>
      <c r="E5" s="1575"/>
      <c r="F5" s="1573" t="s">
        <v>725</v>
      </c>
      <c r="G5" s="1574"/>
      <c r="H5" s="1575"/>
      <c r="I5" s="1574" t="s">
        <v>726</v>
      </c>
      <c r="J5" s="1574"/>
      <c r="K5" s="1575"/>
      <c r="L5" s="1535"/>
      <c r="M5" s="1564"/>
    </row>
    <row r="6" spans="1:16" ht="22.5" customHeight="1">
      <c r="A6" s="1328"/>
      <c r="B6" s="1531"/>
      <c r="C6" s="530" t="s">
        <v>278</v>
      </c>
      <c r="D6" s="530" t="s">
        <v>279</v>
      </c>
      <c r="E6" s="530" t="s">
        <v>256</v>
      </c>
      <c r="F6" s="530" t="s">
        <v>278</v>
      </c>
      <c r="G6" s="530" t="s">
        <v>279</v>
      </c>
      <c r="H6" s="530" t="s">
        <v>256</v>
      </c>
      <c r="I6" s="530" t="s">
        <v>278</v>
      </c>
      <c r="J6" s="530" t="s">
        <v>279</v>
      </c>
      <c r="K6" s="530" t="s">
        <v>256</v>
      </c>
      <c r="L6" s="1535"/>
      <c r="M6" s="1564"/>
      <c r="O6" s="3"/>
    </row>
    <row r="7" spans="1:16">
      <c r="A7" s="1328"/>
      <c r="B7" s="1531"/>
      <c r="C7" s="1204" t="s">
        <v>12</v>
      </c>
      <c r="D7" s="1204" t="s">
        <v>13</v>
      </c>
      <c r="E7" s="1204" t="s">
        <v>52</v>
      </c>
      <c r="F7" s="1204" t="s">
        <v>12</v>
      </c>
      <c r="G7" s="1204" t="s">
        <v>13</v>
      </c>
      <c r="H7" s="1204" t="s">
        <v>52</v>
      </c>
      <c r="I7" s="1204" t="s">
        <v>12</v>
      </c>
      <c r="J7" s="1204" t="s">
        <v>13</v>
      </c>
      <c r="K7" s="1204" t="s">
        <v>52</v>
      </c>
      <c r="L7" s="1535"/>
      <c r="M7" s="1564"/>
    </row>
    <row r="8" spans="1:16">
      <c r="A8" s="1329"/>
      <c r="B8" s="1532"/>
      <c r="C8" s="1204" t="s">
        <v>162</v>
      </c>
      <c r="D8" s="1204" t="s">
        <v>163</v>
      </c>
      <c r="E8" s="1204" t="s">
        <v>282</v>
      </c>
      <c r="F8" s="1204" t="s">
        <v>162</v>
      </c>
      <c r="G8" s="1204" t="s">
        <v>163</v>
      </c>
      <c r="H8" s="1204" t="s">
        <v>282</v>
      </c>
      <c r="I8" s="1204" t="s">
        <v>162</v>
      </c>
      <c r="J8" s="1204" t="s">
        <v>163</v>
      </c>
      <c r="K8" s="1204" t="s">
        <v>282</v>
      </c>
      <c r="L8" s="1535"/>
      <c r="M8" s="1565"/>
    </row>
    <row r="9" spans="1:16" ht="30" customHeight="1">
      <c r="A9" s="594"/>
      <c r="B9" s="421" t="s">
        <v>595</v>
      </c>
      <c r="C9" s="1071">
        <f>SUM(C10:C40)</f>
        <v>102</v>
      </c>
      <c r="D9" s="969">
        <f>SUM(D10:D41)</f>
        <v>113725</v>
      </c>
      <c r="E9" s="940">
        <f>SUM(E10:E41)</f>
        <v>113827</v>
      </c>
      <c r="F9" s="969">
        <f>SUM(F10:F40)</f>
        <v>56886</v>
      </c>
      <c r="G9" s="969">
        <f>SUM(G10:G40)</f>
        <v>110437</v>
      </c>
      <c r="H9" s="940">
        <f t="shared" ref="H9:H40" si="0">G9+F9</f>
        <v>167323</v>
      </c>
      <c r="I9" s="969">
        <f>SUM(I10:I24,I25:I40)</f>
        <v>59868</v>
      </c>
      <c r="J9" s="969">
        <f>SUM(J10:J24,J25:J40)</f>
        <v>137038</v>
      </c>
      <c r="K9" s="940">
        <f>J9+I9</f>
        <v>196906</v>
      </c>
      <c r="L9" s="443" t="s">
        <v>671</v>
      </c>
      <c r="M9" s="572"/>
      <c r="P9" s="3"/>
    </row>
    <row r="10" spans="1:16" s="639" customFormat="1" ht="28" customHeight="1">
      <c r="A10" s="148">
        <v>1</v>
      </c>
      <c r="B10" s="239" t="s">
        <v>384</v>
      </c>
      <c r="C10" s="1072" t="s">
        <v>56</v>
      </c>
      <c r="D10" s="950">
        <f>502+254+302+294+98+276+223+127+337+191+21+257+279+501+427+355+19+266+217+320</f>
        <v>5266</v>
      </c>
      <c r="E10" s="942">
        <v>5266</v>
      </c>
      <c r="F10" s="941">
        <v>2500</v>
      </c>
      <c r="G10" s="942">
        <v>5718</v>
      </c>
      <c r="H10" s="943">
        <f t="shared" si="0"/>
        <v>8218</v>
      </c>
      <c r="I10" s="942">
        <v>2402</v>
      </c>
      <c r="J10" s="942">
        <v>7234</v>
      </c>
      <c r="K10" s="943">
        <f t="shared" ref="K10:K40" si="1">I10+J10</f>
        <v>9636</v>
      </c>
      <c r="L10" s="266" t="s">
        <v>1655</v>
      </c>
      <c r="M10" s="24">
        <v>1</v>
      </c>
      <c r="P10" s="642"/>
    </row>
    <row r="11" spans="1:16" ht="28" customHeight="1">
      <c r="A11" s="147">
        <v>2</v>
      </c>
      <c r="B11" s="240" t="s">
        <v>385</v>
      </c>
      <c r="C11" s="1073" t="s">
        <v>56</v>
      </c>
      <c r="D11" s="952">
        <f>209+686+279+3</f>
        <v>1177</v>
      </c>
      <c r="E11" s="945">
        <v>1177</v>
      </c>
      <c r="F11" s="944">
        <v>3306</v>
      </c>
      <c r="G11" s="945">
        <v>2787</v>
      </c>
      <c r="H11" s="946">
        <f t="shared" si="0"/>
        <v>6093</v>
      </c>
      <c r="I11" s="945">
        <v>4185</v>
      </c>
      <c r="J11" s="945">
        <v>4178</v>
      </c>
      <c r="K11" s="946">
        <f t="shared" si="1"/>
        <v>8363</v>
      </c>
      <c r="L11" s="294" t="s">
        <v>1656</v>
      </c>
      <c r="M11" s="909">
        <v>2</v>
      </c>
    </row>
    <row r="12" spans="1:16" s="639" customFormat="1" ht="28" customHeight="1">
      <c r="A12" s="148">
        <v>3</v>
      </c>
      <c r="B12" s="239" t="s">
        <v>386</v>
      </c>
      <c r="C12" s="1072" t="s">
        <v>56</v>
      </c>
      <c r="D12" s="950">
        <f>304+826+149+113+442+158+22+623+472+9+489+619+936+22+365+7+368+297+6+633+92+393+654+946+51+555+65+451+33</f>
        <v>10100</v>
      </c>
      <c r="E12" s="942">
        <v>10100</v>
      </c>
      <c r="F12" s="941">
        <v>8378</v>
      </c>
      <c r="G12" s="942">
        <v>10627</v>
      </c>
      <c r="H12" s="943">
        <f t="shared" si="0"/>
        <v>19005</v>
      </c>
      <c r="I12" s="942">
        <v>8631</v>
      </c>
      <c r="J12" s="942">
        <v>14695</v>
      </c>
      <c r="K12" s="943">
        <f t="shared" si="1"/>
        <v>23326</v>
      </c>
      <c r="L12" s="266" t="s">
        <v>1657</v>
      </c>
      <c r="M12" s="24">
        <v>3</v>
      </c>
    </row>
    <row r="13" spans="1:16" ht="28" customHeight="1">
      <c r="A13" s="147">
        <v>4</v>
      </c>
      <c r="B13" s="240" t="s">
        <v>387</v>
      </c>
      <c r="C13" s="1073" t="s">
        <v>56</v>
      </c>
      <c r="D13" s="952">
        <f>1007+420+399+641+813+460+469+705+619+919+769+196+354+646+196+197+506+350</f>
        <v>9666</v>
      </c>
      <c r="E13" s="945">
        <v>9666</v>
      </c>
      <c r="F13" s="944">
        <v>1508</v>
      </c>
      <c r="G13" s="945">
        <v>9673</v>
      </c>
      <c r="H13" s="946">
        <f t="shared" si="0"/>
        <v>11181</v>
      </c>
      <c r="I13" s="945">
        <v>1348</v>
      </c>
      <c r="J13" s="945">
        <v>9945</v>
      </c>
      <c r="K13" s="946">
        <f t="shared" si="1"/>
        <v>11293</v>
      </c>
      <c r="L13" s="294" t="s">
        <v>1658</v>
      </c>
      <c r="M13" s="909">
        <v>4</v>
      </c>
      <c r="N13" s="3"/>
      <c r="O13" s="3"/>
    </row>
    <row r="14" spans="1:16" s="639" customFormat="1" ht="28" customHeight="1">
      <c r="A14" s="148">
        <v>5</v>
      </c>
      <c r="B14" s="239" t="s">
        <v>388</v>
      </c>
      <c r="C14" s="1072" t="s">
        <v>56</v>
      </c>
      <c r="D14" s="950">
        <f>408+73+123</f>
        <v>604</v>
      </c>
      <c r="E14" s="942">
        <v>604</v>
      </c>
      <c r="F14" s="941">
        <v>1360</v>
      </c>
      <c r="G14" s="942">
        <v>515</v>
      </c>
      <c r="H14" s="943">
        <f t="shared" si="0"/>
        <v>1875</v>
      </c>
      <c r="I14" s="942">
        <v>1530</v>
      </c>
      <c r="J14" s="942">
        <v>482</v>
      </c>
      <c r="K14" s="943">
        <f t="shared" si="1"/>
        <v>2012</v>
      </c>
      <c r="L14" s="266" t="s">
        <v>1659</v>
      </c>
      <c r="M14" s="24">
        <v>5</v>
      </c>
    </row>
    <row r="15" spans="1:16" ht="28" customHeight="1">
      <c r="A15" s="147">
        <v>6</v>
      </c>
      <c r="B15" s="240" t="s">
        <v>389</v>
      </c>
      <c r="C15" s="1073" t="s">
        <v>56</v>
      </c>
      <c r="D15" s="952">
        <f>1011+131+429+569+509+398+471+836+461+626+511+377+718+623+440+470+380+356+185+258+401+76+221+268+190+83+11+144+335+417+63+49+194+10+159</f>
        <v>12380</v>
      </c>
      <c r="E15" s="945">
        <v>12380</v>
      </c>
      <c r="F15" s="944">
        <v>2646</v>
      </c>
      <c r="G15" s="945">
        <v>12729</v>
      </c>
      <c r="H15" s="946">
        <f t="shared" si="0"/>
        <v>15375</v>
      </c>
      <c r="I15" s="945">
        <v>2586</v>
      </c>
      <c r="J15" s="945">
        <v>15903</v>
      </c>
      <c r="K15" s="946">
        <f t="shared" si="1"/>
        <v>18489</v>
      </c>
      <c r="L15" s="294" t="s">
        <v>1660</v>
      </c>
      <c r="M15" s="909">
        <v>6</v>
      </c>
    </row>
    <row r="16" spans="1:16" s="639" customFormat="1" ht="28" customHeight="1">
      <c r="A16" s="325">
        <v>7</v>
      </c>
      <c r="B16" s="239" t="s">
        <v>390</v>
      </c>
      <c r="C16" s="1072" t="s">
        <v>56</v>
      </c>
      <c r="D16" s="950">
        <f>821+566+332+524+9+524+80+335+698+109+628+224+424+347+34+377+512+478+255+436+504+311+320+289+352+501+236+9+350+388+238+192+336+8+131</f>
        <v>11878</v>
      </c>
      <c r="E16" s="942">
        <v>11878</v>
      </c>
      <c r="F16" s="941">
        <v>3329</v>
      </c>
      <c r="G16" s="942">
        <v>11029</v>
      </c>
      <c r="H16" s="943">
        <f t="shared" si="0"/>
        <v>14358</v>
      </c>
      <c r="I16" s="942">
        <v>3364</v>
      </c>
      <c r="J16" s="942">
        <v>13383</v>
      </c>
      <c r="K16" s="943">
        <f t="shared" si="1"/>
        <v>16747</v>
      </c>
      <c r="L16" s="266" t="s">
        <v>1661</v>
      </c>
      <c r="M16" s="878">
        <v>7</v>
      </c>
    </row>
    <row r="17" spans="1:13" ht="28" customHeight="1">
      <c r="A17" s="147">
        <v>8</v>
      </c>
      <c r="B17" s="240" t="s">
        <v>391</v>
      </c>
      <c r="C17" s="1073" t="s">
        <v>56</v>
      </c>
      <c r="D17" s="952">
        <f>386+253+34+82</f>
        <v>755</v>
      </c>
      <c r="E17" s="945">
        <v>755</v>
      </c>
      <c r="F17" s="944">
        <v>593</v>
      </c>
      <c r="G17" s="945">
        <v>781</v>
      </c>
      <c r="H17" s="946">
        <f t="shared" si="0"/>
        <v>1374</v>
      </c>
      <c r="I17" s="945">
        <v>536</v>
      </c>
      <c r="J17" s="945">
        <v>746</v>
      </c>
      <c r="K17" s="946">
        <f t="shared" si="1"/>
        <v>1282</v>
      </c>
      <c r="L17" s="294" t="s">
        <v>1662</v>
      </c>
      <c r="M17" s="909">
        <v>8</v>
      </c>
    </row>
    <row r="18" spans="1:13" s="639" customFormat="1" ht="28" customHeight="1">
      <c r="A18" s="148">
        <v>9</v>
      </c>
      <c r="B18" s="239" t="s">
        <v>392</v>
      </c>
      <c r="C18" s="1072" t="s">
        <v>56</v>
      </c>
      <c r="D18" s="950">
        <f>378+391+255+344+202+240+196+120+58</f>
        <v>2184</v>
      </c>
      <c r="E18" s="942">
        <v>2184</v>
      </c>
      <c r="F18" s="941">
        <v>151</v>
      </c>
      <c r="G18" s="942">
        <v>2227</v>
      </c>
      <c r="H18" s="943">
        <f t="shared" si="0"/>
        <v>2378</v>
      </c>
      <c r="I18" s="942">
        <v>133</v>
      </c>
      <c r="J18" s="942">
        <v>2503</v>
      </c>
      <c r="K18" s="943">
        <f t="shared" si="1"/>
        <v>2636</v>
      </c>
      <c r="L18" s="266" t="s">
        <v>1663</v>
      </c>
      <c r="M18" s="24">
        <v>9</v>
      </c>
    </row>
    <row r="19" spans="1:13" ht="28" customHeight="1">
      <c r="A19" s="147">
        <v>10</v>
      </c>
      <c r="B19" s="240" t="s">
        <v>393</v>
      </c>
      <c r="C19" s="1073" t="s">
        <v>56</v>
      </c>
      <c r="D19" s="952">
        <f>386+22+642</f>
        <v>1050</v>
      </c>
      <c r="E19" s="945">
        <v>1050</v>
      </c>
      <c r="F19" s="944">
        <v>514</v>
      </c>
      <c r="G19" s="945">
        <v>870</v>
      </c>
      <c r="H19" s="946">
        <f t="shared" si="0"/>
        <v>1384</v>
      </c>
      <c r="I19" s="945">
        <v>584</v>
      </c>
      <c r="J19" s="945">
        <v>1270</v>
      </c>
      <c r="K19" s="946">
        <f t="shared" si="1"/>
        <v>1854</v>
      </c>
      <c r="L19" s="294" t="s">
        <v>1664</v>
      </c>
      <c r="M19" s="909">
        <v>10</v>
      </c>
    </row>
    <row r="20" spans="1:13" s="639" customFormat="1" ht="28" customHeight="1">
      <c r="A20" s="148">
        <v>11</v>
      </c>
      <c r="B20" s="239" t="s">
        <v>394</v>
      </c>
      <c r="C20" s="1072" t="s">
        <v>56</v>
      </c>
      <c r="D20" s="950">
        <f>240+88</f>
        <v>328</v>
      </c>
      <c r="E20" s="942">
        <v>328</v>
      </c>
      <c r="F20" s="941">
        <v>630</v>
      </c>
      <c r="G20" s="942">
        <v>416</v>
      </c>
      <c r="H20" s="943">
        <f t="shared" si="0"/>
        <v>1046</v>
      </c>
      <c r="I20" s="942">
        <v>807</v>
      </c>
      <c r="J20" s="942">
        <v>836</v>
      </c>
      <c r="K20" s="943">
        <f t="shared" si="1"/>
        <v>1643</v>
      </c>
      <c r="L20" s="266" t="s">
        <v>1665</v>
      </c>
      <c r="M20" s="24">
        <v>11</v>
      </c>
    </row>
    <row r="21" spans="1:13" ht="28" customHeight="1">
      <c r="A21" s="147">
        <v>12</v>
      </c>
      <c r="B21" s="240" t="s">
        <v>395</v>
      </c>
      <c r="C21" s="1073" t="s">
        <v>56</v>
      </c>
      <c r="D21" s="952">
        <f>369+264+264+261+353+184+252+325+290</f>
        <v>2562</v>
      </c>
      <c r="E21" s="945">
        <v>2562</v>
      </c>
      <c r="F21" s="944">
        <v>1170</v>
      </c>
      <c r="G21" s="945">
        <v>2765</v>
      </c>
      <c r="H21" s="946">
        <f t="shared" si="0"/>
        <v>3935</v>
      </c>
      <c r="I21" s="945">
        <v>1092</v>
      </c>
      <c r="J21" s="945">
        <v>3376</v>
      </c>
      <c r="K21" s="946">
        <f t="shared" si="1"/>
        <v>4468</v>
      </c>
      <c r="L21" s="294" t="s">
        <v>1666</v>
      </c>
      <c r="M21" s="909">
        <v>12</v>
      </c>
    </row>
    <row r="22" spans="1:13" s="639" customFormat="1" ht="28" customHeight="1">
      <c r="A22" s="148">
        <v>13</v>
      </c>
      <c r="B22" s="239" t="s">
        <v>396</v>
      </c>
      <c r="C22" s="1072" t="s">
        <v>56</v>
      </c>
      <c r="D22" s="950">
        <f>339+20+157+51+2+396+8+167+112+18+80+528+338+244+14</f>
        <v>2474</v>
      </c>
      <c r="E22" s="942">
        <v>2474</v>
      </c>
      <c r="F22" s="941">
        <v>2961</v>
      </c>
      <c r="G22" s="942">
        <v>2318</v>
      </c>
      <c r="H22" s="943">
        <f t="shared" si="0"/>
        <v>5279</v>
      </c>
      <c r="I22" s="942">
        <v>3186</v>
      </c>
      <c r="J22" s="942">
        <v>3492</v>
      </c>
      <c r="K22" s="943">
        <f t="shared" si="1"/>
        <v>6678</v>
      </c>
      <c r="L22" s="266" t="s">
        <v>1667</v>
      </c>
      <c r="M22" s="24">
        <v>13</v>
      </c>
    </row>
    <row r="23" spans="1:13" ht="28" customHeight="1">
      <c r="A23" s="147">
        <v>14</v>
      </c>
      <c r="B23" s="240" t="s">
        <v>397</v>
      </c>
      <c r="C23" s="1073" t="s">
        <v>56</v>
      </c>
      <c r="D23" s="952">
        <f>664+177+341+9+126+8+285+370+105+341+499+41+1+340+225+157+79+268+413+177+301+266+22+23+314+179+117+23+299+248+31+87+78+120+16+172+156+21+44+35+72+8+203+100+59</f>
        <v>7620</v>
      </c>
      <c r="E23" s="945">
        <v>7620</v>
      </c>
      <c r="F23" s="944">
        <v>3602</v>
      </c>
      <c r="G23" s="945">
        <v>6833</v>
      </c>
      <c r="H23" s="946">
        <f t="shared" si="0"/>
        <v>10435</v>
      </c>
      <c r="I23" s="945">
        <v>3748</v>
      </c>
      <c r="J23" s="945">
        <v>8357</v>
      </c>
      <c r="K23" s="946">
        <f t="shared" si="1"/>
        <v>12105</v>
      </c>
      <c r="L23" s="294" t="s">
        <v>1668</v>
      </c>
      <c r="M23" s="909">
        <v>14</v>
      </c>
    </row>
    <row r="24" spans="1:13" s="639" customFormat="1" ht="28" customHeight="1">
      <c r="A24" s="148">
        <v>15</v>
      </c>
      <c r="B24" s="271" t="s">
        <v>398</v>
      </c>
      <c r="C24" s="1072" t="s">
        <v>56</v>
      </c>
      <c r="D24" s="950">
        <f>765+699+16+28+679+8+763+7+554+1236+61+445+26+1024+35+14+1325+10+35+1327+628+499+448+645+34+530+40+814+18+391+25+543+1+272+4+476+13+1135+32+402+5+644+23+826+32+298+896+66+154+457+1+518+16+150+134+65+253+6+188</f>
        <v>20739</v>
      </c>
      <c r="E24" s="942">
        <v>20739</v>
      </c>
      <c r="F24" s="941">
        <v>14926</v>
      </c>
      <c r="G24" s="942">
        <v>21784</v>
      </c>
      <c r="H24" s="943">
        <f t="shared" si="0"/>
        <v>36710</v>
      </c>
      <c r="I24" s="941">
        <v>16585</v>
      </c>
      <c r="J24" s="942">
        <v>29227</v>
      </c>
      <c r="K24" s="942">
        <f t="shared" si="1"/>
        <v>45812</v>
      </c>
      <c r="L24" s="653" t="s">
        <v>1669</v>
      </c>
      <c r="M24" s="24">
        <v>15</v>
      </c>
    </row>
    <row r="25" spans="1:13" ht="28" customHeight="1">
      <c r="A25" s="147">
        <v>16</v>
      </c>
      <c r="B25" s="240" t="s">
        <v>399</v>
      </c>
      <c r="C25" s="1073" t="s">
        <v>56</v>
      </c>
      <c r="D25" s="952">
        <f>861+471+340+513</f>
        <v>2185</v>
      </c>
      <c r="E25" s="945">
        <v>2185</v>
      </c>
      <c r="F25" s="944">
        <v>569</v>
      </c>
      <c r="G25" s="945">
        <v>1932</v>
      </c>
      <c r="H25" s="946">
        <f t="shared" si="0"/>
        <v>2501</v>
      </c>
      <c r="I25" s="945">
        <v>594</v>
      </c>
      <c r="J25" s="945">
        <v>2244</v>
      </c>
      <c r="K25" s="946">
        <f t="shared" si="1"/>
        <v>2838</v>
      </c>
      <c r="L25" s="437" t="s">
        <v>1670</v>
      </c>
      <c r="M25" s="909">
        <v>16</v>
      </c>
    </row>
    <row r="26" spans="1:13" s="639" customFormat="1" ht="28" customHeight="1">
      <c r="A26" s="148">
        <v>17</v>
      </c>
      <c r="B26" s="239" t="s">
        <v>400</v>
      </c>
      <c r="C26" s="1072" t="s">
        <v>56</v>
      </c>
      <c r="D26" s="950">
        <f>356+490</f>
        <v>846</v>
      </c>
      <c r="E26" s="942">
        <v>846</v>
      </c>
      <c r="F26" s="941">
        <v>97</v>
      </c>
      <c r="G26" s="942">
        <v>305</v>
      </c>
      <c r="H26" s="943">
        <f t="shared" si="0"/>
        <v>402</v>
      </c>
      <c r="I26" s="942">
        <v>91</v>
      </c>
      <c r="J26" s="942">
        <v>333</v>
      </c>
      <c r="K26" s="943">
        <f t="shared" si="1"/>
        <v>424</v>
      </c>
      <c r="L26" s="654" t="s">
        <v>1671</v>
      </c>
      <c r="M26" s="24">
        <v>17</v>
      </c>
    </row>
    <row r="27" spans="1:13" ht="28" customHeight="1">
      <c r="A27" s="147">
        <v>18</v>
      </c>
      <c r="B27" s="240" t="s">
        <v>401</v>
      </c>
      <c r="C27" s="1073" t="s">
        <v>56</v>
      </c>
      <c r="D27" s="952">
        <f>125+109</f>
        <v>234</v>
      </c>
      <c r="E27" s="945">
        <v>234</v>
      </c>
      <c r="F27" s="944">
        <v>116</v>
      </c>
      <c r="G27" s="945">
        <v>171</v>
      </c>
      <c r="H27" s="946">
        <f t="shared" si="0"/>
        <v>287</v>
      </c>
      <c r="I27" s="945">
        <v>19</v>
      </c>
      <c r="J27" s="945">
        <v>27</v>
      </c>
      <c r="K27" s="946">
        <f t="shared" si="1"/>
        <v>46</v>
      </c>
      <c r="L27" s="437" t="s">
        <v>1672</v>
      </c>
      <c r="M27" s="909">
        <v>18</v>
      </c>
    </row>
    <row r="28" spans="1:13" s="639" customFormat="1" ht="28" customHeight="1">
      <c r="A28" s="148">
        <v>19</v>
      </c>
      <c r="B28" s="239" t="s">
        <v>402</v>
      </c>
      <c r="C28" s="1072">
        <f>32+3</f>
        <v>35</v>
      </c>
      <c r="D28" s="950">
        <f>601+706+544+878+558+827+708</f>
        <v>4822</v>
      </c>
      <c r="E28" s="942">
        <f>D28+C28</f>
        <v>4857</v>
      </c>
      <c r="F28" s="941">
        <v>1666</v>
      </c>
      <c r="G28" s="942">
        <v>4081</v>
      </c>
      <c r="H28" s="943">
        <f t="shared" si="0"/>
        <v>5747</v>
      </c>
      <c r="I28" s="942">
        <v>1724</v>
      </c>
      <c r="J28" s="942">
        <v>4450</v>
      </c>
      <c r="K28" s="943">
        <f t="shared" si="1"/>
        <v>6174</v>
      </c>
      <c r="L28" s="654" t="s">
        <v>1673</v>
      </c>
      <c r="M28" s="24">
        <v>19</v>
      </c>
    </row>
    <row r="29" spans="1:13" ht="28" customHeight="1">
      <c r="A29" s="147">
        <v>20</v>
      </c>
      <c r="B29" s="240" t="s">
        <v>403</v>
      </c>
      <c r="C29" s="1074" t="s">
        <v>56</v>
      </c>
      <c r="D29" s="1027">
        <v>290</v>
      </c>
      <c r="E29" s="945">
        <v>290</v>
      </c>
      <c r="F29" s="947">
        <v>158</v>
      </c>
      <c r="G29" s="948">
        <v>293</v>
      </c>
      <c r="H29" s="946">
        <f t="shared" si="0"/>
        <v>451</v>
      </c>
      <c r="I29" s="948">
        <v>149</v>
      </c>
      <c r="J29" s="948">
        <v>297</v>
      </c>
      <c r="K29" s="946">
        <f t="shared" si="1"/>
        <v>446</v>
      </c>
      <c r="L29" s="437" t="s">
        <v>1674</v>
      </c>
      <c r="M29" s="909">
        <v>20</v>
      </c>
    </row>
    <row r="30" spans="1:13" s="639" customFormat="1" ht="28" customHeight="1">
      <c r="A30" s="148">
        <v>21</v>
      </c>
      <c r="B30" s="239" t="s">
        <v>404</v>
      </c>
      <c r="C30" s="1072" t="s">
        <v>56</v>
      </c>
      <c r="D30" s="950">
        <f>704</f>
        <v>704</v>
      </c>
      <c r="E30" s="942">
        <v>704</v>
      </c>
      <c r="F30" s="941">
        <v>575</v>
      </c>
      <c r="G30" s="942">
        <v>627</v>
      </c>
      <c r="H30" s="943">
        <f t="shared" si="0"/>
        <v>1202</v>
      </c>
      <c r="I30" s="942">
        <v>570</v>
      </c>
      <c r="J30" s="942">
        <v>674</v>
      </c>
      <c r="K30" s="943">
        <f t="shared" si="1"/>
        <v>1244</v>
      </c>
      <c r="L30" s="654" t="s">
        <v>1675</v>
      </c>
      <c r="M30" s="24">
        <v>21</v>
      </c>
    </row>
    <row r="31" spans="1:13" ht="28" customHeight="1">
      <c r="A31" s="147">
        <v>22</v>
      </c>
      <c r="B31" s="240" t="s">
        <v>405</v>
      </c>
      <c r="C31" s="1073">
        <f>67</f>
        <v>67</v>
      </c>
      <c r="D31" s="952">
        <f>431+315</f>
        <v>746</v>
      </c>
      <c r="E31" s="945">
        <f>D31+C31</f>
        <v>813</v>
      </c>
      <c r="F31" s="944">
        <v>716</v>
      </c>
      <c r="G31" s="945">
        <v>622</v>
      </c>
      <c r="H31" s="946">
        <f t="shared" si="0"/>
        <v>1338</v>
      </c>
      <c r="I31" s="945">
        <v>739</v>
      </c>
      <c r="J31" s="945">
        <v>617</v>
      </c>
      <c r="K31" s="946">
        <f t="shared" si="1"/>
        <v>1356</v>
      </c>
      <c r="L31" s="437" t="s">
        <v>1676</v>
      </c>
      <c r="M31" s="909">
        <v>22</v>
      </c>
    </row>
    <row r="32" spans="1:13" s="639" customFormat="1" ht="28" customHeight="1">
      <c r="A32" s="148">
        <v>23</v>
      </c>
      <c r="B32" s="239" t="s">
        <v>406</v>
      </c>
      <c r="C32" s="1072" t="s">
        <v>56</v>
      </c>
      <c r="D32" s="950">
        <v>183</v>
      </c>
      <c r="E32" s="942">
        <v>183</v>
      </c>
      <c r="F32" s="941">
        <v>398</v>
      </c>
      <c r="G32" s="942">
        <v>131</v>
      </c>
      <c r="H32" s="943">
        <f t="shared" si="0"/>
        <v>529</v>
      </c>
      <c r="I32" s="942">
        <v>394</v>
      </c>
      <c r="J32" s="942">
        <v>124</v>
      </c>
      <c r="K32" s="943">
        <f t="shared" si="1"/>
        <v>518</v>
      </c>
      <c r="L32" s="654" t="s">
        <v>1677</v>
      </c>
      <c r="M32" s="24">
        <v>23</v>
      </c>
    </row>
    <row r="33" spans="1:13" ht="28" customHeight="1">
      <c r="A33" s="147">
        <v>24</v>
      </c>
      <c r="B33" s="240" t="s">
        <v>407</v>
      </c>
      <c r="C33" s="1074" t="s">
        <v>56</v>
      </c>
      <c r="D33" s="1027">
        <v>347</v>
      </c>
      <c r="E33" s="945">
        <v>347</v>
      </c>
      <c r="F33" s="947">
        <v>189</v>
      </c>
      <c r="G33" s="948">
        <v>211</v>
      </c>
      <c r="H33" s="946">
        <f t="shared" si="0"/>
        <v>400</v>
      </c>
      <c r="I33" s="948">
        <v>222</v>
      </c>
      <c r="J33" s="948">
        <v>229</v>
      </c>
      <c r="K33" s="946">
        <f t="shared" si="1"/>
        <v>451</v>
      </c>
      <c r="L33" s="437" t="s">
        <v>1678</v>
      </c>
      <c r="M33" s="909">
        <v>24</v>
      </c>
    </row>
    <row r="34" spans="1:13" s="639" customFormat="1" ht="28" customHeight="1">
      <c r="A34" s="148">
        <v>25</v>
      </c>
      <c r="B34" s="239" t="s">
        <v>408</v>
      </c>
      <c r="C34" s="1072" t="s">
        <v>56</v>
      </c>
      <c r="D34" s="950">
        <f>780+380+784+116+381+364+474</f>
        <v>3279</v>
      </c>
      <c r="E34" s="942">
        <v>3279</v>
      </c>
      <c r="F34" s="941">
        <v>581</v>
      </c>
      <c r="G34" s="942">
        <v>2823</v>
      </c>
      <c r="H34" s="943">
        <f t="shared" si="0"/>
        <v>3404</v>
      </c>
      <c r="I34" s="942">
        <v>588</v>
      </c>
      <c r="J34" s="942">
        <v>3613</v>
      </c>
      <c r="K34" s="943">
        <f t="shared" si="1"/>
        <v>4201</v>
      </c>
      <c r="L34" s="654" t="s">
        <v>1679</v>
      </c>
      <c r="M34" s="24">
        <v>25</v>
      </c>
    </row>
    <row r="35" spans="1:13" ht="28" customHeight="1">
      <c r="A35" s="147">
        <v>26</v>
      </c>
      <c r="B35" s="240" t="s">
        <v>409</v>
      </c>
      <c r="C35" s="1073" t="s">
        <v>56</v>
      </c>
      <c r="D35" s="952">
        <f>492+546</f>
        <v>1038</v>
      </c>
      <c r="E35" s="945">
        <v>1038</v>
      </c>
      <c r="F35" s="944">
        <v>434</v>
      </c>
      <c r="G35" s="945">
        <v>733</v>
      </c>
      <c r="H35" s="946">
        <f t="shared" si="0"/>
        <v>1167</v>
      </c>
      <c r="I35" s="945">
        <v>520</v>
      </c>
      <c r="J35" s="945">
        <v>997</v>
      </c>
      <c r="K35" s="946">
        <f t="shared" si="1"/>
        <v>1517</v>
      </c>
      <c r="L35" s="437" t="s">
        <v>1680</v>
      </c>
      <c r="M35" s="909">
        <v>26</v>
      </c>
    </row>
    <row r="36" spans="1:13" s="639" customFormat="1" ht="28" customHeight="1">
      <c r="A36" s="148">
        <v>27</v>
      </c>
      <c r="B36" s="633" t="s">
        <v>410</v>
      </c>
      <c r="C36" s="1072" t="s">
        <v>56</v>
      </c>
      <c r="D36" s="950">
        <f>555+624+303+406+250+607+383+275+328+80+217+189+482+287+304+337+185+99</f>
        <v>5911</v>
      </c>
      <c r="E36" s="942">
        <v>5911</v>
      </c>
      <c r="F36" s="949">
        <v>1958</v>
      </c>
      <c r="G36" s="950">
        <v>5210</v>
      </c>
      <c r="H36" s="943">
        <f t="shared" si="0"/>
        <v>7168</v>
      </c>
      <c r="I36" s="950">
        <v>1690</v>
      </c>
      <c r="J36" s="950">
        <v>5496</v>
      </c>
      <c r="K36" s="943">
        <f t="shared" si="1"/>
        <v>7186</v>
      </c>
      <c r="L36" s="654" t="s">
        <v>1681</v>
      </c>
      <c r="M36" s="24">
        <v>27</v>
      </c>
    </row>
    <row r="37" spans="1:13" ht="28" customHeight="1">
      <c r="A37" s="147">
        <v>28</v>
      </c>
      <c r="B37" s="289" t="s">
        <v>411</v>
      </c>
      <c r="C37" s="1073" t="s">
        <v>56</v>
      </c>
      <c r="D37" s="952">
        <f>138</f>
        <v>138</v>
      </c>
      <c r="E37" s="945">
        <v>138</v>
      </c>
      <c r="F37" s="951">
        <v>319</v>
      </c>
      <c r="G37" s="952">
        <v>74</v>
      </c>
      <c r="H37" s="946">
        <f t="shared" si="0"/>
        <v>393</v>
      </c>
      <c r="I37" s="952">
        <v>364</v>
      </c>
      <c r="J37" s="952">
        <v>99</v>
      </c>
      <c r="K37" s="946">
        <f t="shared" si="1"/>
        <v>463</v>
      </c>
      <c r="L37" s="437" t="s">
        <v>1682</v>
      </c>
      <c r="M37" s="909">
        <v>28</v>
      </c>
    </row>
    <row r="38" spans="1:13" s="639" customFormat="1" ht="28" customHeight="1">
      <c r="A38" s="148">
        <v>29</v>
      </c>
      <c r="B38" s="633" t="s">
        <v>412</v>
      </c>
      <c r="C38" s="1072" t="s">
        <v>56</v>
      </c>
      <c r="D38" s="950">
        <f>224</f>
        <v>224</v>
      </c>
      <c r="E38" s="942">
        <v>224</v>
      </c>
      <c r="F38" s="941">
        <v>135</v>
      </c>
      <c r="G38" s="942">
        <v>109</v>
      </c>
      <c r="H38" s="943">
        <f t="shared" si="0"/>
        <v>244</v>
      </c>
      <c r="I38" s="942">
        <v>157</v>
      </c>
      <c r="J38" s="942">
        <v>158</v>
      </c>
      <c r="K38" s="943">
        <f t="shared" si="1"/>
        <v>315</v>
      </c>
      <c r="L38" s="654" t="s">
        <v>1683</v>
      </c>
      <c r="M38" s="24">
        <v>29</v>
      </c>
    </row>
    <row r="39" spans="1:13" ht="26" customHeight="1">
      <c r="A39" s="147">
        <v>30</v>
      </c>
      <c r="B39" s="289" t="s">
        <v>413</v>
      </c>
      <c r="C39" s="1073" t="s">
        <v>56</v>
      </c>
      <c r="D39" s="952">
        <f>342+313+501+335+245+20</f>
        <v>1756</v>
      </c>
      <c r="E39" s="945">
        <v>1756</v>
      </c>
      <c r="F39" s="944">
        <v>1200</v>
      </c>
      <c r="G39" s="945">
        <v>1713</v>
      </c>
      <c r="H39" s="946">
        <f t="shared" si="0"/>
        <v>2913</v>
      </c>
      <c r="I39" s="945">
        <v>1147</v>
      </c>
      <c r="J39" s="945">
        <v>1706</v>
      </c>
      <c r="K39" s="946">
        <f t="shared" si="1"/>
        <v>2853</v>
      </c>
      <c r="L39" s="437" t="s">
        <v>1684</v>
      </c>
      <c r="M39" s="909">
        <v>30</v>
      </c>
    </row>
    <row r="40" spans="1:13" s="639" customFormat="1" ht="26" customHeight="1">
      <c r="A40" s="148">
        <v>31</v>
      </c>
      <c r="B40" s="633" t="s">
        <v>414</v>
      </c>
      <c r="C40" s="1072" t="s">
        <v>56</v>
      </c>
      <c r="D40" s="950">
        <f>401+89</f>
        <v>490</v>
      </c>
      <c r="E40" s="942">
        <v>490</v>
      </c>
      <c r="F40" s="1028">
        <v>201</v>
      </c>
      <c r="G40" s="1029">
        <v>330</v>
      </c>
      <c r="H40" s="943">
        <f t="shared" si="0"/>
        <v>531</v>
      </c>
      <c r="I40" s="1029">
        <v>183</v>
      </c>
      <c r="J40" s="1029">
        <v>347</v>
      </c>
      <c r="K40" s="943">
        <f t="shared" si="1"/>
        <v>530</v>
      </c>
      <c r="L40" s="654" t="s">
        <v>1685</v>
      </c>
      <c r="M40" s="24">
        <v>31</v>
      </c>
    </row>
    <row r="41" spans="1:13" s="639" customFormat="1" ht="28" customHeight="1">
      <c r="A41" s="147">
        <v>32</v>
      </c>
      <c r="B41" s="291" t="s">
        <v>992</v>
      </c>
      <c r="C41" s="1075" t="s">
        <v>56</v>
      </c>
      <c r="D41" s="1030">
        <f>200+222+216+181+31+348+19+9+464+8+51</f>
        <v>1749</v>
      </c>
      <c r="E41" s="1031">
        <v>1749</v>
      </c>
      <c r="F41" s="1032">
        <v>0</v>
      </c>
      <c r="G41" s="1033">
        <v>0</v>
      </c>
      <c r="H41" s="1031">
        <v>0</v>
      </c>
      <c r="I41" s="1032">
        <v>0</v>
      </c>
      <c r="J41" s="1033">
        <v>0</v>
      </c>
      <c r="K41" s="1031">
        <v>0</v>
      </c>
      <c r="L41" s="1034" t="s">
        <v>1686</v>
      </c>
      <c r="M41" s="909">
        <v>32</v>
      </c>
    </row>
    <row r="42" spans="1:13">
      <c r="A42" s="1268" t="s">
        <v>758</v>
      </c>
      <c r="B42" s="1268"/>
      <c r="C42" s="1268"/>
      <c r="D42" s="1268"/>
      <c r="E42" s="1268"/>
      <c r="F42" s="445"/>
      <c r="G42" s="445"/>
      <c r="H42" s="445"/>
      <c r="I42" s="445"/>
      <c r="J42" s="1270" t="s">
        <v>1605</v>
      </c>
      <c r="K42" s="1270"/>
      <c r="L42" s="1270"/>
      <c r="M42" s="1270"/>
    </row>
  </sheetData>
  <mergeCells count="15">
    <mergeCell ref="A42:E42"/>
    <mergeCell ref="J42:M42"/>
    <mergeCell ref="A1:M1"/>
    <mergeCell ref="A2:M2"/>
    <mergeCell ref="A3:M3"/>
    <mergeCell ref="A4:A8"/>
    <mergeCell ref="B4:B8"/>
    <mergeCell ref="C4:E4"/>
    <mergeCell ref="F4:H4"/>
    <mergeCell ref="I4:K4"/>
    <mergeCell ref="L4:L8"/>
    <mergeCell ref="M4:M8"/>
    <mergeCell ref="C5:E5"/>
    <mergeCell ref="F5:H5"/>
    <mergeCell ref="I5:K5"/>
  </mergeCells>
  <printOptions horizontalCentered="1"/>
  <pageMargins left="0" right="0" top="0.06" bottom="0.6" header="0.03" footer="0.39370078740157499"/>
  <pageSetup paperSize="9" scale="75" orientation="portrait" r:id="rId1"/>
  <headerFooter>
    <oddFooter>&amp;L&amp;"Times New Roman,Regular"&amp;10    Afghanistan Statistical Yearbook 2023-24&amp;R&amp;"Times New Roman,Regular"&amp;10          د ۱۴۰۲ احصایيوي کالنۍ  /سالنامه احصائیوی ۱۴۰۲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theme="0"/>
  </sheetPr>
  <dimension ref="A1:Y83"/>
  <sheetViews>
    <sheetView view="pageBreakPreview" topLeftCell="A3" zoomScale="136" zoomScaleSheetLayoutView="136" workbookViewId="0">
      <selection activeCell="A3" sqref="A3:M3"/>
    </sheetView>
  </sheetViews>
  <sheetFormatPr baseColWidth="10" defaultColWidth="8.83203125" defaultRowHeight="15"/>
  <cols>
    <col min="1" max="1" width="3.33203125" customWidth="1"/>
    <col min="2" max="2" width="22.5" style="100" customWidth="1"/>
    <col min="3" max="3" width="6.83203125" style="537" customWidth="1"/>
    <col min="4" max="4" width="7.33203125" style="537" bestFit="1" customWidth="1"/>
    <col min="5" max="5" width="8.83203125" style="100" customWidth="1"/>
    <col min="6" max="6" width="7.6640625" style="100" bestFit="1" customWidth="1"/>
    <col min="7" max="7" width="7.33203125" style="100" bestFit="1" customWidth="1"/>
    <col min="8" max="8" width="9.5" style="100" bestFit="1" customWidth="1"/>
    <col min="9" max="9" width="7.6640625" style="100" bestFit="1" customWidth="1"/>
    <col min="10" max="10" width="7.33203125" style="100" bestFit="1" customWidth="1"/>
    <col min="11" max="11" width="9" style="100" customWidth="1"/>
    <col min="12" max="12" width="24.33203125" style="100" customWidth="1"/>
    <col min="13" max="13" width="3.33203125" style="100" customWidth="1"/>
    <col min="16" max="16" width="11.33203125" bestFit="1" customWidth="1"/>
    <col min="17" max="19" width="10.5" bestFit="1" customWidth="1"/>
    <col min="20" max="22" width="9.5" bestFit="1" customWidth="1"/>
  </cols>
  <sheetData>
    <row r="1" spans="1:16" ht="19.5" hidden="1" customHeight="1">
      <c r="A1" s="1477" t="s">
        <v>2200</v>
      </c>
      <c r="B1" s="1477"/>
      <c r="C1" s="1477"/>
      <c r="D1" s="1477"/>
      <c r="E1" s="1477"/>
      <c r="F1" s="1477"/>
      <c r="G1" s="1477"/>
      <c r="H1" s="1477"/>
      <c r="I1" s="1477"/>
      <c r="J1" s="1477"/>
      <c r="K1" s="1477"/>
      <c r="L1" s="1477"/>
      <c r="M1" s="1477"/>
      <c r="N1" s="111"/>
    </row>
    <row r="2" spans="1:16" ht="18" hidden="1" customHeight="1">
      <c r="A2" s="1443" t="s">
        <v>2201</v>
      </c>
      <c r="B2" s="1443"/>
      <c r="C2" s="1443"/>
      <c r="D2" s="1443"/>
      <c r="E2" s="1443"/>
      <c r="F2" s="1443"/>
      <c r="G2" s="1443"/>
      <c r="H2" s="1443"/>
      <c r="I2" s="1443"/>
      <c r="J2" s="1443"/>
      <c r="K2" s="1443"/>
      <c r="L2" s="1443"/>
      <c r="M2" s="1443"/>
      <c r="N2" s="111"/>
      <c r="O2" s="111"/>
      <c r="P2" s="111"/>
    </row>
    <row r="3" spans="1:16" ht="25.5" customHeight="1">
      <c r="A3" s="1518" t="s">
        <v>2202</v>
      </c>
      <c r="B3" s="1518"/>
      <c r="C3" s="1518"/>
      <c r="D3" s="1518"/>
      <c r="E3" s="1518"/>
      <c r="F3" s="1518"/>
      <c r="G3" s="1518"/>
      <c r="H3" s="1518"/>
      <c r="I3" s="1518"/>
      <c r="J3" s="1518"/>
      <c r="K3" s="1518"/>
      <c r="L3" s="1518"/>
      <c r="M3" s="1518"/>
      <c r="N3" s="111"/>
      <c r="O3" s="111"/>
      <c r="P3" s="111"/>
    </row>
    <row r="4" spans="1:16" ht="16.5" customHeight="1">
      <c r="A4" s="1580" t="s">
        <v>621</v>
      </c>
      <c r="B4" s="1567" t="s">
        <v>1598</v>
      </c>
      <c r="C4" s="1576">
        <v>1402</v>
      </c>
      <c r="D4" s="1577"/>
      <c r="E4" s="1578"/>
      <c r="F4" s="1576">
        <v>1401</v>
      </c>
      <c r="G4" s="1577"/>
      <c r="H4" s="1578"/>
      <c r="I4" s="1577">
        <v>1400</v>
      </c>
      <c r="J4" s="1577"/>
      <c r="K4" s="1578"/>
      <c r="L4" s="1343" t="s">
        <v>1597</v>
      </c>
      <c r="M4" s="1563" t="s">
        <v>727</v>
      </c>
    </row>
    <row r="5" spans="1:16" ht="23.25" customHeight="1">
      <c r="A5" s="1581"/>
      <c r="B5" s="1568"/>
      <c r="C5" s="1573" t="s">
        <v>772</v>
      </c>
      <c r="D5" s="1574"/>
      <c r="E5" s="1575"/>
      <c r="F5" s="1573" t="s">
        <v>725</v>
      </c>
      <c r="G5" s="1574"/>
      <c r="H5" s="1575"/>
      <c r="I5" s="1574" t="s">
        <v>726</v>
      </c>
      <c r="J5" s="1574"/>
      <c r="K5" s="1575"/>
      <c r="L5" s="1266"/>
      <c r="M5" s="1564"/>
    </row>
    <row r="6" spans="1:16" ht="18.75" customHeight="1">
      <c r="A6" s="1581"/>
      <c r="B6" s="1568"/>
      <c r="C6" s="530" t="s">
        <v>278</v>
      </c>
      <c r="D6" s="530" t="s">
        <v>279</v>
      </c>
      <c r="E6" s="530" t="s">
        <v>256</v>
      </c>
      <c r="F6" s="530" t="s">
        <v>278</v>
      </c>
      <c r="G6" s="530" t="s">
        <v>279</v>
      </c>
      <c r="H6" s="530" t="s">
        <v>256</v>
      </c>
      <c r="I6" s="530" t="s">
        <v>278</v>
      </c>
      <c r="J6" s="530" t="s">
        <v>279</v>
      </c>
      <c r="K6" s="530" t="s">
        <v>256</v>
      </c>
      <c r="L6" s="1266"/>
      <c r="M6" s="1564"/>
    </row>
    <row r="7" spans="1:16" ht="21.75" customHeight="1">
      <c r="A7" s="1581"/>
      <c r="B7" s="1568"/>
      <c r="C7" s="1204" t="s">
        <v>12</v>
      </c>
      <c r="D7" s="1204" t="s">
        <v>13</v>
      </c>
      <c r="E7" s="1204" t="s">
        <v>52</v>
      </c>
      <c r="F7" s="1204" t="s">
        <v>12</v>
      </c>
      <c r="G7" s="1204" t="s">
        <v>13</v>
      </c>
      <c r="H7" s="1204" t="s">
        <v>52</v>
      </c>
      <c r="I7" s="1204" t="s">
        <v>12</v>
      </c>
      <c r="J7" s="1204" t="s">
        <v>13</v>
      </c>
      <c r="K7" s="1204" t="s">
        <v>52</v>
      </c>
      <c r="L7" s="1266"/>
      <c r="M7" s="1564"/>
    </row>
    <row r="8" spans="1:16" ht="27" customHeight="1">
      <c r="A8" s="1582"/>
      <c r="B8" s="1569"/>
      <c r="C8" s="1204" t="s">
        <v>162</v>
      </c>
      <c r="D8" s="1204" t="s">
        <v>163</v>
      </c>
      <c r="E8" s="1204" t="s">
        <v>282</v>
      </c>
      <c r="F8" s="1204" t="s">
        <v>162</v>
      </c>
      <c r="G8" s="1204" t="s">
        <v>163</v>
      </c>
      <c r="H8" s="1204" t="s">
        <v>282</v>
      </c>
      <c r="I8" s="1204" t="s">
        <v>162</v>
      </c>
      <c r="J8" s="1204" t="s">
        <v>163</v>
      </c>
      <c r="K8" s="1204" t="s">
        <v>282</v>
      </c>
      <c r="L8" s="1267"/>
      <c r="M8" s="1565"/>
    </row>
    <row r="9" spans="1:16" ht="30" customHeight="1">
      <c r="A9" s="462"/>
      <c r="B9" s="569" t="s">
        <v>70</v>
      </c>
      <c r="C9" s="429">
        <f>SUM(C10:C34,C42:C56)</f>
        <v>0</v>
      </c>
      <c r="D9" s="429">
        <f>SUM(D10:D34,D42:D56)</f>
        <v>27666</v>
      </c>
      <c r="E9" s="429">
        <f>D9+C9</f>
        <v>27666</v>
      </c>
      <c r="F9" s="433">
        <f>SUM(F10:F34,F42:F56)</f>
        <v>15719</v>
      </c>
      <c r="G9" s="434">
        <f>SUM(G10:G34,G42:G56)</f>
        <v>27686</v>
      </c>
      <c r="H9" s="430">
        <f>G9+F9</f>
        <v>43405</v>
      </c>
      <c r="I9" s="434">
        <f>SUM(I10:I34,I42:I56)</f>
        <v>17259</v>
      </c>
      <c r="J9" s="434">
        <f>SUM(J10:J34,J42:J56)</f>
        <v>37228</v>
      </c>
      <c r="K9" s="430">
        <f>J9+I9</f>
        <v>54487</v>
      </c>
      <c r="L9" s="443" t="s">
        <v>671</v>
      </c>
      <c r="M9" s="462"/>
      <c r="N9" s="3"/>
      <c r="O9" s="3"/>
    </row>
    <row r="10" spans="1:16" s="639" customFormat="1" ht="30" customHeight="1">
      <c r="A10" s="325">
        <v>1</v>
      </c>
      <c r="B10" s="633" t="s">
        <v>344</v>
      </c>
      <c r="C10" s="154">
        <v>0</v>
      </c>
      <c r="D10" s="155">
        <v>3531</v>
      </c>
      <c r="E10" s="155">
        <f>D10+C10</f>
        <v>3531</v>
      </c>
      <c r="F10" s="154">
        <v>2871</v>
      </c>
      <c r="G10" s="155">
        <v>3827</v>
      </c>
      <c r="H10" s="634">
        <f>G10+F10</f>
        <v>6698</v>
      </c>
      <c r="I10" s="155">
        <v>2871</v>
      </c>
      <c r="J10" s="155">
        <v>3827</v>
      </c>
      <c r="K10" s="634">
        <f>J10+I10</f>
        <v>6698</v>
      </c>
      <c r="L10" s="635" t="s">
        <v>1606</v>
      </c>
      <c r="M10" s="878">
        <v>1</v>
      </c>
      <c r="O10" s="642"/>
    </row>
    <row r="11" spans="1:16" ht="30" customHeight="1">
      <c r="A11" s="396">
        <v>2</v>
      </c>
      <c r="B11" s="289" t="s">
        <v>345</v>
      </c>
      <c r="C11" s="156">
        <v>0</v>
      </c>
      <c r="D11" s="157">
        <v>879</v>
      </c>
      <c r="E11" s="157">
        <f>D11+C11</f>
        <v>879</v>
      </c>
      <c r="F11" s="156">
        <v>346</v>
      </c>
      <c r="G11" s="157">
        <v>1003</v>
      </c>
      <c r="H11" s="158">
        <f>G11+F11</f>
        <v>1349</v>
      </c>
      <c r="I11" s="157">
        <v>436</v>
      </c>
      <c r="J11" s="157">
        <v>1289</v>
      </c>
      <c r="K11" s="158">
        <f>J11+I11</f>
        <v>1725</v>
      </c>
      <c r="L11" s="246" t="s">
        <v>1607</v>
      </c>
      <c r="M11" s="879">
        <v>2</v>
      </c>
      <c r="O11" s="3"/>
    </row>
    <row r="12" spans="1:16" s="639" customFormat="1" ht="30" customHeight="1">
      <c r="A12" s="325">
        <v>3</v>
      </c>
      <c r="B12" s="633" t="s">
        <v>415</v>
      </c>
      <c r="C12" s="154">
        <v>0</v>
      </c>
      <c r="D12" s="155">
        <v>802</v>
      </c>
      <c r="E12" s="155">
        <f>D12+C12</f>
        <v>802</v>
      </c>
      <c r="F12" s="154">
        <v>1144</v>
      </c>
      <c r="G12" s="155">
        <v>547</v>
      </c>
      <c r="H12" s="634">
        <f>G12+F12</f>
        <v>1691</v>
      </c>
      <c r="I12" s="155">
        <v>1206</v>
      </c>
      <c r="J12" s="155">
        <v>655</v>
      </c>
      <c r="K12" s="634">
        <f>J12+I12</f>
        <v>1861</v>
      </c>
      <c r="L12" s="635" t="s">
        <v>1608</v>
      </c>
      <c r="M12" s="878">
        <v>3</v>
      </c>
    </row>
    <row r="13" spans="1:16" ht="36" customHeight="1">
      <c r="A13" s="396">
        <v>4</v>
      </c>
      <c r="B13" s="240" t="s">
        <v>347</v>
      </c>
      <c r="C13" s="156">
        <v>0</v>
      </c>
      <c r="D13" s="157">
        <v>410</v>
      </c>
      <c r="E13" s="157">
        <f>D13+C13</f>
        <v>410</v>
      </c>
      <c r="F13" s="156">
        <v>418</v>
      </c>
      <c r="G13" s="157">
        <v>438</v>
      </c>
      <c r="H13" s="158">
        <f>G13+F13</f>
        <v>856</v>
      </c>
      <c r="I13" s="157">
        <v>388</v>
      </c>
      <c r="J13" s="157">
        <v>390</v>
      </c>
      <c r="K13" s="158">
        <f>J13+I13</f>
        <v>778</v>
      </c>
      <c r="L13" s="246" t="s">
        <v>1609</v>
      </c>
      <c r="M13" s="879">
        <v>4</v>
      </c>
    </row>
    <row r="14" spans="1:16" ht="36" customHeight="1">
      <c r="A14" s="325">
        <v>5</v>
      </c>
      <c r="B14" s="633" t="s">
        <v>2171</v>
      </c>
      <c r="C14" s="154">
        <v>0</v>
      </c>
      <c r="D14" s="155" t="s">
        <v>56</v>
      </c>
      <c r="E14" s="155" t="s">
        <v>56</v>
      </c>
      <c r="F14" s="154">
        <v>0</v>
      </c>
      <c r="G14" s="155">
        <v>0</v>
      </c>
      <c r="H14" s="155">
        <v>0</v>
      </c>
      <c r="I14" s="154">
        <v>0</v>
      </c>
      <c r="J14" s="155">
        <v>0</v>
      </c>
      <c r="K14" s="634">
        <v>0</v>
      </c>
      <c r="L14" s="635" t="s">
        <v>2170</v>
      </c>
      <c r="M14" s="1249">
        <v>5</v>
      </c>
    </row>
    <row r="15" spans="1:16" ht="30" customHeight="1">
      <c r="A15" s="396">
        <v>6</v>
      </c>
      <c r="B15" s="289" t="s">
        <v>416</v>
      </c>
      <c r="C15" s="156">
        <v>0</v>
      </c>
      <c r="D15" s="157">
        <v>1484</v>
      </c>
      <c r="E15" s="157">
        <f t="shared" ref="E15:E34" si="0">D15+C15</f>
        <v>1484</v>
      </c>
      <c r="F15" s="156">
        <v>348</v>
      </c>
      <c r="G15" s="157">
        <v>795</v>
      </c>
      <c r="H15" s="158">
        <f t="shared" ref="H15:H34" si="1">G15+F15</f>
        <v>1143</v>
      </c>
      <c r="I15" s="157">
        <v>459</v>
      </c>
      <c r="J15" s="157">
        <v>1337</v>
      </c>
      <c r="K15" s="158">
        <f t="shared" ref="K15:K34" si="2">J15+I15</f>
        <v>1796</v>
      </c>
      <c r="L15" s="246" t="s">
        <v>1654</v>
      </c>
      <c r="M15" s="879">
        <v>6</v>
      </c>
      <c r="N15" s="16"/>
    </row>
    <row r="16" spans="1:16" s="639" customFormat="1" ht="30" customHeight="1">
      <c r="A16" s="325">
        <v>7</v>
      </c>
      <c r="B16" s="239" t="s">
        <v>349</v>
      </c>
      <c r="C16" s="154">
        <v>0</v>
      </c>
      <c r="D16" s="155">
        <v>947</v>
      </c>
      <c r="E16" s="155">
        <f t="shared" si="0"/>
        <v>947</v>
      </c>
      <c r="F16" s="154">
        <v>864</v>
      </c>
      <c r="G16" s="155">
        <v>1350</v>
      </c>
      <c r="H16" s="634">
        <f t="shared" si="1"/>
        <v>2214</v>
      </c>
      <c r="I16" s="155">
        <v>237</v>
      </c>
      <c r="J16" s="155">
        <v>1656</v>
      </c>
      <c r="K16" s="634">
        <f t="shared" si="2"/>
        <v>1893</v>
      </c>
      <c r="L16" s="635" t="s">
        <v>1611</v>
      </c>
      <c r="M16" s="878">
        <v>7</v>
      </c>
      <c r="N16" s="32"/>
    </row>
    <row r="17" spans="1:25" ht="30" customHeight="1">
      <c r="A17" s="396">
        <v>8</v>
      </c>
      <c r="B17" s="240" t="s">
        <v>350</v>
      </c>
      <c r="C17" s="156">
        <v>0</v>
      </c>
      <c r="D17" s="157">
        <v>1923</v>
      </c>
      <c r="E17" s="157">
        <f t="shared" si="0"/>
        <v>1923</v>
      </c>
      <c r="F17" s="156">
        <v>568</v>
      </c>
      <c r="G17" s="157">
        <v>2347</v>
      </c>
      <c r="H17" s="158">
        <f t="shared" si="1"/>
        <v>2915</v>
      </c>
      <c r="I17" s="157">
        <v>754</v>
      </c>
      <c r="J17" s="157">
        <v>2750</v>
      </c>
      <c r="K17" s="158">
        <f t="shared" si="2"/>
        <v>3504</v>
      </c>
      <c r="L17" s="246" t="s">
        <v>1612</v>
      </c>
      <c r="M17" s="879">
        <v>8</v>
      </c>
      <c r="O17" s="3"/>
      <c r="P17" s="3"/>
    </row>
    <row r="18" spans="1:25" s="639" customFormat="1" ht="30" customHeight="1">
      <c r="A18" s="325">
        <v>9</v>
      </c>
      <c r="B18" s="633" t="s">
        <v>351</v>
      </c>
      <c r="C18" s="154">
        <v>0</v>
      </c>
      <c r="D18" s="155">
        <v>1422</v>
      </c>
      <c r="E18" s="155">
        <f t="shared" si="0"/>
        <v>1422</v>
      </c>
      <c r="F18" s="154">
        <v>216</v>
      </c>
      <c r="G18" s="155">
        <v>643</v>
      </c>
      <c r="H18" s="634">
        <f t="shared" si="1"/>
        <v>859</v>
      </c>
      <c r="I18" s="155">
        <v>220</v>
      </c>
      <c r="J18" s="155">
        <v>793</v>
      </c>
      <c r="K18" s="634">
        <f t="shared" si="2"/>
        <v>1013</v>
      </c>
      <c r="L18" s="635" t="s">
        <v>1613</v>
      </c>
      <c r="M18" s="878">
        <v>9</v>
      </c>
      <c r="Y18" s="663"/>
    </row>
    <row r="19" spans="1:25" ht="30" customHeight="1">
      <c r="A19" s="396">
        <v>10</v>
      </c>
      <c r="B19" s="289" t="s">
        <v>352</v>
      </c>
      <c r="C19" s="156">
        <v>0</v>
      </c>
      <c r="D19" s="157" t="s">
        <v>56</v>
      </c>
      <c r="E19" s="157" t="s">
        <v>56</v>
      </c>
      <c r="F19" s="156">
        <v>393</v>
      </c>
      <c r="G19" s="157">
        <v>555</v>
      </c>
      <c r="H19" s="158">
        <f t="shared" si="1"/>
        <v>948</v>
      </c>
      <c r="I19" s="157">
        <v>515</v>
      </c>
      <c r="J19" s="157">
        <v>978</v>
      </c>
      <c r="K19" s="158">
        <f t="shared" si="2"/>
        <v>1493</v>
      </c>
      <c r="L19" s="246" t="s">
        <v>1614</v>
      </c>
      <c r="M19" s="879">
        <v>10</v>
      </c>
    </row>
    <row r="20" spans="1:25" s="639" customFormat="1" ht="30" customHeight="1">
      <c r="A20" s="325">
        <v>11</v>
      </c>
      <c r="B20" s="633" t="s">
        <v>353</v>
      </c>
      <c r="C20" s="154">
        <v>0</v>
      </c>
      <c r="D20" s="155">
        <v>1243</v>
      </c>
      <c r="E20" s="155">
        <f t="shared" si="0"/>
        <v>1243</v>
      </c>
      <c r="F20" s="154">
        <v>456</v>
      </c>
      <c r="G20" s="155">
        <v>639</v>
      </c>
      <c r="H20" s="634">
        <f t="shared" si="1"/>
        <v>1095</v>
      </c>
      <c r="I20" s="155">
        <v>641</v>
      </c>
      <c r="J20" s="155">
        <v>1135</v>
      </c>
      <c r="K20" s="634">
        <f t="shared" si="2"/>
        <v>1776</v>
      </c>
      <c r="L20" s="643" t="s">
        <v>1615</v>
      </c>
      <c r="M20" s="878">
        <v>11</v>
      </c>
    </row>
    <row r="21" spans="1:25" ht="30" customHeight="1">
      <c r="A21" s="396">
        <v>12</v>
      </c>
      <c r="B21" s="289" t="s">
        <v>417</v>
      </c>
      <c r="C21" s="156">
        <v>0</v>
      </c>
      <c r="D21" s="157">
        <v>798</v>
      </c>
      <c r="E21" s="158">
        <f t="shared" si="0"/>
        <v>798</v>
      </c>
      <c r="F21" s="156">
        <v>230</v>
      </c>
      <c r="G21" s="157">
        <v>402</v>
      </c>
      <c r="H21" s="158">
        <f t="shared" si="1"/>
        <v>632</v>
      </c>
      <c r="I21" s="156">
        <v>321</v>
      </c>
      <c r="J21" s="157">
        <v>727</v>
      </c>
      <c r="K21" s="158">
        <f t="shared" si="2"/>
        <v>1048</v>
      </c>
      <c r="L21" s="246" t="s">
        <v>1616</v>
      </c>
      <c r="M21" s="879">
        <v>12</v>
      </c>
    </row>
    <row r="22" spans="1:25" s="639" customFormat="1" ht="32.25" customHeight="1">
      <c r="A22" s="325">
        <v>13</v>
      </c>
      <c r="B22" s="633" t="s">
        <v>355</v>
      </c>
      <c r="C22" s="154">
        <v>0</v>
      </c>
      <c r="D22" s="155">
        <v>240</v>
      </c>
      <c r="E22" s="634">
        <f t="shared" si="0"/>
        <v>240</v>
      </c>
      <c r="F22" s="154">
        <v>25</v>
      </c>
      <c r="G22" s="155">
        <v>166</v>
      </c>
      <c r="H22" s="634">
        <f t="shared" si="1"/>
        <v>191</v>
      </c>
      <c r="I22" s="155">
        <v>14</v>
      </c>
      <c r="J22" s="155">
        <v>348</v>
      </c>
      <c r="K22" s="634">
        <f t="shared" si="2"/>
        <v>362</v>
      </c>
      <c r="L22" s="635" t="s">
        <v>1617</v>
      </c>
      <c r="M22" s="878">
        <v>13</v>
      </c>
    </row>
    <row r="23" spans="1:25" ht="30" customHeight="1">
      <c r="A23" s="396">
        <v>14</v>
      </c>
      <c r="B23" s="289" t="s">
        <v>418</v>
      </c>
      <c r="C23" s="156">
        <v>0</v>
      </c>
      <c r="D23" s="157">
        <v>1650</v>
      </c>
      <c r="E23" s="157">
        <f t="shared" si="0"/>
        <v>1650</v>
      </c>
      <c r="F23" s="156">
        <v>144</v>
      </c>
      <c r="G23" s="157">
        <v>1042</v>
      </c>
      <c r="H23" s="158">
        <f t="shared" si="1"/>
        <v>1186</v>
      </c>
      <c r="I23" s="157">
        <v>227</v>
      </c>
      <c r="J23" s="157">
        <v>1426</v>
      </c>
      <c r="K23" s="158">
        <f t="shared" si="2"/>
        <v>1653</v>
      </c>
      <c r="L23" s="238" t="s">
        <v>1618</v>
      </c>
      <c r="M23" s="879">
        <v>14</v>
      </c>
    </row>
    <row r="24" spans="1:25" s="639" customFormat="1" ht="38.25" customHeight="1">
      <c r="A24" s="325">
        <v>15</v>
      </c>
      <c r="B24" s="633" t="s">
        <v>357</v>
      </c>
      <c r="C24" s="154">
        <v>0</v>
      </c>
      <c r="D24" s="155">
        <v>616</v>
      </c>
      <c r="E24" s="155">
        <f t="shared" si="0"/>
        <v>616</v>
      </c>
      <c r="F24" s="154">
        <v>140</v>
      </c>
      <c r="G24" s="155">
        <v>1217</v>
      </c>
      <c r="H24" s="634">
        <f t="shared" si="1"/>
        <v>1357</v>
      </c>
      <c r="I24" s="155">
        <v>222</v>
      </c>
      <c r="J24" s="155">
        <v>1739</v>
      </c>
      <c r="K24" s="634">
        <f t="shared" si="2"/>
        <v>1961</v>
      </c>
      <c r="L24" s="635" t="s">
        <v>1653</v>
      </c>
      <c r="M24" s="878">
        <v>15</v>
      </c>
    </row>
    <row r="25" spans="1:25" ht="41.25" customHeight="1">
      <c r="A25" s="396">
        <v>16</v>
      </c>
      <c r="B25" s="289" t="s">
        <v>358</v>
      </c>
      <c r="C25" s="156">
        <v>0</v>
      </c>
      <c r="D25" s="157">
        <v>861</v>
      </c>
      <c r="E25" s="157">
        <f t="shared" si="0"/>
        <v>861</v>
      </c>
      <c r="F25" s="156">
        <v>118</v>
      </c>
      <c r="G25" s="157">
        <v>462</v>
      </c>
      <c r="H25" s="158">
        <f t="shared" si="1"/>
        <v>580</v>
      </c>
      <c r="I25" s="157">
        <v>154</v>
      </c>
      <c r="J25" s="157">
        <v>664</v>
      </c>
      <c r="K25" s="158">
        <f t="shared" si="2"/>
        <v>818</v>
      </c>
      <c r="L25" s="246" t="s">
        <v>1652</v>
      </c>
      <c r="M25" s="879">
        <v>16</v>
      </c>
    </row>
    <row r="26" spans="1:25" s="639" customFormat="1" ht="30" customHeight="1">
      <c r="A26" s="325">
        <v>17</v>
      </c>
      <c r="B26" s="633" t="s">
        <v>359</v>
      </c>
      <c r="C26" s="154">
        <v>0</v>
      </c>
      <c r="D26" s="155" t="s">
        <v>56</v>
      </c>
      <c r="E26" s="155" t="s">
        <v>56</v>
      </c>
      <c r="F26" s="154">
        <v>781</v>
      </c>
      <c r="G26" s="155">
        <v>819</v>
      </c>
      <c r="H26" s="634">
        <f t="shared" si="1"/>
        <v>1600</v>
      </c>
      <c r="I26" s="155">
        <v>529</v>
      </c>
      <c r="J26" s="155">
        <v>1001</v>
      </c>
      <c r="K26" s="634">
        <f t="shared" si="2"/>
        <v>1530</v>
      </c>
      <c r="L26" s="644" t="s">
        <v>1619</v>
      </c>
      <c r="M26" s="878">
        <v>17</v>
      </c>
    </row>
    <row r="27" spans="1:25" ht="30" customHeight="1">
      <c r="A27" s="396">
        <v>18</v>
      </c>
      <c r="B27" s="283" t="s">
        <v>360</v>
      </c>
      <c r="C27" s="156">
        <v>0</v>
      </c>
      <c r="D27" s="157">
        <v>1085</v>
      </c>
      <c r="E27" s="157">
        <f t="shared" si="0"/>
        <v>1085</v>
      </c>
      <c r="F27" s="156">
        <v>481</v>
      </c>
      <c r="G27" s="157">
        <v>705</v>
      </c>
      <c r="H27" s="158">
        <f t="shared" si="1"/>
        <v>1186</v>
      </c>
      <c r="I27" s="156">
        <v>515</v>
      </c>
      <c r="J27" s="157">
        <v>1496</v>
      </c>
      <c r="K27" s="158">
        <f t="shared" si="2"/>
        <v>2011</v>
      </c>
      <c r="L27" s="246" t="s">
        <v>1620</v>
      </c>
      <c r="M27" s="879">
        <v>18</v>
      </c>
    </row>
    <row r="28" spans="1:25" s="639" customFormat="1" ht="30" customHeight="1">
      <c r="A28" s="325">
        <v>19</v>
      </c>
      <c r="B28" s="633" t="s">
        <v>361</v>
      </c>
      <c r="C28" s="154">
        <v>0</v>
      </c>
      <c r="D28" s="155" t="s">
        <v>56</v>
      </c>
      <c r="E28" s="155" t="s">
        <v>56</v>
      </c>
      <c r="F28" s="154">
        <v>364</v>
      </c>
      <c r="G28" s="155">
        <v>588</v>
      </c>
      <c r="H28" s="634">
        <f t="shared" si="1"/>
        <v>952</v>
      </c>
      <c r="I28" s="155">
        <v>429</v>
      </c>
      <c r="J28" s="155">
        <v>955</v>
      </c>
      <c r="K28" s="634">
        <f t="shared" si="2"/>
        <v>1384</v>
      </c>
      <c r="L28" s="635" t="s">
        <v>1621</v>
      </c>
      <c r="M28" s="878">
        <v>19</v>
      </c>
    </row>
    <row r="29" spans="1:25" ht="23.25" customHeight="1">
      <c r="A29" s="396">
        <v>20</v>
      </c>
      <c r="B29" s="289" t="s">
        <v>362</v>
      </c>
      <c r="C29" s="156">
        <v>0</v>
      </c>
      <c r="D29" s="157" t="s">
        <v>56</v>
      </c>
      <c r="E29" s="157" t="s">
        <v>56</v>
      </c>
      <c r="F29" s="156">
        <v>1846</v>
      </c>
      <c r="G29" s="157">
        <v>1924</v>
      </c>
      <c r="H29" s="158">
        <f t="shared" si="1"/>
        <v>3770</v>
      </c>
      <c r="I29" s="157">
        <v>1952</v>
      </c>
      <c r="J29" s="157">
        <v>2466</v>
      </c>
      <c r="K29" s="158">
        <f t="shared" si="2"/>
        <v>4418</v>
      </c>
      <c r="L29" s="246" t="s">
        <v>1622</v>
      </c>
      <c r="M29" s="879">
        <v>20</v>
      </c>
    </row>
    <row r="30" spans="1:25" s="639" customFormat="1" ht="30" customHeight="1">
      <c r="A30" s="325">
        <v>21</v>
      </c>
      <c r="B30" s="633" t="s">
        <v>363</v>
      </c>
      <c r="C30" s="154">
        <v>0</v>
      </c>
      <c r="D30" s="155">
        <v>1541</v>
      </c>
      <c r="E30" s="634">
        <f t="shared" si="0"/>
        <v>1541</v>
      </c>
      <c r="F30" s="154">
        <v>97</v>
      </c>
      <c r="G30" s="155">
        <v>1268</v>
      </c>
      <c r="H30" s="634">
        <f t="shared" si="1"/>
        <v>1365</v>
      </c>
      <c r="I30" s="154">
        <v>217</v>
      </c>
      <c r="J30" s="155">
        <v>1553</v>
      </c>
      <c r="K30" s="634">
        <f t="shared" si="2"/>
        <v>1770</v>
      </c>
      <c r="L30" s="643" t="s">
        <v>1623</v>
      </c>
      <c r="M30" s="878">
        <v>21</v>
      </c>
    </row>
    <row r="31" spans="1:25" ht="60.75" customHeight="1">
      <c r="A31" s="396">
        <v>22</v>
      </c>
      <c r="B31" s="1026" t="s">
        <v>364</v>
      </c>
      <c r="C31" s="156">
        <v>0</v>
      </c>
      <c r="D31" s="157">
        <v>226</v>
      </c>
      <c r="E31" s="157">
        <f t="shared" si="0"/>
        <v>226</v>
      </c>
      <c r="F31" s="156">
        <v>1</v>
      </c>
      <c r="G31" s="157">
        <v>82</v>
      </c>
      <c r="H31" s="158">
        <f t="shared" si="1"/>
        <v>83</v>
      </c>
      <c r="I31" s="157">
        <v>1</v>
      </c>
      <c r="J31" s="157">
        <v>202</v>
      </c>
      <c r="K31" s="158">
        <f t="shared" si="2"/>
        <v>203</v>
      </c>
      <c r="L31" s="238" t="s">
        <v>1651</v>
      </c>
      <c r="M31" s="879">
        <v>22</v>
      </c>
    </row>
    <row r="32" spans="1:25" s="639" customFormat="1" ht="30" customHeight="1">
      <c r="A32" s="325">
        <v>23</v>
      </c>
      <c r="B32" s="633" t="s">
        <v>365</v>
      </c>
      <c r="C32" s="154">
        <v>0</v>
      </c>
      <c r="D32" s="155">
        <v>1851</v>
      </c>
      <c r="E32" s="155">
        <f t="shared" si="0"/>
        <v>1851</v>
      </c>
      <c r="F32" s="154">
        <v>502</v>
      </c>
      <c r="G32" s="155">
        <v>579</v>
      </c>
      <c r="H32" s="634">
        <f t="shared" si="1"/>
        <v>1081</v>
      </c>
      <c r="I32" s="155">
        <v>564</v>
      </c>
      <c r="J32" s="155">
        <v>1123</v>
      </c>
      <c r="K32" s="634">
        <f t="shared" si="2"/>
        <v>1687</v>
      </c>
      <c r="L32" s="644" t="s">
        <v>1624</v>
      </c>
      <c r="M32" s="878">
        <v>23</v>
      </c>
    </row>
    <row r="33" spans="1:13" ht="30" customHeight="1">
      <c r="A33" s="396">
        <v>24</v>
      </c>
      <c r="B33" s="289" t="s">
        <v>366</v>
      </c>
      <c r="C33" s="156">
        <v>0</v>
      </c>
      <c r="D33" s="157">
        <v>1379</v>
      </c>
      <c r="E33" s="157">
        <f t="shared" si="0"/>
        <v>1379</v>
      </c>
      <c r="F33" s="156">
        <v>610</v>
      </c>
      <c r="G33" s="157">
        <v>622</v>
      </c>
      <c r="H33" s="158">
        <f t="shared" si="1"/>
        <v>1232</v>
      </c>
      <c r="I33" s="156">
        <v>697</v>
      </c>
      <c r="J33" s="157">
        <v>998</v>
      </c>
      <c r="K33" s="158">
        <f t="shared" si="2"/>
        <v>1695</v>
      </c>
      <c r="L33" s="238" t="s">
        <v>1625</v>
      </c>
      <c r="M33" s="879">
        <v>24</v>
      </c>
    </row>
    <row r="34" spans="1:13" s="639" customFormat="1" ht="30" customHeight="1">
      <c r="A34" s="664">
        <v>25</v>
      </c>
      <c r="B34" s="646" t="s">
        <v>367</v>
      </c>
      <c r="C34" s="647">
        <v>0</v>
      </c>
      <c r="D34" s="647">
        <v>115</v>
      </c>
      <c r="E34" s="647">
        <f t="shared" si="0"/>
        <v>115</v>
      </c>
      <c r="F34" s="648">
        <v>1789</v>
      </c>
      <c r="G34" s="647">
        <v>1519</v>
      </c>
      <c r="H34" s="649">
        <f t="shared" si="1"/>
        <v>3308</v>
      </c>
      <c r="I34" s="648">
        <v>2226</v>
      </c>
      <c r="J34" s="647">
        <v>2061</v>
      </c>
      <c r="K34" s="649">
        <f t="shared" si="2"/>
        <v>4287</v>
      </c>
      <c r="L34" s="650" t="s">
        <v>1626</v>
      </c>
      <c r="M34" s="895">
        <v>25</v>
      </c>
    </row>
    <row r="35" spans="1:13" s="639" customFormat="1" ht="18" customHeight="1">
      <c r="A35" s="1419" t="s">
        <v>1190</v>
      </c>
      <c r="B35" s="1419"/>
      <c r="C35" s="1419"/>
      <c r="D35" s="1419"/>
      <c r="E35" s="1419"/>
      <c r="F35" s="157"/>
      <c r="G35" s="157"/>
      <c r="H35" s="157"/>
      <c r="I35" s="157"/>
      <c r="J35" s="157"/>
      <c r="K35" s="157"/>
      <c r="L35" s="1443" t="s">
        <v>1311</v>
      </c>
      <c r="M35" s="1443"/>
    </row>
    <row r="36" spans="1:13" ht="18" customHeight="1">
      <c r="A36" s="1419"/>
      <c r="B36" s="1419"/>
      <c r="C36" s="1419"/>
      <c r="D36" s="1419"/>
      <c r="E36" s="1419"/>
      <c r="I36" s="1443" t="s">
        <v>1294</v>
      </c>
      <c r="J36" s="1443"/>
      <c r="K36" s="1443"/>
      <c r="L36" s="1443"/>
      <c r="M36" s="1443"/>
    </row>
    <row r="37" spans="1:13" ht="15" customHeight="1">
      <c r="A37" s="1327" t="s">
        <v>621</v>
      </c>
      <c r="B37" s="1567" t="s">
        <v>1598</v>
      </c>
      <c r="C37" s="1576">
        <v>1402</v>
      </c>
      <c r="D37" s="1577"/>
      <c r="E37" s="1578"/>
      <c r="F37" s="1576">
        <v>1401</v>
      </c>
      <c r="G37" s="1577"/>
      <c r="H37" s="1578"/>
      <c r="I37" s="1576">
        <v>1400</v>
      </c>
      <c r="J37" s="1577"/>
      <c r="K37" s="1578"/>
      <c r="L37" s="1343" t="s">
        <v>1597</v>
      </c>
      <c r="M37" s="1563" t="s">
        <v>727</v>
      </c>
    </row>
    <row r="38" spans="1:13">
      <c r="A38" s="1328"/>
      <c r="B38" s="1568"/>
      <c r="C38" s="1573" t="s">
        <v>772</v>
      </c>
      <c r="D38" s="1574"/>
      <c r="E38" s="1575"/>
      <c r="F38" s="1573" t="s">
        <v>725</v>
      </c>
      <c r="G38" s="1574"/>
      <c r="H38" s="1575"/>
      <c r="I38" s="1573" t="s">
        <v>726</v>
      </c>
      <c r="J38" s="1574"/>
      <c r="K38" s="1575"/>
      <c r="L38" s="1266"/>
      <c r="M38" s="1564"/>
    </row>
    <row r="39" spans="1:13">
      <c r="A39" s="1328"/>
      <c r="B39" s="1568"/>
      <c r="C39" s="530" t="s">
        <v>278</v>
      </c>
      <c r="D39" s="530" t="s">
        <v>279</v>
      </c>
      <c r="E39" s="530" t="s">
        <v>256</v>
      </c>
      <c r="F39" s="530" t="s">
        <v>278</v>
      </c>
      <c r="G39" s="530" t="s">
        <v>279</v>
      </c>
      <c r="H39" s="530" t="s">
        <v>256</v>
      </c>
      <c r="I39" s="530" t="s">
        <v>278</v>
      </c>
      <c r="J39" s="530" t="s">
        <v>279</v>
      </c>
      <c r="K39" s="530" t="s">
        <v>256</v>
      </c>
      <c r="L39" s="1266"/>
      <c r="M39" s="1564"/>
    </row>
    <row r="40" spans="1:13">
      <c r="A40" s="1328"/>
      <c r="B40" s="1568"/>
      <c r="C40" s="1204" t="s">
        <v>12</v>
      </c>
      <c r="D40" s="1204" t="s">
        <v>13</v>
      </c>
      <c r="E40" s="1204" t="s">
        <v>52</v>
      </c>
      <c r="F40" s="1204" t="s">
        <v>12</v>
      </c>
      <c r="G40" s="1204" t="s">
        <v>13</v>
      </c>
      <c r="H40" s="1204" t="s">
        <v>52</v>
      </c>
      <c r="I40" s="1204" t="s">
        <v>12</v>
      </c>
      <c r="J40" s="1204" t="s">
        <v>13</v>
      </c>
      <c r="K40" s="1204" t="s">
        <v>52</v>
      </c>
      <c r="L40" s="1266"/>
      <c r="M40" s="1564"/>
    </row>
    <row r="41" spans="1:13">
      <c r="A41" s="1329"/>
      <c r="B41" s="1569"/>
      <c r="C41" s="1204" t="s">
        <v>162</v>
      </c>
      <c r="D41" s="1204" t="s">
        <v>163</v>
      </c>
      <c r="E41" s="1204" t="s">
        <v>282</v>
      </c>
      <c r="F41" s="1204" t="s">
        <v>162</v>
      </c>
      <c r="G41" s="1204" t="s">
        <v>163</v>
      </c>
      <c r="H41" s="1204" t="s">
        <v>282</v>
      </c>
      <c r="I41" s="1204" t="s">
        <v>162</v>
      </c>
      <c r="J41" s="1204" t="s">
        <v>163</v>
      </c>
      <c r="K41" s="1204" t="s">
        <v>282</v>
      </c>
      <c r="L41" s="1267"/>
      <c r="M41" s="1565"/>
    </row>
    <row r="42" spans="1:13" ht="28">
      <c r="A42" s="396">
        <v>26</v>
      </c>
      <c r="B42" s="240" t="s">
        <v>654</v>
      </c>
      <c r="C42" s="157">
        <v>0</v>
      </c>
      <c r="D42" s="157" t="s">
        <v>56</v>
      </c>
      <c r="E42" s="157" t="s">
        <v>56</v>
      </c>
      <c r="F42" s="156">
        <v>0</v>
      </c>
      <c r="G42" s="157">
        <v>170</v>
      </c>
      <c r="H42" s="158">
        <f t="shared" ref="H42:H56" si="3">G42+F42</f>
        <v>170</v>
      </c>
      <c r="I42" s="156">
        <v>0</v>
      </c>
      <c r="J42" s="157">
        <v>263</v>
      </c>
      <c r="K42" s="158">
        <f t="shared" ref="K42:K56" si="4">J42+I42</f>
        <v>263</v>
      </c>
      <c r="L42" s="246" t="s">
        <v>1627</v>
      </c>
      <c r="M42" s="879">
        <v>26</v>
      </c>
    </row>
    <row r="43" spans="1:13" s="639" customFormat="1" ht="30" customHeight="1">
      <c r="A43" s="325">
        <v>27</v>
      </c>
      <c r="B43" s="239" t="s">
        <v>369</v>
      </c>
      <c r="C43" s="154">
        <v>0</v>
      </c>
      <c r="D43" s="155">
        <v>519</v>
      </c>
      <c r="E43" s="155">
        <f t="shared" ref="E43:E56" si="5">D43+C43</f>
        <v>519</v>
      </c>
      <c r="F43" s="154">
        <v>47</v>
      </c>
      <c r="G43" s="155">
        <v>188</v>
      </c>
      <c r="H43" s="634">
        <f t="shared" si="3"/>
        <v>235</v>
      </c>
      <c r="I43" s="155">
        <v>52</v>
      </c>
      <c r="J43" s="155">
        <v>293</v>
      </c>
      <c r="K43" s="634">
        <f t="shared" si="4"/>
        <v>345</v>
      </c>
      <c r="L43" s="635" t="s">
        <v>1231</v>
      </c>
      <c r="M43" s="878">
        <v>27</v>
      </c>
    </row>
    <row r="44" spans="1:13" ht="38.25" customHeight="1">
      <c r="A44" s="396">
        <v>28</v>
      </c>
      <c r="B44" s="289" t="s">
        <v>370</v>
      </c>
      <c r="C44" s="156">
        <v>0</v>
      </c>
      <c r="D44" s="157" t="s">
        <v>56</v>
      </c>
      <c r="E44" s="157" t="s">
        <v>56</v>
      </c>
      <c r="F44" s="156">
        <v>69</v>
      </c>
      <c r="G44" s="157">
        <v>195</v>
      </c>
      <c r="H44" s="158">
        <f t="shared" si="3"/>
        <v>264</v>
      </c>
      <c r="I44" s="157">
        <v>137</v>
      </c>
      <c r="J44" s="157">
        <v>565</v>
      </c>
      <c r="K44" s="158">
        <f t="shared" si="4"/>
        <v>702</v>
      </c>
      <c r="L44" s="246" t="s">
        <v>1628</v>
      </c>
      <c r="M44" s="879">
        <v>28</v>
      </c>
    </row>
    <row r="45" spans="1:13" s="639" customFormat="1" ht="36.75" customHeight="1">
      <c r="A45" s="325">
        <v>29</v>
      </c>
      <c r="B45" s="239" t="s">
        <v>371</v>
      </c>
      <c r="C45" s="154">
        <v>0</v>
      </c>
      <c r="D45" s="155">
        <v>506</v>
      </c>
      <c r="E45" s="155">
        <f t="shared" si="5"/>
        <v>506</v>
      </c>
      <c r="F45" s="154">
        <v>0</v>
      </c>
      <c r="G45" s="155">
        <v>628</v>
      </c>
      <c r="H45" s="634">
        <f t="shared" si="3"/>
        <v>628</v>
      </c>
      <c r="I45" s="155">
        <v>1</v>
      </c>
      <c r="J45" s="155">
        <v>682</v>
      </c>
      <c r="K45" s="634">
        <f t="shared" si="4"/>
        <v>683</v>
      </c>
      <c r="L45" s="635" t="s">
        <v>1629</v>
      </c>
      <c r="M45" s="878">
        <v>29</v>
      </c>
    </row>
    <row r="46" spans="1:13" ht="39.75" customHeight="1">
      <c r="A46" s="396">
        <v>30</v>
      </c>
      <c r="B46" s="289" t="s">
        <v>372</v>
      </c>
      <c r="C46" s="156">
        <v>0</v>
      </c>
      <c r="D46" s="157" t="s">
        <v>56</v>
      </c>
      <c r="E46" s="157" t="s">
        <v>56</v>
      </c>
      <c r="F46" s="156">
        <v>198</v>
      </c>
      <c r="G46" s="157">
        <v>372</v>
      </c>
      <c r="H46" s="158">
        <f t="shared" si="3"/>
        <v>570</v>
      </c>
      <c r="I46" s="157">
        <v>247</v>
      </c>
      <c r="J46" s="157">
        <v>399</v>
      </c>
      <c r="K46" s="158">
        <f t="shared" si="4"/>
        <v>646</v>
      </c>
      <c r="L46" s="238" t="s">
        <v>1630</v>
      </c>
      <c r="M46" s="879">
        <v>30</v>
      </c>
    </row>
    <row r="47" spans="1:13" s="639" customFormat="1" ht="36" customHeight="1">
      <c r="A47" s="325">
        <v>31</v>
      </c>
      <c r="B47" s="239" t="s">
        <v>373</v>
      </c>
      <c r="C47" s="154">
        <v>0</v>
      </c>
      <c r="D47" s="155">
        <v>710</v>
      </c>
      <c r="E47" s="155">
        <f t="shared" si="5"/>
        <v>710</v>
      </c>
      <c r="F47" s="154">
        <v>103</v>
      </c>
      <c r="G47" s="155">
        <v>73</v>
      </c>
      <c r="H47" s="634">
        <f t="shared" si="3"/>
        <v>176</v>
      </c>
      <c r="I47" s="155">
        <v>177</v>
      </c>
      <c r="J47" s="155">
        <v>239</v>
      </c>
      <c r="K47" s="634">
        <f t="shared" si="4"/>
        <v>416</v>
      </c>
      <c r="L47" s="635" t="s">
        <v>1631</v>
      </c>
      <c r="M47" s="878">
        <v>31</v>
      </c>
    </row>
    <row r="48" spans="1:13" ht="30" customHeight="1">
      <c r="A48" s="396">
        <v>32</v>
      </c>
      <c r="B48" s="289" t="s">
        <v>374</v>
      </c>
      <c r="C48" s="156">
        <v>0</v>
      </c>
      <c r="D48" s="157">
        <v>239</v>
      </c>
      <c r="E48" s="157">
        <f t="shared" si="5"/>
        <v>239</v>
      </c>
      <c r="F48" s="156">
        <v>151</v>
      </c>
      <c r="G48" s="157">
        <v>443</v>
      </c>
      <c r="H48" s="158">
        <f t="shared" si="3"/>
        <v>594</v>
      </c>
      <c r="I48" s="157">
        <v>200</v>
      </c>
      <c r="J48" s="157">
        <v>507</v>
      </c>
      <c r="K48" s="158">
        <f t="shared" si="4"/>
        <v>707</v>
      </c>
      <c r="L48" s="246" t="s">
        <v>1632</v>
      </c>
      <c r="M48" s="879">
        <v>32</v>
      </c>
    </row>
    <row r="49" spans="1:25" s="639" customFormat="1" ht="36.75" customHeight="1">
      <c r="A49" s="325">
        <v>33</v>
      </c>
      <c r="B49" s="239" t="s">
        <v>431</v>
      </c>
      <c r="C49" s="154">
        <v>0</v>
      </c>
      <c r="D49" s="155" t="s">
        <v>56</v>
      </c>
      <c r="E49" s="155" t="s">
        <v>56</v>
      </c>
      <c r="F49" s="154">
        <v>83</v>
      </c>
      <c r="G49" s="155">
        <v>55</v>
      </c>
      <c r="H49" s="634">
        <f t="shared" si="3"/>
        <v>138</v>
      </c>
      <c r="I49" s="155">
        <v>199</v>
      </c>
      <c r="J49" s="155">
        <v>124</v>
      </c>
      <c r="K49" s="634">
        <f t="shared" si="4"/>
        <v>323</v>
      </c>
      <c r="L49" s="635" t="s">
        <v>1633</v>
      </c>
      <c r="M49" s="878">
        <v>33</v>
      </c>
    </row>
    <row r="50" spans="1:25" ht="35.25" customHeight="1">
      <c r="A50" s="396">
        <v>34</v>
      </c>
      <c r="B50" s="289" t="s">
        <v>376</v>
      </c>
      <c r="C50" s="156">
        <v>0</v>
      </c>
      <c r="D50" s="157">
        <v>657</v>
      </c>
      <c r="E50" s="157">
        <f t="shared" si="5"/>
        <v>657</v>
      </c>
      <c r="F50" s="156">
        <v>11</v>
      </c>
      <c r="G50" s="157">
        <v>553</v>
      </c>
      <c r="H50" s="158">
        <f t="shared" si="3"/>
        <v>564</v>
      </c>
      <c r="I50" s="157">
        <v>7</v>
      </c>
      <c r="J50" s="157">
        <v>515</v>
      </c>
      <c r="K50" s="158">
        <f t="shared" si="4"/>
        <v>522</v>
      </c>
      <c r="L50" s="246" t="s">
        <v>1634</v>
      </c>
      <c r="M50" s="879">
        <v>34</v>
      </c>
    </row>
    <row r="51" spans="1:25" s="639" customFormat="1" ht="30" customHeight="1">
      <c r="A51" s="325">
        <v>35</v>
      </c>
      <c r="B51" s="239" t="s">
        <v>377</v>
      </c>
      <c r="C51" s="154">
        <v>0</v>
      </c>
      <c r="D51" s="155">
        <v>349</v>
      </c>
      <c r="E51" s="155">
        <f t="shared" si="5"/>
        <v>349</v>
      </c>
      <c r="F51" s="154">
        <v>10</v>
      </c>
      <c r="G51" s="155">
        <v>292</v>
      </c>
      <c r="H51" s="634">
        <f t="shared" si="3"/>
        <v>302</v>
      </c>
      <c r="I51" s="155">
        <v>17</v>
      </c>
      <c r="J51" s="155">
        <v>264</v>
      </c>
      <c r="K51" s="634">
        <f t="shared" si="4"/>
        <v>281</v>
      </c>
      <c r="L51" s="635" t="s">
        <v>1635</v>
      </c>
      <c r="M51" s="878">
        <v>35</v>
      </c>
      <c r="W51" s="641"/>
      <c r="X51" s="665"/>
      <c r="Y51" s="666"/>
    </row>
    <row r="52" spans="1:25" ht="30" customHeight="1">
      <c r="A52" s="396">
        <v>36</v>
      </c>
      <c r="B52" s="289" t="s">
        <v>378</v>
      </c>
      <c r="C52" s="156">
        <v>0</v>
      </c>
      <c r="D52" s="157">
        <v>625</v>
      </c>
      <c r="E52" s="157">
        <f t="shared" si="5"/>
        <v>625</v>
      </c>
      <c r="F52" s="156">
        <v>23</v>
      </c>
      <c r="G52" s="157">
        <v>715</v>
      </c>
      <c r="H52" s="158">
        <f t="shared" si="3"/>
        <v>738</v>
      </c>
      <c r="I52" s="157">
        <v>67</v>
      </c>
      <c r="J52" s="157">
        <v>917</v>
      </c>
      <c r="K52" s="158">
        <f t="shared" si="4"/>
        <v>984</v>
      </c>
      <c r="L52" s="246" t="s">
        <v>1636</v>
      </c>
      <c r="M52" s="879">
        <v>36</v>
      </c>
    </row>
    <row r="53" spans="1:25" s="639" customFormat="1" ht="30" customHeight="1">
      <c r="A53" s="325">
        <v>37</v>
      </c>
      <c r="B53" s="239" t="s">
        <v>379</v>
      </c>
      <c r="C53" s="154">
        <v>0</v>
      </c>
      <c r="D53" s="155">
        <v>573</v>
      </c>
      <c r="E53" s="155">
        <f t="shared" si="5"/>
        <v>573</v>
      </c>
      <c r="F53" s="154">
        <v>56</v>
      </c>
      <c r="G53" s="155">
        <v>154</v>
      </c>
      <c r="H53" s="634">
        <f t="shared" si="3"/>
        <v>210</v>
      </c>
      <c r="I53" s="155">
        <v>85</v>
      </c>
      <c r="J53" s="155">
        <v>319</v>
      </c>
      <c r="K53" s="634">
        <f t="shared" si="4"/>
        <v>404</v>
      </c>
      <c r="L53" s="635" t="s">
        <v>1637</v>
      </c>
      <c r="M53" s="878">
        <v>37</v>
      </c>
    </row>
    <row r="54" spans="1:25" ht="30" customHeight="1">
      <c r="A54" s="396">
        <v>38</v>
      </c>
      <c r="B54" s="289" t="s">
        <v>380</v>
      </c>
      <c r="C54" s="156">
        <v>0</v>
      </c>
      <c r="D54" s="157">
        <v>360</v>
      </c>
      <c r="E54" s="157">
        <f t="shared" si="5"/>
        <v>360</v>
      </c>
      <c r="F54" s="156">
        <v>118</v>
      </c>
      <c r="G54" s="157">
        <v>178</v>
      </c>
      <c r="H54" s="158">
        <f t="shared" si="3"/>
        <v>296</v>
      </c>
      <c r="I54" s="157">
        <v>146</v>
      </c>
      <c r="J54" s="157">
        <v>294</v>
      </c>
      <c r="K54" s="158">
        <f t="shared" si="4"/>
        <v>440</v>
      </c>
      <c r="L54" s="246" t="s">
        <v>1232</v>
      </c>
      <c r="M54" s="879">
        <v>38</v>
      </c>
    </row>
    <row r="55" spans="1:25" s="639" customFormat="1" ht="40.5" customHeight="1">
      <c r="A55" s="325">
        <v>39</v>
      </c>
      <c r="B55" s="239" t="s">
        <v>381</v>
      </c>
      <c r="C55" s="154">
        <v>0</v>
      </c>
      <c r="D55" s="155" t="s">
        <v>56</v>
      </c>
      <c r="E55" s="155" t="s">
        <v>56</v>
      </c>
      <c r="F55" s="154">
        <v>5</v>
      </c>
      <c r="G55" s="155">
        <v>46</v>
      </c>
      <c r="H55" s="634">
        <f t="shared" si="3"/>
        <v>51</v>
      </c>
      <c r="I55" s="155">
        <v>1</v>
      </c>
      <c r="J55" s="155">
        <v>79</v>
      </c>
      <c r="K55" s="634">
        <f t="shared" si="4"/>
        <v>80</v>
      </c>
      <c r="L55" s="635" t="s">
        <v>1638</v>
      </c>
      <c r="M55" s="878">
        <v>39</v>
      </c>
    </row>
    <row r="56" spans="1:25" ht="30" customHeight="1">
      <c r="A56" s="397">
        <v>40</v>
      </c>
      <c r="B56" s="291" t="s">
        <v>382</v>
      </c>
      <c r="C56" s="292">
        <v>0</v>
      </c>
      <c r="D56" s="206">
        <v>125</v>
      </c>
      <c r="E56" s="206">
        <f t="shared" si="5"/>
        <v>125</v>
      </c>
      <c r="F56" s="292">
        <v>93</v>
      </c>
      <c r="G56" s="206">
        <v>85</v>
      </c>
      <c r="H56" s="207">
        <f t="shared" si="3"/>
        <v>178</v>
      </c>
      <c r="I56" s="206">
        <v>128</v>
      </c>
      <c r="J56" s="206">
        <v>199</v>
      </c>
      <c r="K56" s="207">
        <f t="shared" si="4"/>
        <v>327</v>
      </c>
      <c r="L56" s="293" t="s">
        <v>1639</v>
      </c>
      <c r="M56" s="880">
        <v>40</v>
      </c>
      <c r="N56" s="14"/>
    </row>
    <row r="57" spans="1:25" ht="12" customHeight="1">
      <c r="A57" s="1579" t="s">
        <v>758</v>
      </c>
      <c r="B57" s="1579"/>
      <c r="C57" s="1579"/>
      <c r="D57" s="1579"/>
      <c r="E57" s="1579"/>
      <c r="F57" s="536"/>
      <c r="G57" s="536"/>
      <c r="H57" s="536"/>
      <c r="I57" s="1485" t="s">
        <v>1604</v>
      </c>
      <c r="J57" s="1485"/>
      <c r="K57" s="1485"/>
      <c r="L57" s="1485"/>
      <c r="M57" s="1485"/>
      <c r="Q57" s="1"/>
      <c r="R57" s="1"/>
      <c r="S57" s="1"/>
      <c r="V57" s="35"/>
      <c r="W57" s="35"/>
      <c r="X57" s="35"/>
    </row>
    <row r="58" spans="1:25" ht="37.5" customHeight="1"/>
    <row r="59" spans="1:25" ht="16">
      <c r="O59" s="81"/>
    </row>
    <row r="60" spans="1:25" ht="29" customHeight="1"/>
    <row r="61" spans="1:25" ht="22.5" customHeight="1">
      <c r="O61" s="317"/>
    </row>
    <row r="62" spans="1:25" ht="29" customHeight="1"/>
    <row r="63" spans="1:25" ht="18.75" customHeight="1"/>
    <row r="64" spans="1:25">
      <c r="T64" s="3"/>
      <c r="U64" s="3"/>
      <c r="V64" s="3"/>
    </row>
    <row r="65" spans="3:22">
      <c r="T65" s="3"/>
      <c r="U65" s="3"/>
      <c r="V65" s="3"/>
    </row>
    <row r="66" spans="3:22">
      <c r="T66" s="3"/>
      <c r="U66" s="3"/>
      <c r="V66" s="3"/>
    </row>
    <row r="67" spans="3:22">
      <c r="L67" s="450"/>
    </row>
    <row r="70" spans="3:22" ht="14.25" customHeight="1"/>
    <row r="71" spans="3:22" ht="15" hidden="1" customHeight="1"/>
    <row r="72" spans="3:22" ht="11.25" hidden="1" customHeight="1"/>
    <row r="73" spans="3:22" ht="6.75" hidden="1" customHeight="1"/>
    <row r="74" spans="3:22" hidden="1"/>
    <row r="75" spans="3:22" ht="2.25" customHeight="1"/>
    <row r="76" spans="3:22">
      <c r="C76" s="100"/>
      <c r="E76" s="539"/>
      <c r="H76" s="538"/>
      <c r="I76" s="571"/>
    </row>
    <row r="77" spans="3:22">
      <c r="C77" s="100"/>
      <c r="D77" s="100"/>
      <c r="E77" s="449" t="s">
        <v>726</v>
      </c>
      <c r="F77" s="449" t="s">
        <v>725</v>
      </c>
      <c r="G77" s="449" t="s">
        <v>772</v>
      </c>
      <c r="H77" s="538"/>
      <c r="I77" s="571"/>
    </row>
    <row r="78" spans="3:22" ht="0.75" customHeight="1">
      <c r="C78" s="100"/>
      <c r="D78" s="100"/>
      <c r="E78" s="1099">
        <v>1400</v>
      </c>
      <c r="F78" s="1099">
        <v>1401</v>
      </c>
      <c r="G78" s="1099">
        <v>1402</v>
      </c>
      <c r="H78" s="540"/>
      <c r="I78" s="540"/>
    </row>
    <row r="79" spans="3:22">
      <c r="C79" s="100"/>
      <c r="D79" s="447" t="s">
        <v>638</v>
      </c>
      <c r="E79" s="450">
        <f>J9/K9*100</f>
        <v>68.324554480885354</v>
      </c>
      <c r="F79" s="450">
        <f>G9/H9*100</f>
        <v>63.785278193756476</v>
      </c>
      <c r="G79" s="450">
        <f>D9/E9*100</f>
        <v>100</v>
      </c>
      <c r="J79" s="570"/>
    </row>
    <row r="80" spans="3:22">
      <c r="C80" s="100"/>
      <c r="D80" s="532" t="s">
        <v>639</v>
      </c>
      <c r="E80" s="450">
        <f>I9/K9*100</f>
        <v>31.675445519114653</v>
      </c>
      <c r="F80" s="450">
        <f>F9/H9*100</f>
        <v>36.214721806243524</v>
      </c>
      <c r="G80" s="450">
        <f>C9/E9*100</f>
        <v>0</v>
      </c>
      <c r="J80" s="571"/>
    </row>
    <row r="81" spans="1:14">
      <c r="I81" s="571"/>
      <c r="J81" s="571"/>
    </row>
    <row r="82" spans="1:14" ht="23.25" customHeight="1">
      <c r="A82" s="1448" t="s">
        <v>2175</v>
      </c>
      <c r="B82" s="1448"/>
      <c r="C82" s="1448"/>
      <c r="D82" s="1448"/>
      <c r="E82" s="1448"/>
      <c r="F82" s="1448"/>
      <c r="G82" s="1448"/>
      <c r="H82" s="1448"/>
      <c r="I82" s="1448"/>
      <c r="J82" s="1448"/>
      <c r="K82" s="1448"/>
      <c r="L82" s="1448"/>
      <c r="M82" s="1448"/>
      <c r="N82" s="1251"/>
    </row>
    <row r="83" spans="1:14" ht="30.75" customHeight="1">
      <c r="A83" s="1453" t="s">
        <v>2176</v>
      </c>
      <c r="B83" s="1453"/>
      <c r="C83" s="1453"/>
      <c r="D83" s="1453"/>
      <c r="E83" s="1453"/>
      <c r="F83" s="1453"/>
      <c r="G83" s="1453"/>
      <c r="H83" s="1453"/>
      <c r="I83" s="1453"/>
      <c r="J83" s="1453"/>
      <c r="K83" s="1453"/>
      <c r="L83" s="1453"/>
      <c r="M83" s="1453"/>
      <c r="N83" s="1250"/>
    </row>
  </sheetData>
  <mergeCells count="30">
    <mergeCell ref="A82:M82"/>
    <mergeCell ref="A83:M83"/>
    <mergeCell ref="A1:M1"/>
    <mergeCell ref="A2:M2"/>
    <mergeCell ref="A3:M3"/>
    <mergeCell ref="A4:A8"/>
    <mergeCell ref="B4:B8"/>
    <mergeCell ref="C4:E4"/>
    <mergeCell ref="F4:H4"/>
    <mergeCell ref="I4:K4"/>
    <mergeCell ref="L4:L8"/>
    <mergeCell ref="M4:M8"/>
    <mergeCell ref="C5:E5"/>
    <mergeCell ref="F5:H5"/>
    <mergeCell ref="I5:K5"/>
    <mergeCell ref="A35:E36"/>
    <mergeCell ref="L35:M35"/>
    <mergeCell ref="I36:M36"/>
    <mergeCell ref="A57:E57"/>
    <mergeCell ref="I57:M57"/>
    <mergeCell ref="A37:A41"/>
    <mergeCell ref="B37:B41"/>
    <mergeCell ref="C37:E37"/>
    <mergeCell ref="F37:H37"/>
    <mergeCell ref="I37:K37"/>
    <mergeCell ref="L37:L41"/>
    <mergeCell ref="M37:M41"/>
    <mergeCell ref="C38:E38"/>
    <mergeCell ref="F38:H38"/>
    <mergeCell ref="I38:K38"/>
  </mergeCells>
  <printOptions horizontalCentered="1"/>
  <pageMargins left="0" right="0" top="0.06" bottom="0.6" header="0.03" footer="0.39370078740157499"/>
  <pageSetup paperSize="9" scale="79" orientation="portrait" r:id="rId1"/>
  <headerFooter>
    <oddFooter>&amp;L&amp;"Times New Roman,Regular"&amp;10    Afghanistan Statistical Yearbook 2023-24&amp;R&amp;"Times New Roman,Regular"&amp;10          د ۱۴۰۲ احصایيوي کالنۍ  /سالنامه احصائیوی ۱۴۰۲</oddFooter>
  </headerFooter>
  <rowBreaks count="2" manualBreakCount="2">
    <brk id="34" max="12" man="1"/>
    <brk id="39" min="15" max="26" man="1"/>
  </rowBreaks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theme="0"/>
  </sheetPr>
  <dimension ref="A1:AH96"/>
  <sheetViews>
    <sheetView view="pageBreakPreview" topLeftCell="A3" zoomScale="124" zoomScaleNormal="70" zoomScaleSheetLayoutView="124" workbookViewId="0">
      <selection activeCell="A3" sqref="A3:M3"/>
    </sheetView>
  </sheetViews>
  <sheetFormatPr baseColWidth="10" defaultColWidth="8.83203125" defaultRowHeight="15"/>
  <cols>
    <col min="1" max="1" width="3.1640625" customWidth="1"/>
    <col min="2" max="2" width="23.6640625" style="100" customWidth="1"/>
    <col min="3" max="3" width="7.33203125" style="100" customWidth="1"/>
    <col min="4" max="4" width="9.1640625" style="100" bestFit="1" customWidth="1"/>
    <col min="5" max="5" width="11.33203125" style="100" customWidth="1"/>
    <col min="6" max="6" width="10" style="100" bestFit="1" customWidth="1"/>
    <col min="7" max="7" width="9.1640625" style="100" bestFit="1" customWidth="1"/>
    <col min="8" max="8" width="10.83203125" style="100" customWidth="1"/>
    <col min="9" max="9" width="10" style="100" bestFit="1" customWidth="1"/>
    <col min="10" max="10" width="9.1640625" style="100" bestFit="1" customWidth="1"/>
    <col min="11" max="11" width="10.5" style="100" customWidth="1"/>
    <col min="12" max="12" width="22.6640625" style="100" customWidth="1"/>
    <col min="13" max="13" width="3.1640625" style="100" customWidth="1"/>
    <col min="16" max="16" width="12.83203125" customWidth="1"/>
  </cols>
  <sheetData>
    <row r="1" spans="1:31" ht="16" hidden="1" customHeight="1">
      <c r="A1" s="1418" t="s">
        <v>2197</v>
      </c>
      <c r="B1" s="1418"/>
      <c r="C1" s="1418"/>
      <c r="D1" s="1418"/>
      <c r="E1" s="1418"/>
      <c r="F1" s="1418"/>
      <c r="G1" s="1418"/>
      <c r="H1" s="1418"/>
      <c r="I1" s="1418"/>
      <c r="J1" s="1418"/>
      <c r="K1" s="1418"/>
      <c r="L1" s="1418"/>
      <c r="M1" s="1418"/>
      <c r="N1" s="111"/>
      <c r="O1" s="111"/>
      <c r="P1" s="111"/>
    </row>
    <row r="2" spans="1:31" ht="16" hidden="1" customHeight="1">
      <c r="A2" s="1443" t="s">
        <v>2198</v>
      </c>
      <c r="B2" s="1443"/>
      <c r="C2" s="1443"/>
      <c r="D2" s="1443"/>
      <c r="E2" s="1443"/>
      <c r="F2" s="1443"/>
      <c r="G2" s="1443"/>
      <c r="H2" s="1443"/>
      <c r="I2" s="1443"/>
      <c r="J2" s="1443"/>
      <c r="K2" s="1443"/>
      <c r="L2" s="1443"/>
      <c r="M2" s="1443"/>
      <c r="N2" s="111"/>
      <c r="O2" s="111"/>
      <c r="P2" s="111"/>
    </row>
    <row r="3" spans="1:31" ht="16" customHeight="1">
      <c r="A3" s="1521" t="s">
        <v>2199</v>
      </c>
      <c r="B3" s="1521"/>
      <c r="C3" s="1521"/>
      <c r="D3" s="1521"/>
      <c r="E3" s="1521"/>
      <c r="F3" s="1521"/>
      <c r="G3" s="1521"/>
      <c r="H3" s="1521"/>
      <c r="I3" s="1521"/>
      <c r="J3" s="1521"/>
      <c r="K3" s="1521"/>
      <c r="L3" s="1521"/>
      <c r="M3" s="1521"/>
      <c r="N3" s="111"/>
      <c r="O3" s="111"/>
      <c r="P3" s="111"/>
      <c r="R3" s="2"/>
      <c r="AD3" s="2"/>
    </row>
    <row r="4" spans="1:31" ht="16" customHeight="1">
      <c r="A4" s="1580" t="s">
        <v>621</v>
      </c>
      <c r="B4" s="1522" t="s">
        <v>383</v>
      </c>
      <c r="C4" s="1570">
        <v>1402</v>
      </c>
      <c r="D4" s="1571"/>
      <c r="E4" s="1572"/>
      <c r="F4" s="1570">
        <v>1401</v>
      </c>
      <c r="G4" s="1571"/>
      <c r="H4" s="1572"/>
      <c r="I4" s="1570">
        <v>1400</v>
      </c>
      <c r="J4" s="1571"/>
      <c r="K4" s="1572"/>
      <c r="L4" s="1535" t="s">
        <v>55</v>
      </c>
      <c r="M4" s="1563" t="s">
        <v>727</v>
      </c>
      <c r="R4" s="2"/>
      <c r="AD4" s="2"/>
    </row>
    <row r="5" spans="1:31" ht="15" customHeight="1">
      <c r="A5" s="1581"/>
      <c r="B5" s="1541"/>
      <c r="C5" s="1573" t="s">
        <v>772</v>
      </c>
      <c r="D5" s="1574"/>
      <c r="E5" s="1575"/>
      <c r="F5" s="1573" t="s">
        <v>725</v>
      </c>
      <c r="G5" s="1574"/>
      <c r="H5" s="1575"/>
      <c r="I5" s="1573" t="s">
        <v>726</v>
      </c>
      <c r="J5" s="1574"/>
      <c r="K5" s="1575"/>
      <c r="L5" s="1535"/>
      <c r="M5" s="1564"/>
      <c r="R5" s="2"/>
      <c r="AD5" s="2"/>
    </row>
    <row r="6" spans="1:31" ht="16" customHeight="1">
      <c r="A6" s="1581"/>
      <c r="B6" s="1541"/>
      <c r="C6" s="530" t="s">
        <v>278</v>
      </c>
      <c r="D6" s="530" t="s">
        <v>279</v>
      </c>
      <c r="E6" s="530" t="s">
        <v>256</v>
      </c>
      <c r="F6" s="530" t="s">
        <v>278</v>
      </c>
      <c r="G6" s="530" t="s">
        <v>279</v>
      </c>
      <c r="H6" s="530" t="s">
        <v>256</v>
      </c>
      <c r="I6" s="530" t="s">
        <v>278</v>
      </c>
      <c r="J6" s="530" t="s">
        <v>279</v>
      </c>
      <c r="K6" s="530" t="s">
        <v>256</v>
      </c>
      <c r="L6" s="1535"/>
      <c r="M6" s="1564"/>
      <c r="R6" s="2"/>
      <c r="AD6" s="2"/>
    </row>
    <row r="7" spans="1:31" ht="16" customHeight="1">
      <c r="A7" s="1581"/>
      <c r="B7" s="1541"/>
      <c r="C7" s="1204" t="s">
        <v>12</v>
      </c>
      <c r="D7" s="1204" t="s">
        <v>13</v>
      </c>
      <c r="E7" s="1204" t="s">
        <v>52</v>
      </c>
      <c r="F7" s="1204" t="s">
        <v>12</v>
      </c>
      <c r="G7" s="1204" t="s">
        <v>13</v>
      </c>
      <c r="H7" s="1204" t="s">
        <v>52</v>
      </c>
      <c r="I7" s="1204" t="s">
        <v>12</v>
      </c>
      <c r="J7" s="1204" t="s">
        <v>13</v>
      </c>
      <c r="K7" s="1204" t="s">
        <v>52</v>
      </c>
      <c r="L7" s="1535"/>
      <c r="M7" s="1564"/>
      <c r="R7" s="2"/>
      <c r="AD7" s="2"/>
    </row>
    <row r="8" spans="1:31" ht="16" customHeight="1">
      <c r="A8" s="1582"/>
      <c r="B8" s="1523"/>
      <c r="C8" s="1204" t="s">
        <v>162</v>
      </c>
      <c r="D8" s="1204" t="s">
        <v>163</v>
      </c>
      <c r="E8" s="1204" t="s">
        <v>282</v>
      </c>
      <c r="F8" s="1204" t="s">
        <v>162</v>
      </c>
      <c r="G8" s="1204" t="s">
        <v>163</v>
      </c>
      <c r="H8" s="1204" t="s">
        <v>282</v>
      </c>
      <c r="I8" s="1204" t="s">
        <v>162</v>
      </c>
      <c r="J8" s="1204" t="s">
        <v>163</v>
      </c>
      <c r="K8" s="1204" t="s">
        <v>282</v>
      </c>
      <c r="L8" s="1535"/>
      <c r="M8" s="1565"/>
      <c r="N8" s="1583"/>
      <c r="O8" s="1583"/>
      <c r="P8" s="1583"/>
      <c r="S8" s="21"/>
      <c r="U8">
        <f>11914-11934</f>
        <v>-20</v>
      </c>
      <c r="AD8" s="2"/>
    </row>
    <row r="9" spans="1:31" ht="24" customHeight="1">
      <c r="A9" s="594"/>
      <c r="B9" s="563" t="s">
        <v>70</v>
      </c>
      <c r="C9" s="525">
        <f>SUM(C10:C40)</f>
        <v>0</v>
      </c>
      <c r="D9" s="526">
        <f>SUM(D10:D41)</f>
        <v>27666</v>
      </c>
      <c r="E9" s="526">
        <f t="shared" ref="E9:E41" si="0">D9+C9</f>
        <v>27666</v>
      </c>
      <c r="F9" s="433">
        <f t="shared" ref="F9:K9" si="1">SUM(F10:F40)</f>
        <v>15719</v>
      </c>
      <c r="G9" s="434">
        <f t="shared" si="1"/>
        <v>27686</v>
      </c>
      <c r="H9" s="434">
        <f t="shared" si="1"/>
        <v>43405</v>
      </c>
      <c r="I9" s="433">
        <f t="shared" si="1"/>
        <v>17259</v>
      </c>
      <c r="J9" s="434">
        <f t="shared" si="1"/>
        <v>37228</v>
      </c>
      <c r="K9" s="434">
        <f t="shared" si="1"/>
        <v>54487</v>
      </c>
      <c r="L9" s="422" t="s">
        <v>671</v>
      </c>
      <c r="M9" s="568"/>
      <c r="O9" s="3"/>
      <c r="P9" s="34"/>
      <c r="Q9" s="34"/>
      <c r="AD9" s="2"/>
      <c r="AE9" s="35"/>
    </row>
    <row r="10" spans="1:31" s="639" customFormat="1" ht="29.25" customHeight="1">
      <c r="A10" s="148">
        <v>1</v>
      </c>
      <c r="B10" s="633" t="s">
        <v>384</v>
      </c>
      <c r="C10" s="667">
        <v>0</v>
      </c>
      <c r="D10" s="668">
        <f>60+99+96+108+124+128+182+80+90</f>
        <v>967</v>
      </c>
      <c r="E10" s="669">
        <f t="shared" si="0"/>
        <v>967</v>
      </c>
      <c r="F10" s="667">
        <v>762</v>
      </c>
      <c r="G10" s="668">
        <v>1281</v>
      </c>
      <c r="H10" s="669">
        <f t="shared" ref="H10:H40" si="2">G10+F10</f>
        <v>2043</v>
      </c>
      <c r="I10" s="668">
        <v>767</v>
      </c>
      <c r="J10" s="668">
        <v>1855</v>
      </c>
      <c r="K10" s="669">
        <f t="shared" ref="K10:K40" si="3">J10+I10</f>
        <v>2622</v>
      </c>
      <c r="L10" s="653" t="s">
        <v>1655</v>
      </c>
      <c r="M10" s="883">
        <v>1</v>
      </c>
      <c r="N10" s="670"/>
      <c r="O10" s="671"/>
      <c r="P10" s="672"/>
      <c r="AD10" s="673"/>
      <c r="AE10" s="674"/>
    </row>
    <row r="11" spans="1:31" ht="22.5" customHeight="1">
      <c r="A11" s="147">
        <v>2</v>
      </c>
      <c r="B11" s="240" t="s">
        <v>385</v>
      </c>
      <c r="C11" s="162">
        <v>0</v>
      </c>
      <c r="D11" s="163">
        <f>179</f>
        <v>179</v>
      </c>
      <c r="E11" s="161">
        <f t="shared" si="0"/>
        <v>179</v>
      </c>
      <c r="F11" s="162">
        <v>924</v>
      </c>
      <c r="G11" s="163">
        <v>805</v>
      </c>
      <c r="H11" s="161">
        <f t="shared" si="2"/>
        <v>1729</v>
      </c>
      <c r="I11" s="163">
        <v>1027</v>
      </c>
      <c r="J11" s="163">
        <v>1127</v>
      </c>
      <c r="K11" s="161">
        <f t="shared" si="3"/>
        <v>2154</v>
      </c>
      <c r="L11" s="281" t="s">
        <v>1656</v>
      </c>
      <c r="M11" s="933">
        <v>2</v>
      </c>
      <c r="N11" s="359"/>
      <c r="O11" s="12"/>
      <c r="P11" s="3">
        <f>D9-27666</f>
        <v>0</v>
      </c>
      <c r="Q11" s="3"/>
      <c r="AD11" s="2"/>
      <c r="AE11" s="35"/>
    </row>
    <row r="12" spans="1:31" s="639" customFormat="1" ht="35" customHeight="1">
      <c r="A12" s="148">
        <v>3</v>
      </c>
      <c r="B12" s="633" t="s">
        <v>386</v>
      </c>
      <c r="C12" s="667">
        <v>0</v>
      </c>
      <c r="D12" s="668">
        <f>118+317+11+179+16+240+207+435+115+127+78+174+233+360+115</f>
        <v>2725</v>
      </c>
      <c r="E12" s="669">
        <f t="shared" si="0"/>
        <v>2725</v>
      </c>
      <c r="F12" s="667">
        <v>2791</v>
      </c>
      <c r="G12" s="668">
        <v>2627</v>
      </c>
      <c r="H12" s="669">
        <f t="shared" si="2"/>
        <v>5418</v>
      </c>
      <c r="I12" s="668">
        <v>2844</v>
      </c>
      <c r="J12" s="668">
        <v>4126</v>
      </c>
      <c r="K12" s="669">
        <f t="shared" si="3"/>
        <v>6970</v>
      </c>
      <c r="L12" s="653" t="s">
        <v>1657</v>
      </c>
      <c r="M12" s="883">
        <v>3</v>
      </c>
      <c r="N12" s="670"/>
      <c r="O12" s="675"/>
      <c r="P12"/>
      <c r="AD12" s="673"/>
      <c r="AE12" s="674"/>
    </row>
    <row r="13" spans="1:31" ht="24.75" customHeight="1">
      <c r="A13" s="147">
        <v>4</v>
      </c>
      <c r="B13" s="289" t="s">
        <v>387</v>
      </c>
      <c r="C13" s="162">
        <v>0</v>
      </c>
      <c r="D13" s="163">
        <f>332+80+80+186+142+129+327+150+188+200+105+149+105</f>
        <v>2173</v>
      </c>
      <c r="E13" s="161">
        <f t="shared" si="0"/>
        <v>2173</v>
      </c>
      <c r="F13" s="162">
        <v>448</v>
      </c>
      <c r="G13" s="163">
        <v>2623</v>
      </c>
      <c r="H13" s="161">
        <f t="shared" si="2"/>
        <v>3071</v>
      </c>
      <c r="I13" s="163">
        <v>520</v>
      </c>
      <c r="J13" s="163">
        <v>3014</v>
      </c>
      <c r="K13" s="161">
        <f t="shared" si="3"/>
        <v>3534</v>
      </c>
      <c r="L13" s="281" t="s">
        <v>1658</v>
      </c>
      <c r="M13" s="933">
        <v>4</v>
      </c>
      <c r="N13" s="359"/>
      <c r="O13" s="12"/>
      <c r="P13" s="957"/>
      <c r="AD13" s="2"/>
      <c r="AE13" s="35"/>
    </row>
    <row r="14" spans="1:31" s="639" customFormat="1" ht="42.75" customHeight="1">
      <c r="A14" s="148">
        <v>5</v>
      </c>
      <c r="B14" s="239" t="s">
        <v>388</v>
      </c>
      <c r="C14" s="667">
        <v>0</v>
      </c>
      <c r="D14" s="668">
        <f>190+33+62</f>
        <v>285</v>
      </c>
      <c r="E14" s="669">
        <f t="shared" si="0"/>
        <v>285</v>
      </c>
      <c r="F14" s="667">
        <v>461</v>
      </c>
      <c r="G14" s="668">
        <v>138</v>
      </c>
      <c r="H14" s="669">
        <f t="shared" si="2"/>
        <v>599</v>
      </c>
      <c r="I14" s="668">
        <v>449</v>
      </c>
      <c r="J14" s="668">
        <v>129</v>
      </c>
      <c r="K14" s="669">
        <f t="shared" si="3"/>
        <v>578</v>
      </c>
      <c r="L14" s="653" t="s">
        <v>1659</v>
      </c>
      <c r="M14" s="883">
        <v>5</v>
      </c>
      <c r="N14" s="676"/>
      <c r="O14" s="676"/>
      <c r="P14" s="677"/>
      <c r="AD14" s="673"/>
      <c r="AE14" s="674"/>
    </row>
    <row r="15" spans="1:31" ht="20.25" customHeight="1">
      <c r="A15" s="147">
        <v>6</v>
      </c>
      <c r="B15" s="289" t="s">
        <v>389</v>
      </c>
      <c r="C15" s="162">
        <v>0</v>
      </c>
      <c r="D15" s="163">
        <f>319+30+121+167+152+231+126+281+236+412+200+105+132+59+187+64+107+54+97+107+7+85+58</f>
        <v>3337</v>
      </c>
      <c r="E15" s="161">
        <f t="shared" si="0"/>
        <v>3337</v>
      </c>
      <c r="F15" s="162">
        <v>676</v>
      </c>
      <c r="G15" s="163">
        <v>3224</v>
      </c>
      <c r="H15" s="161">
        <f t="shared" si="2"/>
        <v>3900</v>
      </c>
      <c r="I15" s="163">
        <v>911</v>
      </c>
      <c r="J15" s="163">
        <v>4638</v>
      </c>
      <c r="K15" s="161">
        <f t="shared" si="3"/>
        <v>5549</v>
      </c>
      <c r="L15" s="281" t="s">
        <v>1660</v>
      </c>
      <c r="M15" s="933">
        <v>6</v>
      </c>
      <c r="N15" s="358"/>
      <c r="O15" s="2"/>
      <c r="P15" s="29"/>
      <c r="AD15" s="2"/>
      <c r="AE15" s="35"/>
    </row>
    <row r="16" spans="1:31" s="639" customFormat="1" ht="26.25" customHeight="1">
      <c r="A16" s="148">
        <v>7</v>
      </c>
      <c r="B16" s="633" t="s">
        <v>390</v>
      </c>
      <c r="C16" s="667">
        <v>0</v>
      </c>
      <c r="D16" s="668">
        <f>249+100+89+200+113+115+127+20+83+70+104+72+193+90+71+61+200+69+108+123+72+136+73</f>
        <v>2538</v>
      </c>
      <c r="E16" s="669">
        <f t="shared" si="0"/>
        <v>2538</v>
      </c>
      <c r="F16" s="667">
        <v>1012</v>
      </c>
      <c r="G16" s="668">
        <v>2818</v>
      </c>
      <c r="H16" s="669">
        <f t="shared" si="2"/>
        <v>3830</v>
      </c>
      <c r="I16" s="668">
        <v>1157</v>
      </c>
      <c r="J16" s="668">
        <v>3775</v>
      </c>
      <c r="K16" s="669">
        <f t="shared" si="3"/>
        <v>4932</v>
      </c>
      <c r="L16" s="653" t="s">
        <v>1661</v>
      </c>
      <c r="M16" s="883">
        <v>7</v>
      </c>
      <c r="N16" s="670"/>
      <c r="O16" s="676"/>
      <c r="P16" s="677"/>
      <c r="AD16" s="673"/>
      <c r="AE16" s="674"/>
    </row>
    <row r="17" spans="1:34" ht="29.25" customHeight="1">
      <c r="A17" s="147">
        <v>8</v>
      </c>
      <c r="B17" s="289" t="s">
        <v>391</v>
      </c>
      <c r="C17" s="162">
        <v>0</v>
      </c>
      <c r="D17" s="163">
        <f>73+34</f>
        <v>107</v>
      </c>
      <c r="E17" s="161">
        <f t="shared" si="0"/>
        <v>107</v>
      </c>
      <c r="F17" s="162">
        <v>129</v>
      </c>
      <c r="G17" s="163">
        <v>145</v>
      </c>
      <c r="H17" s="161">
        <f t="shared" si="2"/>
        <v>274</v>
      </c>
      <c r="I17" s="163">
        <v>135</v>
      </c>
      <c r="J17" s="163">
        <v>161</v>
      </c>
      <c r="K17" s="161">
        <f t="shared" si="3"/>
        <v>296</v>
      </c>
      <c r="L17" s="281" t="s">
        <v>1662</v>
      </c>
      <c r="M17" s="933">
        <v>8</v>
      </c>
      <c r="N17" s="359"/>
      <c r="O17" s="11"/>
      <c r="P17" s="29"/>
      <c r="AD17" s="2"/>
      <c r="AE17" s="35"/>
    </row>
    <row r="18" spans="1:34" s="639" customFormat="1" ht="35" customHeight="1">
      <c r="A18" s="148">
        <v>9</v>
      </c>
      <c r="B18" s="633" t="s">
        <v>392</v>
      </c>
      <c r="C18" s="667">
        <v>0</v>
      </c>
      <c r="D18" s="668">
        <f>90+71+44+49+20+75</f>
        <v>349</v>
      </c>
      <c r="E18" s="669">
        <f t="shared" si="0"/>
        <v>349</v>
      </c>
      <c r="F18" s="667">
        <v>41</v>
      </c>
      <c r="G18" s="668">
        <v>486</v>
      </c>
      <c r="H18" s="669">
        <f t="shared" si="2"/>
        <v>527</v>
      </c>
      <c r="I18" s="668">
        <v>50</v>
      </c>
      <c r="J18" s="668">
        <v>705</v>
      </c>
      <c r="K18" s="669">
        <f t="shared" si="3"/>
        <v>755</v>
      </c>
      <c r="L18" s="653" t="s">
        <v>1663</v>
      </c>
      <c r="M18" s="883">
        <v>9</v>
      </c>
      <c r="N18" s="670"/>
      <c r="O18" s="676"/>
      <c r="P18" s="677"/>
      <c r="AD18" s="673"/>
      <c r="AE18" s="674"/>
    </row>
    <row r="19" spans="1:34" ht="30" customHeight="1">
      <c r="A19" s="147">
        <v>10</v>
      </c>
      <c r="B19" s="289" t="s">
        <v>393</v>
      </c>
      <c r="C19" s="162">
        <v>0</v>
      </c>
      <c r="D19" s="163">
        <f>135+225</f>
        <v>360</v>
      </c>
      <c r="E19" s="161">
        <f t="shared" si="0"/>
        <v>360</v>
      </c>
      <c r="F19" s="162">
        <v>142</v>
      </c>
      <c r="G19" s="163">
        <v>219</v>
      </c>
      <c r="H19" s="161">
        <f t="shared" si="2"/>
        <v>361</v>
      </c>
      <c r="I19" s="163">
        <v>173</v>
      </c>
      <c r="J19" s="163">
        <v>303</v>
      </c>
      <c r="K19" s="161">
        <f t="shared" si="3"/>
        <v>476</v>
      </c>
      <c r="L19" s="281" t="s">
        <v>1664</v>
      </c>
      <c r="M19" s="933">
        <v>10</v>
      </c>
      <c r="N19" s="357"/>
      <c r="O19" s="11"/>
      <c r="P19" s="29"/>
      <c r="AD19" s="2"/>
      <c r="AE19" s="35"/>
    </row>
    <row r="20" spans="1:34" s="639" customFormat="1" ht="29.25" customHeight="1">
      <c r="A20" s="148">
        <v>11</v>
      </c>
      <c r="B20" s="633" t="s">
        <v>394</v>
      </c>
      <c r="C20" s="667">
        <v>0</v>
      </c>
      <c r="D20" s="668">
        <v>78</v>
      </c>
      <c r="E20" s="669">
        <f t="shared" si="0"/>
        <v>78</v>
      </c>
      <c r="F20" s="667">
        <v>232</v>
      </c>
      <c r="G20" s="668">
        <v>248</v>
      </c>
      <c r="H20" s="669">
        <f t="shared" si="2"/>
        <v>480</v>
      </c>
      <c r="I20" s="668">
        <v>263</v>
      </c>
      <c r="J20" s="668">
        <v>271</v>
      </c>
      <c r="K20" s="669">
        <f t="shared" si="3"/>
        <v>534</v>
      </c>
      <c r="L20" s="653" t="s">
        <v>1665</v>
      </c>
      <c r="M20" s="883">
        <v>11</v>
      </c>
      <c r="N20" s="678"/>
      <c r="O20" s="676"/>
      <c r="P20" s="677"/>
      <c r="AD20" s="673"/>
      <c r="AE20" s="674"/>
    </row>
    <row r="21" spans="1:34" ht="25.5" customHeight="1">
      <c r="A21" s="147">
        <v>12</v>
      </c>
      <c r="B21" s="289" t="s">
        <v>395</v>
      </c>
      <c r="C21" s="162">
        <v>0</v>
      </c>
      <c r="D21" s="163">
        <f>98+112+79+101+117</f>
        <v>507</v>
      </c>
      <c r="E21" s="161">
        <f t="shared" si="0"/>
        <v>507</v>
      </c>
      <c r="F21" s="162">
        <v>323</v>
      </c>
      <c r="G21" s="163">
        <v>832</v>
      </c>
      <c r="H21" s="161">
        <f t="shared" si="2"/>
        <v>1155</v>
      </c>
      <c r="I21" s="163">
        <v>389</v>
      </c>
      <c r="J21" s="163">
        <v>889</v>
      </c>
      <c r="K21" s="161">
        <f t="shared" si="3"/>
        <v>1278</v>
      </c>
      <c r="L21" s="281" t="s">
        <v>1666</v>
      </c>
      <c r="M21" s="933">
        <v>12</v>
      </c>
      <c r="O21" s="11"/>
      <c r="P21" s="29"/>
      <c r="AD21" s="2"/>
    </row>
    <row r="22" spans="1:34" s="639" customFormat="1" ht="35" customHeight="1">
      <c r="A22" s="148">
        <v>13</v>
      </c>
      <c r="B22" s="633" t="s">
        <v>396</v>
      </c>
      <c r="C22" s="667">
        <v>0</v>
      </c>
      <c r="D22" s="668">
        <f>172+88+147+37+250+82</f>
        <v>776</v>
      </c>
      <c r="E22" s="669">
        <f t="shared" si="0"/>
        <v>776</v>
      </c>
      <c r="F22" s="667">
        <v>879</v>
      </c>
      <c r="G22" s="668">
        <v>720</v>
      </c>
      <c r="H22" s="669">
        <f t="shared" si="2"/>
        <v>1599</v>
      </c>
      <c r="I22" s="668">
        <v>840</v>
      </c>
      <c r="J22" s="668">
        <v>924</v>
      </c>
      <c r="K22" s="669">
        <f t="shared" si="3"/>
        <v>1764</v>
      </c>
      <c r="L22" s="653" t="s">
        <v>1667</v>
      </c>
      <c r="M22" s="883">
        <v>13</v>
      </c>
      <c r="N22" s="676"/>
      <c r="O22" s="676"/>
      <c r="P22" s="677"/>
      <c r="AH22" s="674"/>
    </row>
    <row r="23" spans="1:34" ht="24.75" customHeight="1">
      <c r="A23" s="147">
        <v>14</v>
      </c>
      <c r="B23" s="289" t="s">
        <v>397</v>
      </c>
      <c r="C23" s="162">
        <v>0</v>
      </c>
      <c r="D23" s="163">
        <f>217+30+45+12+97+22+33+131+189+10+106+145+60+77+157+99+75+65+108+101+76+62+115+159+133+35+63</f>
        <v>2422</v>
      </c>
      <c r="E23" s="161">
        <f t="shared" si="0"/>
        <v>2422</v>
      </c>
      <c r="F23" s="162">
        <v>861</v>
      </c>
      <c r="G23" s="163">
        <v>1701</v>
      </c>
      <c r="H23" s="161">
        <f t="shared" si="2"/>
        <v>2562</v>
      </c>
      <c r="I23" s="163">
        <v>994</v>
      </c>
      <c r="J23" s="163">
        <v>2264</v>
      </c>
      <c r="K23" s="161">
        <f t="shared" si="3"/>
        <v>3258</v>
      </c>
      <c r="L23" s="281" t="s">
        <v>1668</v>
      </c>
      <c r="M23" s="933">
        <v>14</v>
      </c>
      <c r="N23" s="359"/>
      <c r="O23" s="359"/>
      <c r="P23" s="30"/>
      <c r="AH23" s="35"/>
    </row>
    <row r="24" spans="1:34" s="639" customFormat="1" ht="32.25" customHeight="1">
      <c r="A24" s="148">
        <v>15</v>
      </c>
      <c r="B24" s="633" t="s">
        <v>398</v>
      </c>
      <c r="C24" s="667">
        <v>0</v>
      </c>
      <c r="D24" s="668">
        <f>253+326+121+350+254+383+628+635+159+239+250+107+169+151+420+153+333+22+68+178+254+137+11+65</f>
        <v>5666</v>
      </c>
      <c r="E24" s="669">
        <f t="shared" si="0"/>
        <v>5666</v>
      </c>
      <c r="F24" s="667">
        <v>3514</v>
      </c>
      <c r="G24" s="668">
        <v>5085</v>
      </c>
      <c r="H24" s="669">
        <f t="shared" si="2"/>
        <v>8599</v>
      </c>
      <c r="I24" s="668">
        <v>4257</v>
      </c>
      <c r="J24" s="668">
        <v>7270</v>
      </c>
      <c r="K24" s="669">
        <f t="shared" si="3"/>
        <v>11527</v>
      </c>
      <c r="L24" s="653" t="s">
        <v>1669</v>
      </c>
      <c r="M24" s="883">
        <v>15</v>
      </c>
      <c r="N24" s="679"/>
      <c r="O24" s="673"/>
      <c r="P24" s="677"/>
      <c r="AH24" s="674"/>
    </row>
    <row r="25" spans="1:34" ht="24" customHeight="1">
      <c r="A25" s="147">
        <v>16</v>
      </c>
      <c r="B25" s="283" t="s">
        <v>399</v>
      </c>
      <c r="C25" s="162">
        <v>0</v>
      </c>
      <c r="D25" s="163">
        <f>160+80+120</f>
        <v>360</v>
      </c>
      <c r="E25" s="163">
        <f t="shared" si="0"/>
        <v>360</v>
      </c>
      <c r="F25" s="162">
        <v>160</v>
      </c>
      <c r="G25" s="163">
        <v>480</v>
      </c>
      <c r="H25" s="161">
        <f t="shared" si="2"/>
        <v>640</v>
      </c>
      <c r="I25" s="162">
        <v>221</v>
      </c>
      <c r="J25" s="163">
        <v>718</v>
      </c>
      <c r="K25" s="161">
        <f t="shared" si="3"/>
        <v>939</v>
      </c>
      <c r="L25" s="437" t="s">
        <v>1670</v>
      </c>
      <c r="M25" s="909">
        <v>16</v>
      </c>
      <c r="N25" s="358"/>
      <c r="O25" s="2"/>
      <c r="P25" s="29"/>
      <c r="AH25" s="35"/>
    </row>
    <row r="26" spans="1:34" s="639" customFormat="1" ht="35" customHeight="1">
      <c r="A26" s="148">
        <v>17</v>
      </c>
      <c r="B26" s="633" t="s">
        <v>400</v>
      </c>
      <c r="C26" s="667">
        <v>0</v>
      </c>
      <c r="D26" s="668">
        <f>80+120</f>
        <v>200</v>
      </c>
      <c r="E26" s="668">
        <f t="shared" si="0"/>
        <v>200</v>
      </c>
      <c r="F26" s="154">
        <v>26</v>
      </c>
      <c r="G26" s="155">
        <v>76</v>
      </c>
      <c r="H26" s="669">
        <f t="shared" si="2"/>
        <v>102</v>
      </c>
      <c r="I26" s="155">
        <v>26</v>
      </c>
      <c r="J26" s="155">
        <v>82</v>
      </c>
      <c r="K26" s="669">
        <f t="shared" si="3"/>
        <v>108</v>
      </c>
      <c r="L26" s="654" t="s">
        <v>1671</v>
      </c>
      <c r="M26" s="24">
        <v>17</v>
      </c>
      <c r="N26" s="670"/>
      <c r="O26" s="676"/>
      <c r="P26" s="677"/>
      <c r="AH26" s="674"/>
    </row>
    <row r="27" spans="1:34" ht="26.25" customHeight="1">
      <c r="A27" s="147">
        <v>18</v>
      </c>
      <c r="B27" s="289" t="s">
        <v>401</v>
      </c>
      <c r="C27" s="162">
        <v>0</v>
      </c>
      <c r="D27" s="535">
        <f>31</f>
        <v>31</v>
      </c>
      <c r="E27" s="161">
        <f t="shared" si="0"/>
        <v>31</v>
      </c>
      <c r="F27" s="156">
        <v>25</v>
      </c>
      <c r="G27" s="157">
        <v>35</v>
      </c>
      <c r="H27" s="161">
        <f t="shared" si="2"/>
        <v>60</v>
      </c>
      <c r="I27" s="157">
        <v>0</v>
      </c>
      <c r="J27" s="157">
        <v>0</v>
      </c>
      <c r="K27" s="161">
        <f t="shared" si="3"/>
        <v>0</v>
      </c>
      <c r="L27" s="437" t="s">
        <v>1672</v>
      </c>
      <c r="M27" s="909">
        <v>18</v>
      </c>
      <c r="N27" s="358"/>
      <c r="O27" s="2"/>
      <c r="P27" s="29"/>
      <c r="AH27" s="35"/>
    </row>
    <row r="28" spans="1:34" s="639" customFormat="1" ht="35" customHeight="1">
      <c r="A28" s="148">
        <v>19</v>
      </c>
      <c r="B28" s="633" t="s">
        <v>419</v>
      </c>
      <c r="C28" s="667">
        <v>0</v>
      </c>
      <c r="D28" s="668">
        <f>100+102+100+100</f>
        <v>402</v>
      </c>
      <c r="E28" s="669">
        <f t="shared" si="0"/>
        <v>402</v>
      </c>
      <c r="F28" s="154">
        <v>361</v>
      </c>
      <c r="G28" s="155">
        <v>636</v>
      </c>
      <c r="H28" s="669">
        <f t="shared" si="2"/>
        <v>997</v>
      </c>
      <c r="I28" s="155">
        <v>320</v>
      </c>
      <c r="J28" s="155">
        <v>805</v>
      </c>
      <c r="K28" s="669">
        <f t="shared" si="3"/>
        <v>1125</v>
      </c>
      <c r="L28" s="654" t="s">
        <v>1673</v>
      </c>
      <c r="M28" s="24">
        <v>19</v>
      </c>
      <c r="N28" s="678"/>
      <c r="O28" s="676"/>
      <c r="P28" s="677"/>
      <c r="AH28" s="674"/>
    </row>
    <row r="29" spans="1:34" ht="25.5" customHeight="1">
      <c r="A29" s="147">
        <v>20</v>
      </c>
      <c r="B29" s="289" t="s">
        <v>420</v>
      </c>
      <c r="C29" s="162">
        <v>0</v>
      </c>
      <c r="D29" s="163">
        <v>61</v>
      </c>
      <c r="E29" s="161">
        <f t="shared" si="0"/>
        <v>61</v>
      </c>
      <c r="F29" s="156">
        <v>98</v>
      </c>
      <c r="G29" s="157">
        <v>94</v>
      </c>
      <c r="H29" s="161">
        <f t="shared" si="2"/>
        <v>192</v>
      </c>
      <c r="I29" s="157">
        <v>98</v>
      </c>
      <c r="J29" s="157">
        <v>94</v>
      </c>
      <c r="K29" s="161">
        <f t="shared" si="3"/>
        <v>192</v>
      </c>
      <c r="L29" s="437" t="s">
        <v>1674</v>
      </c>
      <c r="M29" s="909">
        <v>20</v>
      </c>
      <c r="P29" s="111"/>
      <c r="Q29" s="111"/>
      <c r="R29" s="111"/>
      <c r="S29" s="111"/>
    </row>
    <row r="30" spans="1:34" s="639" customFormat="1" ht="29.25" customHeight="1">
      <c r="A30" s="148">
        <v>21</v>
      </c>
      <c r="B30" s="633" t="s">
        <v>404</v>
      </c>
      <c r="C30" s="667">
        <v>0</v>
      </c>
      <c r="D30" s="668">
        <v>120</v>
      </c>
      <c r="E30" s="669">
        <f t="shared" si="0"/>
        <v>120</v>
      </c>
      <c r="F30" s="154">
        <v>77</v>
      </c>
      <c r="G30" s="155">
        <v>123</v>
      </c>
      <c r="H30" s="669">
        <f t="shared" si="2"/>
        <v>200</v>
      </c>
      <c r="I30" s="155">
        <v>77</v>
      </c>
      <c r="J30" s="155">
        <v>123</v>
      </c>
      <c r="K30" s="669">
        <f t="shared" si="3"/>
        <v>200</v>
      </c>
      <c r="L30" s="654" t="s">
        <v>1675</v>
      </c>
      <c r="M30" s="24">
        <v>21</v>
      </c>
      <c r="O30" s="676"/>
      <c r="P30" s="701"/>
      <c r="Q30" s="701"/>
      <c r="R30" s="701"/>
      <c r="S30" s="701"/>
    </row>
    <row r="31" spans="1:34" ht="31.5" customHeight="1">
      <c r="A31" s="147">
        <v>22</v>
      </c>
      <c r="B31" s="289" t="s">
        <v>421</v>
      </c>
      <c r="C31" s="162">
        <v>0</v>
      </c>
      <c r="D31" s="163">
        <f>81</f>
        <v>81</v>
      </c>
      <c r="E31" s="161">
        <f t="shared" si="0"/>
        <v>81</v>
      </c>
      <c r="F31" s="156">
        <v>108</v>
      </c>
      <c r="G31" s="157">
        <v>135</v>
      </c>
      <c r="H31" s="161">
        <f t="shared" si="2"/>
        <v>243</v>
      </c>
      <c r="I31" s="157">
        <v>112</v>
      </c>
      <c r="J31" s="157">
        <v>147</v>
      </c>
      <c r="K31" s="161">
        <f t="shared" si="3"/>
        <v>259</v>
      </c>
      <c r="L31" s="437" t="s">
        <v>1676</v>
      </c>
      <c r="M31" s="909">
        <v>22</v>
      </c>
      <c r="N31" s="357"/>
      <c r="O31" s="357"/>
      <c r="P31" s="589"/>
      <c r="Q31" s="111"/>
      <c r="R31" s="111"/>
      <c r="S31" s="111"/>
    </row>
    <row r="32" spans="1:34" s="639" customFormat="1" ht="31.5" customHeight="1">
      <c r="A32" s="148">
        <v>23</v>
      </c>
      <c r="B32" s="633" t="s">
        <v>422</v>
      </c>
      <c r="C32" s="667">
        <v>0</v>
      </c>
      <c r="D32" s="668">
        <v>53</v>
      </c>
      <c r="E32" s="669">
        <f t="shared" si="0"/>
        <v>53</v>
      </c>
      <c r="F32" s="154">
        <v>112</v>
      </c>
      <c r="G32" s="155">
        <v>28</v>
      </c>
      <c r="H32" s="669">
        <f t="shared" si="2"/>
        <v>140</v>
      </c>
      <c r="I32" s="155">
        <v>112</v>
      </c>
      <c r="J32" s="155">
        <v>28</v>
      </c>
      <c r="K32" s="669">
        <f t="shared" si="3"/>
        <v>140</v>
      </c>
      <c r="L32" s="654" t="s">
        <v>1677</v>
      </c>
      <c r="M32" s="24">
        <v>23</v>
      </c>
      <c r="N32" s="678"/>
      <c r="O32" s="676"/>
      <c r="P32" s="589"/>
      <c r="Q32" s="701"/>
      <c r="R32" s="701"/>
      <c r="S32" s="701"/>
    </row>
    <row r="33" spans="1:16" ht="30" customHeight="1">
      <c r="A33" s="147">
        <v>24</v>
      </c>
      <c r="B33" s="289" t="s">
        <v>423</v>
      </c>
      <c r="C33" s="162">
        <v>0</v>
      </c>
      <c r="D33" s="163">
        <v>95</v>
      </c>
      <c r="E33" s="161">
        <f t="shared" si="0"/>
        <v>95</v>
      </c>
      <c r="F33" s="156">
        <v>61</v>
      </c>
      <c r="G33" s="157">
        <v>60</v>
      </c>
      <c r="H33" s="161">
        <f t="shared" si="2"/>
        <v>121</v>
      </c>
      <c r="I33" s="157">
        <v>61</v>
      </c>
      <c r="J33" s="157">
        <v>60</v>
      </c>
      <c r="K33" s="161">
        <f t="shared" si="3"/>
        <v>121</v>
      </c>
      <c r="L33" s="437" t="s">
        <v>1678</v>
      </c>
      <c r="M33" s="909">
        <v>24</v>
      </c>
      <c r="N33" s="357"/>
      <c r="O33" s="11"/>
      <c r="P33" s="29"/>
    </row>
    <row r="34" spans="1:16" s="639" customFormat="1" ht="30.75" customHeight="1">
      <c r="A34" s="148">
        <v>25</v>
      </c>
      <c r="B34" s="633" t="s">
        <v>408</v>
      </c>
      <c r="C34" s="667">
        <v>0</v>
      </c>
      <c r="D34" s="668">
        <f>160+300+200+142+120</f>
        <v>922</v>
      </c>
      <c r="E34" s="669">
        <f t="shared" si="0"/>
        <v>922</v>
      </c>
      <c r="F34" s="154">
        <v>177</v>
      </c>
      <c r="G34" s="155">
        <v>734</v>
      </c>
      <c r="H34" s="669">
        <f t="shared" si="2"/>
        <v>911</v>
      </c>
      <c r="I34" s="155">
        <v>225</v>
      </c>
      <c r="J34" s="155">
        <v>1100</v>
      </c>
      <c r="K34" s="669">
        <f t="shared" si="3"/>
        <v>1325</v>
      </c>
      <c r="L34" s="654" t="s">
        <v>1679</v>
      </c>
      <c r="M34" s="24">
        <v>25</v>
      </c>
      <c r="N34" s="678"/>
      <c r="O34" s="676"/>
      <c r="P34" s="677"/>
    </row>
    <row r="35" spans="1:16" ht="42" customHeight="1">
      <c r="A35" s="147">
        <v>26</v>
      </c>
      <c r="B35" s="289" t="s">
        <v>409</v>
      </c>
      <c r="C35" s="162">
        <v>0</v>
      </c>
      <c r="D35" s="163">
        <f>119+200</f>
        <v>319</v>
      </c>
      <c r="E35" s="161">
        <f t="shared" si="0"/>
        <v>319</v>
      </c>
      <c r="F35" s="156">
        <v>110</v>
      </c>
      <c r="G35" s="157">
        <v>175</v>
      </c>
      <c r="H35" s="161">
        <f t="shared" si="2"/>
        <v>285</v>
      </c>
      <c r="I35" s="157">
        <v>159</v>
      </c>
      <c r="J35" s="157">
        <v>304</v>
      </c>
      <c r="K35" s="161">
        <f t="shared" si="3"/>
        <v>463</v>
      </c>
      <c r="L35" s="437" t="s">
        <v>1680</v>
      </c>
      <c r="M35" s="909">
        <v>26</v>
      </c>
      <c r="P35" s="29"/>
    </row>
    <row r="36" spans="1:16" s="639" customFormat="1" ht="29.25" customHeight="1">
      <c r="A36" s="148">
        <v>27</v>
      </c>
      <c r="B36" s="633" t="s">
        <v>410</v>
      </c>
      <c r="C36" s="667">
        <v>0</v>
      </c>
      <c r="D36" s="668">
        <f>161+120+102+89+11+80+70+80+100+80+84+133+61</f>
        <v>1171</v>
      </c>
      <c r="E36" s="669">
        <f t="shared" si="0"/>
        <v>1171</v>
      </c>
      <c r="F36" s="154">
        <v>671</v>
      </c>
      <c r="G36" s="155">
        <v>1539</v>
      </c>
      <c r="H36" s="669">
        <f t="shared" si="2"/>
        <v>2210</v>
      </c>
      <c r="I36" s="155">
        <v>508</v>
      </c>
      <c r="J36" s="155">
        <v>1637</v>
      </c>
      <c r="K36" s="669">
        <f t="shared" si="3"/>
        <v>2145</v>
      </c>
      <c r="L36" s="654" t="s">
        <v>1681</v>
      </c>
      <c r="M36" s="24">
        <v>27</v>
      </c>
      <c r="N36" s="678"/>
      <c r="O36" s="676"/>
      <c r="P36" s="677"/>
    </row>
    <row r="37" spans="1:16" ht="36.75" customHeight="1">
      <c r="A37" s="147">
        <v>28</v>
      </c>
      <c r="B37" s="289" t="s">
        <v>411</v>
      </c>
      <c r="C37" s="162">
        <v>0</v>
      </c>
      <c r="D37" s="163">
        <f>81+54</f>
        <v>135</v>
      </c>
      <c r="E37" s="161">
        <f t="shared" si="0"/>
        <v>135</v>
      </c>
      <c r="F37" s="156">
        <v>85</v>
      </c>
      <c r="G37" s="157">
        <v>15</v>
      </c>
      <c r="H37" s="161">
        <f t="shared" si="2"/>
        <v>100</v>
      </c>
      <c r="I37" s="157">
        <v>95</v>
      </c>
      <c r="J37" s="157">
        <v>23</v>
      </c>
      <c r="K37" s="161">
        <f t="shared" si="3"/>
        <v>118</v>
      </c>
      <c r="L37" s="437" t="s">
        <v>1682</v>
      </c>
      <c r="M37" s="909">
        <v>28</v>
      </c>
      <c r="N37" s="357"/>
      <c r="O37" s="11"/>
      <c r="P37" s="29"/>
    </row>
    <row r="38" spans="1:16" s="639" customFormat="1" ht="39" customHeight="1">
      <c r="A38" s="148">
        <v>29</v>
      </c>
      <c r="B38" s="633" t="s">
        <v>412</v>
      </c>
      <c r="C38" s="667">
        <v>0</v>
      </c>
      <c r="D38" s="681">
        <v>103</v>
      </c>
      <c r="E38" s="669">
        <f t="shared" si="0"/>
        <v>103</v>
      </c>
      <c r="F38" s="682">
        <v>64</v>
      </c>
      <c r="G38" s="683">
        <v>41</v>
      </c>
      <c r="H38" s="669">
        <f t="shared" si="2"/>
        <v>105</v>
      </c>
      <c r="I38" s="683">
        <v>64</v>
      </c>
      <c r="J38" s="683">
        <v>41</v>
      </c>
      <c r="K38" s="669">
        <f t="shared" si="3"/>
        <v>105</v>
      </c>
      <c r="L38" s="654" t="s">
        <v>1683</v>
      </c>
      <c r="M38" s="24">
        <v>29</v>
      </c>
      <c r="N38" s="678"/>
      <c r="O38" s="676"/>
    </row>
    <row r="39" spans="1:16" ht="31.5" customHeight="1">
      <c r="A39" s="147">
        <v>30</v>
      </c>
      <c r="B39" s="289" t="s">
        <v>413</v>
      </c>
      <c r="C39" s="162">
        <v>0</v>
      </c>
      <c r="D39" s="165">
        <f>56+110+76</f>
        <v>242</v>
      </c>
      <c r="E39" s="161">
        <f t="shared" si="0"/>
        <v>242</v>
      </c>
      <c r="F39" s="167">
        <v>343</v>
      </c>
      <c r="G39" s="168">
        <v>461</v>
      </c>
      <c r="H39" s="161">
        <f t="shared" si="2"/>
        <v>804</v>
      </c>
      <c r="I39" s="168">
        <v>345</v>
      </c>
      <c r="J39" s="168">
        <v>476</v>
      </c>
      <c r="K39" s="161">
        <f t="shared" si="3"/>
        <v>821</v>
      </c>
      <c r="L39" s="437" t="s">
        <v>1684</v>
      </c>
      <c r="M39" s="909">
        <v>30</v>
      </c>
      <c r="N39" s="357"/>
      <c r="O39" s="357"/>
      <c r="P39" s="30"/>
    </row>
    <row r="40" spans="1:16" s="639" customFormat="1" ht="35" customHeight="1">
      <c r="A40" s="148">
        <v>31</v>
      </c>
      <c r="B40" s="633" t="s">
        <v>414</v>
      </c>
      <c r="C40" s="680">
        <v>0</v>
      </c>
      <c r="D40" s="681">
        <f>170+55</f>
        <v>225</v>
      </c>
      <c r="E40" s="669">
        <f t="shared" si="0"/>
        <v>225</v>
      </c>
      <c r="F40" s="667">
        <v>46</v>
      </c>
      <c r="G40" s="668">
        <v>102</v>
      </c>
      <c r="H40" s="669">
        <f t="shared" si="2"/>
        <v>148</v>
      </c>
      <c r="I40" s="667">
        <v>60</v>
      </c>
      <c r="J40" s="668">
        <v>139</v>
      </c>
      <c r="K40" s="669">
        <f t="shared" si="3"/>
        <v>199</v>
      </c>
      <c r="L40" s="654" t="s">
        <v>1685</v>
      </c>
      <c r="M40" s="24">
        <v>31</v>
      </c>
      <c r="O40" s="676"/>
      <c r="P40" s="677"/>
    </row>
    <row r="41" spans="1:16" ht="30" customHeight="1">
      <c r="A41" s="160">
        <v>32</v>
      </c>
      <c r="B41" s="291" t="s">
        <v>992</v>
      </c>
      <c r="C41" s="173">
        <v>0</v>
      </c>
      <c r="D41" s="204">
        <f>95+117+97+80+132+156</f>
        <v>677</v>
      </c>
      <c r="E41" s="234">
        <f t="shared" si="0"/>
        <v>677</v>
      </c>
      <c r="F41" s="1039">
        <v>0</v>
      </c>
      <c r="G41" s="1040">
        <v>0</v>
      </c>
      <c r="H41" s="1070">
        <v>0</v>
      </c>
      <c r="I41" s="1039">
        <v>0</v>
      </c>
      <c r="J41" s="1040">
        <v>0</v>
      </c>
      <c r="K41" s="1070">
        <v>0</v>
      </c>
      <c r="L41" s="1034" t="s">
        <v>1686</v>
      </c>
      <c r="M41" s="910">
        <v>32</v>
      </c>
      <c r="O41" s="11"/>
      <c r="P41" s="29"/>
    </row>
    <row r="42" spans="1:16" ht="18" customHeight="1">
      <c r="A42" s="1549" t="s">
        <v>758</v>
      </c>
      <c r="B42" s="1549"/>
      <c r="C42" s="1549"/>
      <c r="D42" s="1549"/>
      <c r="E42" s="442"/>
      <c r="F42" s="442"/>
      <c r="G42" s="442"/>
      <c r="H42" s="442"/>
      <c r="I42" s="442"/>
      <c r="J42" s="1270" t="s">
        <v>1603</v>
      </c>
      <c r="K42" s="1270"/>
      <c r="L42" s="1270"/>
      <c r="M42" s="1270"/>
      <c r="O42" s="2"/>
      <c r="P42" s="29"/>
    </row>
    <row r="43" spans="1:16" ht="18" customHeight="1">
      <c r="O43" s="2"/>
      <c r="P43" s="29"/>
    </row>
    <row r="44" spans="1:16" ht="18" customHeight="1">
      <c r="O44" s="2"/>
      <c r="P44" s="29"/>
    </row>
    <row r="45" spans="1:16">
      <c r="O45" s="2"/>
      <c r="P45" s="29"/>
    </row>
    <row r="46" spans="1:16">
      <c r="O46" s="2"/>
      <c r="P46" s="29"/>
    </row>
    <row r="47" spans="1:16">
      <c r="O47" s="2"/>
      <c r="P47" s="29"/>
    </row>
    <row r="48" spans="1:16">
      <c r="O48" s="2"/>
      <c r="P48" s="29"/>
    </row>
    <row r="49" spans="15:22">
      <c r="O49" s="2"/>
      <c r="P49" s="29"/>
    </row>
    <row r="50" spans="15:22">
      <c r="O50" s="2"/>
      <c r="P50" s="29"/>
    </row>
    <row r="51" spans="15:22">
      <c r="O51" s="2"/>
      <c r="P51" s="29"/>
    </row>
    <row r="52" spans="15:22">
      <c r="O52" s="2"/>
      <c r="P52" s="29"/>
    </row>
    <row r="53" spans="15:22">
      <c r="O53" s="2"/>
      <c r="P53" s="29"/>
    </row>
    <row r="54" spans="15:22">
      <c r="O54" s="2"/>
      <c r="P54" s="29"/>
    </row>
    <row r="55" spans="15:22">
      <c r="O55" s="2"/>
      <c r="P55" s="29"/>
    </row>
    <row r="56" spans="15:22">
      <c r="O56" s="2"/>
      <c r="P56" s="29"/>
      <c r="R56" s="2"/>
      <c r="S56" s="29"/>
      <c r="U56" s="2"/>
      <c r="V56" s="29"/>
    </row>
    <row r="57" spans="15:22">
      <c r="O57" s="2"/>
      <c r="P57" s="29"/>
      <c r="R57" s="2"/>
      <c r="S57" s="29"/>
      <c r="U57" s="2"/>
      <c r="V57" s="29"/>
    </row>
    <row r="58" spans="15:22">
      <c r="O58" s="2"/>
      <c r="P58" s="29"/>
      <c r="R58" s="2"/>
      <c r="S58" s="29"/>
      <c r="U58" s="2"/>
      <c r="V58" s="29"/>
    </row>
    <row r="59" spans="15:22">
      <c r="O59" s="2"/>
      <c r="P59" s="29"/>
      <c r="R59" s="2"/>
      <c r="S59" s="29"/>
      <c r="U59" s="2"/>
      <c r="V59" s="29"/>
    </row>
    <row r="60" spans="15:22">
      <c r="O60" s="2"/>
      <c r="P60" s="29"/>
      <c r="R60" s="2"/>
      <c r="S60" s="29"/>
      <c r="U60" s="2"/>
      <c r="V60" s="29"/>
    </row>
    <row r="61" spans="15:22">
      <c r="O61" s="2"/>
      <c r="P61" s="29"/>
      <c r="R61" s="2"/>
      <c r="S61" s="29"/>
      <c r="U61" s="2"/>
      <c r="V61" s="29"/>
    </row>
    <row r="62" spans="15:22">
      <c r="O62" s="2"/>
      <c r="P62" s="29"/>
      <c r="R62" s="2"/>
      <c r="S62" s="29"/>
      <c r="U62" s="2"/>
      <c r="V62" s="29"/>
    </row>
    <row r="63" spans="15:22">
      <c r="O63" s="2"/>
      <c r="P63" s="29"/>
      <c r="R63" s="2"/>
      <c r="S63" s="29"/>
      <c r="U63" s="2"/>
      <c r="V63" s="29"/>
    </row>
    <row r="64" spans="15:22">
      <c r="O64" s="2"/>
      <c r="P64" s="29"/>
      <c r="R64" s="2"/>
      <c r="S64" s="29"/>
      <c r="U64" s="2"/>
      <c r="V64" s="29"/>
    </row>
    <row r="65" spans="15:22">
      <c r="O65" s="2"/>
      <c r="P65" s="29"/>
      <c r="R65" s="2"/>
      <c r="S65" s="29"/>
      <c r="U65" s="2"/>
      <c r="V65" s="29"/>
    </row>
    <row r="66" spans="15:22">
      <c r="O66" s="2"/>
      <c r="P66" s="29"/>
      <c r="R66" s="2"/>
      <c r="S66" s="29"/>
      <c r="U66" s="2"/>
      <c r="V66" s="29"/>
    </row>
    <row r="67" spans="15:22">
      <c r="O67" s="2"/>
      <c r="P67" s="29"/>
      <c r="R67" s="2"/>
      <c r="S67" s="29"/>
      <c r="U67" s="2"/>
      <c r="V67" s="29"/>
    </row>
    <row r="68" spans="15:22">
      <c r="O68" s="2"/>
      <c r="P68" s="29"/>
      <c r="R68" s="2"/>
      <c r="S68" s="29"/>
      <c r="U68" s="2"/>
      <c r="V68" s="29"/>
    </row>
    <row r="69" spans="15:22">
      <c r="O69" s="2"/>
      <c r="P69" s="29"/>
      <c r="R69" s="2"/>
      <c r="S69" s="29"/>
      <c r="U69" s="2"/>
      <c r="V69" s="29"/>
    </row>
    <row r="70" spans="15:22">
      <c r="O70" s="2"/>
      <c r="P70" s="29"/>
      <c r="R70" s="2"/>
      <c r="S70" s="29"/>
      <c r="U70" s="2"/>
      <c r="V70" s="29"/>
    </row>
    <row r="71" spans="15:22">
      <c r="O71" s="2"/>
      <c r="P71" s="29"/>
      <c r="R71" s="2"/>
      <c r="S71" s="29"/>
      <c r="U71" s="2"/>
      <c r="V71" s="29"/>
    </row>
    <row r="72" spans="15:22">
      <c r="O72" s="2"/>
      <c r="P72" s="29"/>
      <c r="R72" s="2"/>
      <c r="S72" s="29"/>
      <c r="U72" s="2"/>
      <c r="V72" s="29"/>
    </row>
    <row r="73" spans="15:22">
      <c r="O73" s="2"/>
      <c r="P73" s="29"/>
      <c r="R73" s="2"/>
      <c r="S73" s="29"/>
      <c r="U73" s="2"/>
      <c r="V73" s="29"/>
    </row>
    <row r="74" spans="15:22">
      <c r="O74" s="2"/>
      <c r="P74" s="29"/>
      <c r="R74" s="2"/>
      <c r="S74" s="29"/>
      <c r="U74" s="2"/>
      <c r="V74" s="29"/>
    </row>
    <row r="75" spans="15:22">
      <c r="O75" s="2"/>
      <c r="P75" s="29"/>
      <c r="R75" s="2"/>
      <c r="S75" s="29"/>
      <c r="U75" s="2"/>
      <c r="V75" s="29"/>
    </row>
    <row r="76" spans="15:22">
      <c r="O76" s="2"/>
      <c r="P76" s="29"/>
      <c r="R76" s="2"/>
      <c r="S76" s="29"/>
      <c r="U76" s="2"/>
      <c r="V76" s="29"/>
    </row>
    <row r="77" spans="15:22">
      <c r="O77" s="2"/>
      <c r="P77" s="29"/>
      <c r="R77" s="2"/>
      <c r="S77" s="29"/>
      <c r="U77" s="2"/>
      <c r="V77" s="29"/>
    </row>
    <row r="78" spans="15:22">
      <c r="O78" s="2"/>
      <c r="P78" s="29"/>
      <c r="R78" s="2"/>
      <c r="S78" s="29"/>
      <c r="U78" s="2"/>
      <c r="V78" s="29"/>
    </row>
    <row r="79" spans="15:22">
      <c r="O79" s="2"/>
      <c r="P79" s="29"/>
      <c r="R79" s="2"/>
      <c r="S79" s="29"/>
      <c r="U79" s="2"/>
      <c r="V79" s="29"/>
    </row>
    <row r="80" spans="15:22">
      <c r="O80" s="2"/>
      <c r="P80" s="29"/>
      <c r="R80" s="2"/>
      <c r="S80" s="29"/>
      <c r="U80" s="2"/>
      <c r="V80" s="29"/>
    </row>
    <row r="81" spans="15:22">
      <c r="O81" s="2"/>
      <c r="P81" s="29"/>
      <c r="R81" s="2"/>
      <c r="S81" s="29"/>
      <c r="U81" s="2"/>
      <c r="V81" s="29"/>
    </row>
    <row r="82" spans="15:22">
      <c r="O82" s="2"/>
      <c r="P82" s="29"/>
      <c r="R82" s="2"/>
      <c r="S82" s="29"/>
      <c r="U82" s="2"/>
      <c r="V82" s="29"/>
    </row>
    <row r="83" spans="15:22">
      <c r="O83" s="2"/>
      <c r="P83" s="29"/>
      <c r="R83" s="2"/>
      <c r="S83" s="29"/>
      <c r="U83" s="2"/>
      <c r="V83" s="29"/>
    </row>
    <row r="84" spans="15:22">
      <c r="O84" s="2"/>
      <c r="P84" s="29"/>
      <c r="R84" s="2"/>
      <c r="S84" s="29"/>
      <c r="U84" s="2"/>
      <c r="V84" s="29"/>
    </row>
    <row r="85" spans="15:22">
      <c r="O85" s="2"/>
      <c r="P85" s="29"/>
      <c r="R85" s="2"/>
      <c r="S85" s="29"/>
      <c r="U85" s="2"/>
      <c r="V85" s="29"/>
    </row>
    <row r="86" spans="15:22">
      <c r="O86" s="2"/>
      <c r="P86" s="29"/>
      <c r="R86" s="2"/>
      <c r="S86" s="29"/>
      <c r="U86" s="2"/>
      <c r="V86" s="29"/>
    </row>
    <row r="87" spans="15:22">
      <c r="O87" s="2"/>
      <c r="P87" s="29"/>
      <c r="R87" s="2"/>
      <c r="S87" s="29"/>
      <c r="U87" s="2"/>
      <c r="V87" s="29"/>
    </row>
    <row r="88" spans="15:22">
      <c r="O88" s="2"/>
      <c r="P88" s="29"/>
      <c r="R88" s="2"/>
      <c r="S88" s="29"/>
      <c r="U88" s="2"/>
      <c r="V88" s="29"/>
    </row>
    <row r="89" spans="15:22">
      <c r="O89" s="2"/>
      <c r="P89" s="29"/>
      <c r="R89" s="2"/>
      <c r="S89" s="29"/>
      <c r="U89" s="2"/>
      <c r="V89" s="29"/>
    </row>
    <row r="90" spans="15:22">
      <c r="O90" s="2"/>
      <c r="P90" s="29"/>
      <c r="R90" s="2"/>
      <c r="S90" s="29"/>
      <c r="U90" s="2"/>
      <c r="V90" s="29"/>
    </row>
    <row r="91" spans="15:22">
      <c r="O91" s="2"/>
      <c r="P91" s="29"/>
      <c r="R91" s="2"/>
      <c r="S91" s="29"/>
      <c r="U91" s="2"/>
      <c r="V91" s="29"/>
    </row>
    <row r="92" spans="15:22">
      <c r="O92" s="2"/>
      <c r="P92" s="29"/>
      <c r="R92" s="2"/>
      <c r="S92" s="29"/>
      <c r="U92" s="2"/>
      <c r="V92" s="29"/>
    </row>
    <row r="93" spans="15:22">
      <c r="O93" s="2"/>
      <c r="P93" s="29"/>
      <c r="R93" s="2"/>
      <c r="S93" s="29"/>
      <c r="U93" s="2"/>
      <c r="V93" s="29"/>
    </row>
    <row r="94" spans="15:22">
      <c r="O94" s="2"/>
      <c r="P94" s="29"/>
      <c r="R94" s="2"/>
      <c r="S94" s="29"/>
      <c r="U94" s="2"/>
      <c r="V94" s="29"/>
    </row>
    <row r="95" spans="15:22">
      <c r="O95" s="2"/>
      <c r="P95" s="29"/>
      <c r="R95" s="2"/>
      <c r="S95" s="29"/>
      <c r="U95" s="2"/>
      <c r="V95" s="29"/>
    </row>
    <row r="96" spans="15:22">
      <c r="O96" s="2"/>
      <c r="P96" s="29"/>
      <c r="R96" s="2"/>
      <c r="S96" s="29"/>
      <c r="U96" s="2"/>
      <c r="V96" s="29"/>
    </row>
  </sheetData>
  <mergeCells count="16">
    <mergeCell ref="N8:P8"/>
    <mergeCell ref="A42:D42"/>
    <mergeCell ref="J42:M42"/>
    <mergeCell ref="A1:M1"/>
    <mergeCell ref="A2:M2"/>
    <mergeCell ref="A3:M3"/>
    <mergeCell ref="A4:A8"/>
    <mergeCell ref="B4:B8"/>
    <mergeCell ref="C4:E4"/>
    <mergeCell ref="F4:H4"/>
    <mergeCell ref="I4:K4"/>
    <mergeCell ref="L4:L8"/>
    <mergeCell ref="M4:M8"/>
    <mergeCell ref="C5:E5"/>
    <mergeCell ref="F5:H5"/>
    <mergeCell ref="I5:K5"/>
  </mergeCells>
  <printOptions horizontalCentered="1"/>
  <pageMargins left="0" right="0" top="0.06" bottom="0.6" header="0.03" footer="0.39370078740157499"/>
  <pageSetup paperSize="9" scale="70" orientation="portrait" r:id="rId1"/>
  <headerFooter>
    <oddFooter>&amp;L&amp;"Times New Roman,Regular"&amp;10    Afghanistan Statistical Yearbook 2023-24&amp;R&amp;"Times New Roman,Regular"&amp;10          د ۱۴۰۲ احصایيوي کالنۍ  /سالنامه احصائیوی ۱۴۰۲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tabColor theme="0"/>
  </sheetPr>
  <dimension ref="A1:AD84"/>
  <sheetViews>
    <sheetView view="pageBreakPreview" topLeftCell="A3" zoomScale="130" zoomScaleSheetLayoutView="130" workbookViewId="0">
      <selection activeCell="A3" sqref="A3:M3"/>
    </sheetView>
  </sheetViews>
  <sheetFormatPr baseColWidth="10" defaultColWidth="8.83203125" defaultRowHeight="15"/>
  <cols>
    <col min="1" max="1" width="3.5" customWidth="1"/>
    <col min="2" max="2" width="23" style="447" customWidth="1"/>
    <col min="3" max="3" width="7.1640625" style="100" customWidth="1"/>
    <col min="4" max="4" width="7.5" style="100" customWidth="1"/>
    <col min="5" max="5" width="9" style="100" customWidth="1"/>
    <col min="6" max="6" width="7.33203125" style="100" customWidth="1"/>
    <col min="7" max="7" width="7.83203125" style="100" customWidth="1"/>
    <col min="8" max="8" width="8.83203125" style="100" customWidth="1"/>
    <col min="9" max="9" width="7.33203125" style="100" bestFit="1" customWidth="1"/>
    <col min="10" max="10" width="7.33203125" style="100" customWidth="1"/>
    <col min="11" max="11" width="9" style="100" customWidth="1"/>
    <col min="12" max="12" width="24.5" style="100" customWidth="1"/>
    <col min="13" max="13" width="3" style="100" customWidth="1"/>
    <col min="15" max="15" width="8.83203125" customWidth="1"/>
    <col min="16" max="16" width="10" bestFit="1" customWidth="1"/>
    <col min="17" max="18" width="9.5" bestFit="1" customWidth="1"/>
  </cols>
  <sheetData>
    <row r="1" spans="1:17" ht="20" hidden="1" customHeight="1">
      <c r="A1" s="1566" t="s">
        <v>2195</v>
      </c>
      <c r="B1" s="1566"/>
      <c r="C1" s="1566"/>
      <c r="D1" s="1566"/>
      <c r="E1" s="1566"/>
      <c r="F1" s="1566"/>
      <c r="G1" s="1566"/>
      <c r="H1" s="1566"/>
      <c r="I1" s="1566"/>
      <c r="J1" s="1566"/>
      <c r="K1" s="1566"/>
      <c r="L1" s="1566"/>
      <c r="M1" s="1566"/>
      <c r="N1" s="111"/>
      <c r="O1" s="111"/>
      <c r="P1" s="111"/>
    </row>
    <row r="2" spans="1:17" ht="20" hidden="1" customHeight="1">
      <c r="A2" s="1443" t="s">
        <v>2196</v>
      </c>
      <c r="B2" s="1443"/>
      <c r="C2" s="1443"/>
      <c r="D2" s="1443"/>
      <c r="E2" s="1443"/>
      <c r="F2" s="1443"/>
      <c r="G2" s="1443"/>
      <c r="H2" s="1443"/>
      <c r="I2" s="1443"/>
      <c r="J2" s="1443"/>
      <c r="K2" s="1443"/>
      <c r="L2" s="1443"/>
      <c r="M2" s="1443"/>
      <c r="N2" s="111"/>
      <c r="O2" s="111"/>
      <c r="P2" s="111"/>
    </row>
    <row r="3" spans="1:17" ht="17.25" customHeight="1">
      <c r="A3" s="1521" t="s">
        <v>2194</v>
      </c>
      <c r="B3" s="1521"/>
      <c r="C3" s="1521"/>
      <c r="D3" s="1521"/>
      <c r="E3" s="1521"/>
      <c r="F3" s="1521"/>
      <c r="G3" s="1521"/>
      <c r="H3" s="1521"/>
      <c r="I3" s="1521"/>
      <c r="J3" s="1521"/>
      <c r="K3" s="1521"/>
      <c r="L3" s="1521"/>
      <c r="M3" s="1521"/>
      <c r="N3" s="111"/>
      <c r="O3" s="111"/>
      <c r="P3" s="111"/>
    </row>
    <row r="4" spans="1:17" ht="20" customHeight="1">
      <c r="A4" s="1327" t="s">
        <v>621</v>
      </c>
      <c r="B4" s="1567" t="s">
        <v>1598</v>
      </c>
      <c r="C4" s="1570">
        <v>1402</v>
      </c>
      <c r="D4" s="1571"/>
      <c r="E4" s="1572"/>
      <c r="F4" s="1570">
        <v>1401</v>
      </c>
      <c r="G4" s="1571"/>
      <c r="H4" s="1572"/>
      <c r="I4" s="1570">
        <v>1400</v>
      </c>
      <c r="J4" s="1571"/>
      <c r="K4" s="1572"/>
      <c r="L4" s="1343" t="s">
        <v>1597</v>
      </c>
      <c r="M4" s="1563" t="s">
        <v>727</v>
      </c>
    </row>
    <row r="5" spans="1:17" ht="20" customHeight="1">
      <c r="A5" s="1328"/>
      <c r="B5" s="1568"/>
      <c r="C5" s="1573" t="s">
        <v>772</v>
      </c>
      <c r="D5" s="1574"/>
      <c r="E5" s="1575"/>
      <c r="F5" s="1573" t="s">
        <v>725</v>
      </c>
      <c r="G5" s="1574"/>
      <c r="H5" s="1575"/>
      <c r="I5" s="1573" t="s">
        <v>726</v>
      </c>
      <c r="J5" s="1574"/>
      <c r="K5" s="1575"/>
      <c r="L5" s="1266"/>
      <c r="M5" s="1564"/>
    </row>
    <row r="6" spans="1:17" ht="20" customHeight="1">
      <c r="A6" s="1328"/>
      <c r="B6" s="1568"/>
      <c r="C6" s="530" t="s">
        <v>278</v>
      </c>
      <c r="D6" s="530" t="s">
        <v>279</v>
      </c>
      <c r="E6" s="530" t="s">
        <v>256</v>
      </c>
      <c r="F6" s="530" t="s">
        <v>278</v>
      </c>
      <c r="G6" s="530" t="s">
        <v>279</v>
      </c>
      <c r="H6" s="530" t="s">
        <v>256</v>
      </c>
      <c r="I6" s="530" t="s">
        <v>278</v>
      </c>
      <c r="J6" s="530" t="s">
        <v>279</v>
      </c>
      <c r="K6" s="530" t="s">
        <v>256</v>
      </c>
      <c r="L6" s="1266"/>
      <c r="M6" s="1564"/>
    </row>
    <row r="7" spans="1:17" ht="20" customHeight="1">
      <c r="A7" s="1328"/>
      <c r="B7" s="1568"/>
      <c r="C7" s="1204" t="s">
        <v>12</v>
      </c>
      <c r="D7" s="1204" t="s">
        <v>13</v>
      </c>
      <c r="E7" s="1204" t="s">
        <v>52</v>
      </c>
      <c r="F7" s="1204" t="s">
        <v>12</v>
      </c>
      <c r="G7" s="1204" t="s">
        <v>13</v>
      </c>
      <c r="H7" s="1204" t="s">
        <v>52</v>
      </c>
      <c r="I7" s="1204" t="s">
        <v>12</v>
      </c>
      <c r="J7" s="1204" t="s">
        <v>13</v>
      </c>
      <c r="K7" s="1204" t="s">
        <v>52</v>
      </c>
      <c r="L7" s="1266"/>
      <c r="M7" s="1564"/>
    </row>
    <row r="8" spans="1:17" ht="20" customHeight="1">
      <c r="A8" s="1329"/>
      <c r="B8" s="1569"/>
      <c r="C8" s="1204" t="s">
        <v>162</v>
      </c>
      <c r="D8" s="1204" t="s">
        <v>163</v>
      </c>
      <c r="E8" s="1204" t="s">
        <v>282</v>
      </c>
      <c r="F8" s="1204" t="s">
        <v>162</v>
      </c>
      <c r="G8" s="1204" t="s">
        <v>163</v>
      </c>
      <c r="H8" s="1204" t="s">
        <v>282</v>
      </c>
      <c r="I8" s="1204" t="s">
        <v>162</v>
      </c>
      <c r="J8" s="1204" t="s">
        <v>163</v>
      </c>
      <c r="K8" s="1204" t="s">
        <v>282</v>
      </c>
      <c r="L8" s="1267"/>
      <c r="M8" s="1565"/>
      <c r="Q8" s="4"/>
    </row>
    <row r="9" spans="1:17" ht="24.75" customHeight="1">
      <c r="A9" s="462"/>
      <c r="B9" s="567" t="s">
        <v>287</v>
      </c>
      <c r="C9" s="531">
        <f>SUM(C10:C35,C43:C55)</f>
        <v>67</v>
      </c>
      <c r="D9" s="623">
        <f>SUM(D10:D35,D43:D55)</f>
        <v>10219</v>
      </c>
      <c r="E9" s="623">
        <f>D9+C9</f>
        <v>10286</v>
      </c>
      <c r="F9" s="439">
        <f>SUM(F10:F35,F43:F55)</f>
        <v>10758</v>
      </c>
      <c r="G9" s="440">
        <f>SUM(G10:G35,G43:G55)</f>
        <v>25853</v>
      </c>
      <c r="H9" s="440">
        <f>G9+F9</f>
        <v>36611</v>
      </c>
      <c r="I9" s="439">
        <f>SUM(I10:I35,I43:I55)</f>
        <v>2772</v>
      </c>
      <c r="J9" s="440">
        <f>SUM(J10:J35,J43:J55)</f>
        <v>14110</v>
      </c>
      <c r="K9" s="441">
        <f>J9+I9</f>
        <v>16882</v>
      </c>
      <c r="L9" s="443" t="s">
        <v>671</v>
      </c>
      <c r="M9" s="462"/>
      <c r="N9" s="3"/>
      <c r="O9" s="3"/>
    </row>
    <row r="10" spans="1:17" s="639" customFormat="1" ht="27.75" customHeight="1">
      <c r="A10" s="148">
        <v>1</v>
      </c>
      <c r="B10" s="633" t="s">
        <v>344</v>
      </c>
      <c r="C10" s="680">
        <v>0</v>
      </c>
      <c r="D10" s="681">
        <v>51</v>
      </c>
      <c r="E10" s="681">
        <f>D10+C10</f>
        <v>51</v>
      </c>
      <c r="F10" s="680">
        <v>1574</v>
      </c>
      <c r="G10" s="681">
        <v>2666</v>
      </c>
      <c r="H10" s="690">
        <f>G10+F10</f>
        <v>4240</v>
      </c>
      <c r="I10" s="681">
        <v>291</v>
      </c>
      <c r="J10" s="681">
        <v>685</v>
      </c>
      <c r="K10" s="690">
        <f>J10+I10</f>
        <v>976</v>
      </c>
      <c r="L10" s="635" t="s">
        <v>1606</v>
      </c>
      <c r="M10" s="24">
        <v>1</v>
      </c>
      <c r="O10" s="642"/>
      <c r="P10" s="692"/>
    </row>
    <row r="11" spans="1:17" ht="27" customHeight="1">
      <c r="A11" s="147">
        <v>2</v>
      </c>
      <c r="B11" s="289" t="s">
        <v>345</v>
      </c>
      <c r="C11" s="167">
        <v>0</v>
      </c>
      <c r="D11" s="168">
        <v>159</v>
      </c>
      <c r="E11" s="165">
        <f>D11+C11</f>
        <v>159</v>
      </c>
      <c r="F11" s="164">
        <v>249</v>
      </c>
      <c r="G11" s="165">
        <v>756</v>
      </c>
      <c r="H11" s="169">
        <f>G11+F11</f>
        <v>1005</v>
      </c>
      <c r="I11" s="165">
        <v>0</v>
      </c>
      <c r="J11" s="165">
        <v>0</v>
      </c>
      <c r="K11" s="169">
        <f>J11+I11</f>
        <v>0</v>
      </c>
      <c r="L11" s="246" t="s">
        <v>1607</v>
      </c>
      <c r="M11" s="909">
        <v>2</v>
      </c>
    </row>
    <row r="12" spans="1:17" s="639" customFormat="1" ht="31.5" customHeight="1">
      <c r="A12" s="148">
        <v>3</v>
      </c>
      <c r="B12" s="633" t="s">
        <v>415</v>
      </c>
      <c r="C12" s="682">
        <v>0</v>
      </c>
      <c r="D12" s="683">
        <v>472</v>
      </c>
      <c r="E12" s="681">
        <f>D12+C12</f>
        <v>472</v>
      </c>
      <c r="F12" s="680">
        <v>1441</v>
      </c>
      <c r="G12" s="681">
        <v>651</v>
      </c>
      <c r="H12" s="690">
        <v>63</v>
      </c>
      <c r="I12" s="681">
        <v>0</v>
      </c>
      <c r="J12" s="681">
        <v>0</v>
      </c>
      <c r="K12" s="690">
        <v>63</v>
      </c>
      <c r="L12" s="635" t="s">
        <v>1608</v>
      </c>
      <c r="M12" s="24">
        <v>3</v>
      </c>
      <c r="N12" s="642"/>
      <c r="O12" s="642"/>
      <c r="P12" s="642">
        <f>20+41+21+61+15+56+13+6+2+101</f>
        <v>336</v>
      </c>
    </row>
    <row r="13" spans="1:17" ht="31.5" customHeight="1">
      <c r="A13" s="147">
        <v>4</v>
      </c>
      <c r="B13" s="240" t="s">
        <v>347</v>
      </c>
      <c r="C13" s="167">
        <v>64</v>
      </c>
      <c r="D13" s="168">
        <v>72</v>
      </c>
      <c r="E13" s="165">
        <f>D13+C13</f>
        <v>136</v>
      </c>
      <c r="F13" s="167">
        <v>111</v>
      </c>
      <c r="G13" s="168">
        <v>181</v>
      </c>
      <c r="H13" s="169">
        <f>G13+F13</f>
        <v>292</v>
      </c>
      <c r="I13" s="168">
        <v>106</v>
      </c>
      <c r="J13" s="168">
        <v>169</v>
      </c>
      <c r="K13" s="169">
        <f>J13+I13</f>
        <v>275</v>
      </c>
      <c r="L13" s="246" t="s">
        <v>1609</v>
      </c>
      <c r="M13" s="909">
        <v>4</v>
      </c>
    </row>
    <row r="14" spans="1:17" s="639" customFormat="1" ht="31.5" customHeight="1">
      <c r="A14" s="148">
        <v>5</v>
      </c>
      <c r="B14" s="239" t="s">
        <v>718</v>
      </c>
      <c r="C14" s="682">
        <v>0</v>
      </c>
      <c r="D14" s="683" t="s">
        <v>56</v>
      </c>
      <c r="E14" s="681" t="s">
        <v>56</v>
      </c>
      <c r="F14" s="682">
        <v>0</v>
      </c>
      <c r="G14" s="683">
        <v>0</v>
      </c>
      <c r="H14" s="690">
        <v>0</v>
      </c>
      <c r="I14" s="683">
        <v>0</v>
      </c>
      <c r="J14" s="683">
        <v>0</v>
      </c>
      <c r="K14" s="690">
        <v>0</v>
      </c>
      <c r="L14" s="635" t="s">
        <v>1610</v>
      </c>
      <c r="M14" s="24">
        <v>5</v>
      </c>
    </row>
    <row r="15" spans="1:17" ht="31.5" customHeight="1">
      <c r="A15" s="147">
        <v>6</v>
      </c>
      <c r="B15" s="289" t="s">
        <v>424</v>
      </c>
      <c r="C15" s="167">
        <v>0</v>
      </c>
      <c r="D15" s="168" t="s">
        <v>56</v>
      </c>
      <c r="E15" s="168" t="s">
        <v>56</v>
      </c>
      <c r="F15" s="167">
        <v>278</v>
      </c>
      <c r="G15" s="168">
        <v>821</v>
      </c>
      <c r="H15" s="169">
        <f t="shared" ref="H15:H35" si="0">G15+F15</f>
        <v>1099</v>
      </c>
      <c r="I15" s="168">
        <v>0</v>
      </c>
      <c r="J15" s="168">
        <v>0</v>
      </c>
      <c r="K15" s="169">
        <f t="shared" ref="K15:K35" si="1">J15+I15</f>
        <v>0</v>
      </c>
      <c r="L15" s="246" t="s">
        <v>1654</v>
      </c>
      <c r="M15" s="909">
        <v>6</v>
      </c>
      <c r="P15" s="4"/>
    </row>
    <row r="16" spans="1:17" s="639" customFormat="1" ht="31.5" customHeight="1">
      <c r="A16" s="148">
        <v>7</v>
      </c>
      <c r="B16" s="239" t="s">
        <v>425</v>
      </c>
      <c r="C16" s="680">
        <v>0</v>
      </c>
      <c r="D16" s="681" t="s">
        <v>56</v>
      </c>
      <c r="E16" s="681" t="s">
        <v>56</v>
      </c>
      <c r="F16" s="680">
        <v>163</v>
      </c>
      <c r="G16" s="681">
        <v>945</v>
      </c>
      <c r="H16" s="690">
        <f t="shared" si="0"/>
        <v>1108</v>
      </c>
      <c r="I16" s="681">
        <v>0</v>
      </c>
      <c r="J16" s="681">
        <v>0</v>
      </c>
      <c r="K16" s="690">
        <f t="shared" si="1"/>
        <v>0</v>
      </c>
      <c r="L16" s="635" t="s">
        <v>1611</v>
      </c>
      <c r="M16" s="24">
        <v>7</v>
      </c>
    </row>
    <row r="17" spans="1:13" ht="31.5" customHeight="1">
      <c r="A17" s="147">
        <v>8</v>
      </c>
      <c r="B17" s="289" t="s">
        <v>350</v>
      </c>
      <c r="C17" s="164">
        <v>0</v>
      </c>
      <c r="D17" s="165">
        <v>1426</v>
      </c>
      <c r="E17" s="165">
        <f t="shared" ref="E17:E34" si="2">D17+C17</f>
        <v>1426</v>
      </c>
      <c r="F17" s="164">
        <v>328</v>
      </c>
      <c r="G17" s="165">
        <v>2331</v>
      </c>
      <c r="H17" s="169">
        <f t="shared" si="0"/>
        <v>2659</v>
      </c>
      <c r="I17" s="165">
        <v>441</v>
      </c>
      <c r="J17" s="165">
        <v>3229</v>
      </c>
      <c r="K17" s="169">
        <f t="shared" si="1"/>
        <v>3670</v>
      </c>
      <c r="L17" s="246" t="s">
        <v>1612</v>
      </c>
      <c r="M17" s="909">
        <v>8</v>
      </c>
    </row>
    <row r="18" spans="1:13" s="639" customFormat="1" ht="31.5" customHeight="1">
      <c r="A18" s="148">
        <v>9</v>
      </c>
      <c r="B18" s="633" t="s">
        <v>426</v>
      </c>
      <c r="C18" s="667">
        <v>0</v>
      </c>
      <c r="D18" s="668">
        <v>536</v>
      </c>
      <c r="E18" s="681">
        <f t="shared" si="2"/>
        <v>536</v>
      </c>
      <c r="F18" s="680">
        <v>29</v>
      </c>
      <c r="G18" s="681">
        <v>584</v>
      </c>
      <c r="H18" s="690">
        <f t="shared" si="0"/>
        <v>613</v>
      </c>
      <c r="I18" s="681">
        <v>3</v>
      </c>
      <c r="J18" s="681">
        <v>770</v>
      </c>
      <c r="K18" s="690">
        <f t="shared" si="1"/>
        <v>773</v>
      </c>
      <c r="L18" s="635" t="s">
        <v>1613</v>
      </c>
      <c r="M18" s="24">
        <v>9</v>
      </c>
    </row>
    <row r="19" spans="1:13" ht="31.5" customHeight="1">
      <c r="A19" s="147">
        <v>10</v>
      </c>
      <c r="B19" s="289" t="s">
        <v>427</v>
      </c>
      <c r="C19" s="164">
        <v>0</v>
      </c>
      <c r="D19" s="165">
        <v>57</v>
      </c>
      <c r="E19" s="165">
        <f t="shared" si="2"/>
        <v>57</v>
      </c>
      <c r="F19" s="164">
        <v>4</v>
      </c>
      <c r="G19" s="165">
        <v>67</v>
      </c>
      <c r="H19" s="169">
        <f t="shared" si="0"/>
        <v>71</v>
      </c>
      <c r="I19" s="165">
        <v>2</v>
      </c>
      <c r="J19" s="165">
        <v>54</v>
      </c>
      <c r="K19" s="169">
        <f t="shared" si="1"/>
        <v>56</v>
      </c>
      <c r="L19" s="246" t="s">
        <v>1614</v>
      </c>
      <c r="M19" s="909">
        <v>10</v>
      </c>
    </row>
    <row r="20" spans="1:13" s="639" customFormat="1" ht="31.5" customHeight="1">
      <c r="A20" s="148">
        <v>11</v>
      </c>
      <c r="B20" s="633" t="s">
        <v>428</v>
      </c>
      <c r="C20" s="680">
        <v>0</v>
      </c>
      <c r="D20" s="681">
        <v>87</v>
      </c>
      <c r="E20" s="681">
        <f t="shared" si="2"/>
        <v>87</v>
      </c>
      <c r="F20" s="680">
        <v>394</v>
      </c>
      <c r="G20" s="681">
        <v>785</v>
      </c>
      <c r="H20" s="690">
        <f t="shared" si="0"/>
        <v>1179</v>
      </c>
      <c r="I20" s="680">
        <v>32</v>
      </c>
      <c r="J20" s="681">
        <v>112</v>
      </c>
      <c r="K20" s="690">
        <f t="shared" si="1"/>
        <v>144</v>
      </c>
      <c r="L20" s="643" t="s">
        <v>1615</v>
      </c>
      <c r="M20" s="24">
        <v>11</v>
      </c>
    </row>
    <row r="21" spans="1:13" ht="31.5" customHeight="1">
      <c r="A21" s="147">
        <v>12</v>
      </c>
      <c r="B21" s="289" t="s">
        <v>354</v>
      </c>
      <c r="C21" s="162">
        <v>0</v>
      </c>
      <c r="D21" s="163" t="s">
        <v>56</v>
      </c>
      <c r="E21" s="165" t="s">
        <v>56</v>
      </c>
      <c r="F21" s="164">
        <v>234</v>
      </c>
      <c r="G21" s="165">
        <v>632</v>
      </c>
      <c r="H21" s="169">
        <f t="shared" si="0"/>
        <v>866</v>
      </c>
      <c r="I21" s="165">
        <v>260</v>
      </c>
      <c r="J21" s="165">
        <v>686</v>
      </c>
      <c r="K21" s="169">
        <f t="shared" si="1"/>
        <v>946</v>
      </c>
      <c r="L21" s="246" t="s">
        <v>1616</v>
      </c>
      <c r="M21" s="909">
        <v>12</v>
      </c>
    </row>
    <row r="22" spans="1:13" s="639" customFormat="1" ht="31.5" customHeight="1">
      <c r="A22" s="148">
        <v>13</v>
      </c>
      <c r="B22" s="633" t="s">
        <v>429</v>
      </c>
      <c r="C22" s="667">
        <v>0</v>
      </c>
      <c r="D22" s="668">
        <v>93</v>
      </c>
      <c r="E22" s="681">
        <f t="shared" si="2"/>
        <v>93</v>
      </c>
      <c r="F22" s="680">
        <v>4</v>
      </c>
      <c r="G22" s="681">
        <v>130</v>
      </c>
      <c r="H22" s="690">
        <f t="shared" si="0"/>
        <v>134</v>
      </c>
      <c r="I22" s="680">
        <v>4</v>
      </c>
      <c r="J22" s="681">
        <v>157</v>
      </c>
      <c r="K22" s="690">
        <f t="shared" si="1"/>
        <v>161</v>
      </c>
      <c r="L22" s="635" t="s">
        <v>1617</v>
      </c>
      <c r="M22" s="24">
        <v>13</v>
      </c>
    </row>
    <row r="23" spans="1:13" ht="31.5" customHeight="1">
      <c r="A23" s="147">
        <v>14</v>
      </c>
      <c r="B23" s="289" t="s">
        <v>418</v>
      </c>
      <c r="C23" s="164">
        <v>0</v>
      </c>
      <c r="D23" s="165" t="s">
        <v>56</v>
      </c>
      <c r="E23" s="165" t="s">
        <v>56</v>
      </c>
      <c r="F23" s="164">
        <v>35</v>
      </c>
      <c r="G23" s="165">
        <v>1540</v>
      </c>
      <c r="H23" s="169">
        <f t="shared" si="0"/>
        <v>1575</v>
      </c>
      <c r="I23" s="165">
        <v>34</v>
      </c>
      <c r="J23" s="165">
        <v>1598</v>
      </c>
      <c r="K23" s="169">
        <f t="shared" si="1"/>
        <v>1632</v>
      </c>
      <c r="L23" s="238" t="s">
        <v>1618</v>
      </c>
      <c r="M23" s="909">
        <v>14</v>
      </c>
    </row>
    <row r="24" spans="1:13" s="639" customFormat="1" ht="31.5" customHeight="1">
      <c r="A24" s="148">
        <v>15</v>
      </c>
      <c r="B24" s="633" t="s">
        <v>357</v>
      </c>
      <c r="C24" s="682">
        <v>0</v>
      </c>
      <c r="D24" s="683">
        <v>1509</v>
      </c>
      <c r="E24" s="681">
        <f t="shared" si="2"/>
        <v>1509</v>
      </c>
      <c r="F24" s="682">
        <v>49</v>
      </c>
      <c r="G24" s="683">
        <v>1510</v>
      </c>
      <c r="H24" s="693">
        <f t="shared" si="0"/>
        <v>1559</v>
      </c>
      <c r="I24" s="682">
        <v>1</v>
      </c>
      <c r="J24" s="683">
        <v>413</v>
      </c>
      <c r="K24" s="693">
        <f t="shared" si="1"/>
        <v>414</v>
      </c>
      <c r="L24" s="635" t="s">
        <v>1653</v>
      </c>
      <c r="M24" s="24">
        <v>15</v>
      </c>
    </row>
    <row r="25" spans="1:13" ht="31.5" customHeight="1">
      <c r="A25" s="147">
        <v>16</v>
      </c>
      <c r="B25" s="289" t="s">
        <v>358</v>
      </c>
      <c r="C25" s="361">
        <v>0</v>
      </c>
      <c r="D25" s="163" t="s">
        <v>56</v>
      </c>
      <c r="E25" s="163" t="s">
        <v>56</v>
      </c>
      <c r="F25" s="164">
        <v>10</v>
      </c>
      <c r="G25" s="165">
        <v>941</v>
      </c>
      <c r="H25" s="169">
        <f t="shared" si="0"/>
        <v>951</v>
      </c>
      <c r="I25" s="165">
        <v>0</v>
      </c>
      <c r="J25" s="165">
        <v>0</v>
      </c>
      <c r="K25" s="169">
        <f t="shared" si="1"/>
        <v>0</v>
      </c>
      <c r="L25" s="246" t="s">
        <v>1652</v>
      </c>
      <c r="M25" s="909">
        <v>16</v>
      </c>
    </row>
    <row r="26" spans="1:13" s="639" customFormat="1" ht="31.5" customHeight="1">
      <c r="A26" s="148">
        <v>17</v>
      </c>
      <c r="B26" s="633" t="s">
        <v>359</v>
      </c>
      <c r="C26" s="680">
        <v>0</v>
      </c>
      <c r="D26" s="681">
        <v>844</v>
      </c>
      <c r="E26" s="681">
        <f t="shared" si="2"/>
        <v>844</v>
      </c>
      <c r="F26" s="680">
        <v>466</v>
      </c>
      <c r="G26" s="681">
        <v>770</v>
      </c>
      <c r="H26" s="690">
        <f t="shared" si="0"/>
        <v>1236</v>
      </c>
      <c r="I26" s="681">
        <v>465</v>
      </c>
      <c r="J26" s="681">
        <v>886</v>
      </c>
      <c r="K26" s="690">
        <f t="shared" si="1"/>
        <v>1351</v>
      </c>
      <c r="L26" s="644" t="s">
        <v>1619</v>
      </c>
      <c r="M26" s="24">
        <v>17</v>
      </c>
    </row>
    <row r="27" spans="1:13" ht="27" customHeight="1">
      <c r="A27" s="147">
        <v>18</v>
      </c>
      <c r="B27" s="289" t="s">
        <v>360</v>
      </c>
      <c r="C27" s="164">
        <v>0</v>
      </c>
      <c r="D27" s="165" t="s">
        <v>56</v>
      </c>
      <c r="E27" s="165" t="s">
        <v>56</v>
      </c>
      <c r="F27" s="164">
        <v>470</v>
      </c>
      <c r="G27" s="165">
        <v>876</v>
      </c>
      <c r="H27" s="169">
        <f t="shared" si="0"/>
        <v>1346</v>
      </c>
      <c r="I27" s="165">
        <v>0</v>
      </c>
      <c r="J27" s="165">
        <v>0</v>
      </c>
      <c r="K27" s="169">
        <f t="shared" si="1"/>
        <v>0</v>
      </c>
      <c r="L27" s="246" t="s">
        <v>1620</v>
      </c>
      <c r="M27" s="909">
        <v>18</v>
      </c>
    </row>
    <row r="28" spans="1:13" s="639" customFormat="1" ht="27.75" customHeight="1">
      <c r="A28" s="148">
        <v>19</v>
      </c>
      <c r="B28" s="633" t="s">
        <v>361</v>
      </c>
      <c r="C28" s="680">
        <v>0</v>
      </c>
      <c r="D28" s="681">
        <v>720</v>
      </c>
      <c r="E28" s="681">
        <f t="shared" si="2"/>
        <v>720</v>
      </c>
      <c r="F28" s="680">
        <v>290</v>
      </c>
      <c r="G28" s="681">
        <v>804</v>
      </c>
      <c r="H28" s="690">
        <f t="shared" si="0"/>
        <v>1094</v>
      </c>
      <c r="I28" s="681">
        <v>283</v>
      </c>
      <c r="J28" s="681">
        <v>790</v>
      </c>
      <c r="K28" s="690">
        <f t="shared" si="1"/>
        <v>1073</v>
      </c>
      <c r="L28" s="635" t="s">
        <v>1621</v>
      </c>
      <c r="M28" s="24">
        <v>19</v>
      </c>
    </row>
    <row r="29" spans="1:13" ht="29.25" customHeight="1">
      <c r="A29" s="147">
        <v>20</v>
      </c>
      <c r="B29" s="289" t="s">
        <v>362</v>
      </c>
      <c r="C29" s="164">
        <v>0</v>
      </c>
      <c r="D29" s="165" t="s">
        <v>56</v>
      </c>
      <c r="E29" s="165" t="s">
        <v>56</v>
      </c>
      <c r="F29" s="164">
        <v>1400</v>
      </c>
      <c r="G29" s="165">
        <v>2096</v>
      </c>
      <c r="H29" s="169">
        <f t="shared" si="0"/>
        <v>3496</v>
      </c>
      <c r="I29" s="165">
        <v>491</v>
      </c>
      <c r="J29" s="165">
        <v>1285</v>
      </c>
      <c r="K29" s="169">
        <f t="shared" si="1"/>
        <v>1776</v>
      </c>
      <c r="L29" s="246" t="s">
        <v>1622</v>
      </c>
      <c r="M29" s="909">
        <v>20</v>
      </c>
    </row>
    <row r="30" spans="1:13" s="639" customFormat="1" ht="31.5" customHeight="1">
      <c r="A30" s="148">
        <v>21</v>
      </c>
      <c r="B30" s="633" t="s">
        <v>363</v>
      </c>
      <c r="C30" s="680">
        <v>3</v>
      </c>
      <c r="D30" s="681">
        <v>1459</v>
      </c>
      <c r="E30" s="681">
        <f t="shared" si="2"/>
        <v>1462</v>
      </c>
      <c r="F30" s="680">
        <v>115</v>
      </c>
      <c r="G30" s="681">
        <v>1462</v>
      </c>
      <c r="H30" s="690">
        <f t="shared" si="0"/>
        <v>1577</v>
      </c>
      <c r="I30" s="681">
        <v>26</v>
      </c>
      <c r="J30" s="681">
        <v>1625</v>
      </c>
      <c r="K30" s="690">
        <f t="shared" si="1"/>
        <v>1651</v>
      </c>
      <c r="L30" s="643" t="s">
        <v>1623</v>
      </c>
      <c r="M30" s="24">
        <v>21</v>
      </c>
    </row>
    <row r="31" spans="1:13" ht="47.25" customHeight="1">
      <c r="A31" s="147">
        <v>22</v>
      </c>
      <c r="B31" s="296" t="s">
        <v>364</v>
      </c>
      <c r="C31" s="164">
        <v>0</v>
      </c>
      <c r="D31" s="165">
        <v>73</v>
      </c>
      <c r="E31" s="165">
        <f t="shared" si="2"/>
        <v>73</v>
      </c>
      <c r="F31" s="164">
        <v>2</v>
      </c>
      <c r="G31" s="165">
        <v>157</v>
      </c>
      <c r="H31" s="169">
        <f t="shared" si="0"/>
        <v>159</v>
      </c>
      <c r="I31" s="165">
        <v>4</v>
      </c>
      <c r="J31" s="165">
        <v>175</v>
      </c>
      <c r="K31" s="169">
        <f t="shared" si="1"/>
        <v>179</v>
      </c>
      <c r="L31" s="238" t="s">
        <v>1651</v>
      </c>
      <c r="M31" s="909">
        <v>22</v>
      </c>
    </row>
    <row r="32" spans="1:13" s="639" customFormat="1" ht="31.5" customHeight="1">
      <c r="A32" s="148">
        <v>23</v>
      </c>
      <c r="B32" s="633" t="s">
        <v>365</v>
      </c>
      <c r="C32" s="680">
        <v>0</v>
      </c>
      <c r="D32" s="681">
        <v>431</v>
      </c>
      <c r="E32" s="681">
        <f t="shared" si="2"/>
        <v>431</v>
      </c>
      <c r="F32" s="680">
        <v>434</v>
      </c>
      <c r="G32" s="681">
        <v>869</v>
      </c>
      <c r="H32" s="690">
        <f t="shared" si="0"/>
        <v>1303</v>
      </c>
      <c r="I32" s="681">
        <v>17</v>
      </c>
      <c r="J32" s="681">
        <v>27</v>
      </c>
      <c r="K32" s="690">
        <f t="shared" si="1"/>
        <v>44</v>
      </c>
      <c r="L32" s="644" t="s">
        <v>1624</v>
      </c>
      <c r="M32" s="24">
        <v>23</v>
      </c>
    </row>
    <row r="33" spans="1:30" ht="31.5" customHeight="1">
      <c r="A33" s="147">
        <v>24</v>
      </c>
      <c r="B33" s="289" t="s">
        <v>366</v>
      </c>
      <c r="C33" s="164">
        <v>0</v>
      </c>
      <c r="D33" s="165" t="s">
        <v>56</v>
      </c>
      <c r="E33" s="169" t="s">
        <v>56</v>
      </c>
      <c r="F33" s="165">
        <v>53</v>
      </c>
      <c r="G33" s="165">
        <v>130</v>
      </c>
      <c r="H33" s="169">
        <f t="shared" si="0"/>
        <v>183</v>
      </c>
      <c r="I33" s="165">
        <v>12</v>
      </c>
      <c r="J33" s="165">
        <v>67</v>
      </c>
      <c r="K33" s="169">
        <f t="shared" si="1"/>
        <v>79</v>
      </c>
      <c r="L33" s="238" t="s">
        <v>1625</v>
      </c>
      <c r="M33" s="909">
        <v>24</v>
      </c>
    </row>
    <row r="34" spans="1:30" s="639" customFormat="1" ht="31.5" customHeight="1">
      <c r="A34" s="148">
        <v>25</v>
      </c>
      <c r="B34" s="633" t="s">
        <v>367</v>
      </c>
      <c r="C34" s="681">
        <v>0</v>
      </c>
      <c r="D34" s="681">
        <v>1021</v>
      </c>
      <c r="E34" s="690">
        <f t="shared" si="2"/>
        <v>1021</v>
      </c>
      <c r="F34" s="681">
        <v>1855</v>
      </c>
      <c r="G34" s="681">
        <v>1515</v>
      </c>
      <c r="H34" s="690">
        <f t="shared" si="0"/>
        <v>3370</v>
      </c>
      <c r="I34" s="681">
        <v>125</v>
      </c>
      <c r="J34" s="681">
        <v>202</v>
      </c>
      <c r="K34" s="681">
        <f t="shared" si="1"/>
        <v>327</v>
      </c>
      <c r="L34" s="643" t="s">
        <v>1626</v>
      </c>
      <c r="M34" s="24">
        <v>25</v>
      </c>
    </row>
    <row r="35" spans="1:30" ht="34.5" customHeight="1">
      <c r="A35" s="160">
        <v>26</v>
      </c>
      <c r="B35" s="291" t="s">
        <v>654</v>
      </c>
      <c r="C35" s="173">
        <v>0</v>
      </c>
      <c r="D35" s="174" t="s">
        <v>56</v>
      </c>
      <c r="E35" s="234" t="s">
        <v>56</v>
      </c>
      <c r="F35" s="203">
        <v>0</v>
      </c>
      <c r="G35" s="204">
        <v>83</v>
      </c>
      <c r="H35" s="234">
        <f t="shared" si="0"/>
        <v>83</v>
      </c>
      <c r="I35" s="204">
        <v>0</v>
      </c>
      <c r="J35" s="204">
        <v>0</v>
      </c>
      <c r="K35" s="234">
        <f t="shared" si="1"/>
        <v>0</v>
      </c>
      <c r="L35" s="370" t="s">
        <v>1627</v>
      </c>
      <c r="M35" s="910">
        <v>26</v>
      </c>
      <c r="S35" s="1588"/>
      <c r="T35" s="1588"/>
      <c r="U35" s="1588"/>
      <c r="V35" s="1588"/>
      <c r="W35" s="1588"/>
      <c r="X35" s="1588"/>
      <c r="Y35" s="1588"/>
      <c r="Z35" s="1588"/>
      <c r="AA35" s="1588"/>
      <c r="AB35" s="1588"/>
      <c r="AC35" s="1585"/>
      <c r="AD35" s="1586"/>
    </row>
    <row r="36" spans="1:30" ht="18" hidden="1" customHeight="1">
      <c r="A36" s="1419" t="s">
        <v>1191</v>
      </c>
      <c r="B36" s="1419"/>
      <c r="C36" s="1419"/>
      <c r="D36" s="1419"/>
      <c r="E36" s="165"/>
      <c r="F36" s="165"/>
      <c r="G36" s="165"/>
      <c r="H36" s="165"/>
      <c r="I36" s="165"/>
      <c r="J36" s="165"/>
      <c r="K36" s="165"/>
      <c r="L36" s="1443" t="s">
        <v>1312</v>
      </c>
      <c r="M36" s="1443"/>
      <c r="S36" s="1588"/>
      <c r="T36" s="1097"/>
      <c r="U36" s="1097"/>
      <c r="V36" s="1097"/>
      <c r="W36" s="1097"/>
      <c r="X36" s="1097"/>
      <c r="Y36" s="1097"/>
      <c r="Z36" s="1097"/>
      <c r="AA36" s="1097"/>
      <c r="AB36" s="1097"/>
      <c r="AC36" s="1585"/>
      <c r="AD36" s="1586"/>
    </row>
    <row r="37" spans="1:30" s="639" customFormat="1" ht="18" hidden="1" customHeight="1">
      <c r="A37" s="1584"/>
      <c r="B37" s="1584"/>
      <c r="C37" s="1584"/>
      <c r="D37" s="1584"/>
      <c r="E37" s="100"/>
      <c r="F37" s="100"/>
      <c r="G37" s="100"/>
      <c r="H37" s="1443" t="s">
        <v>1295</v>
      </c>
      <c r="I37" s="1443"/>
      <c r="J37" s="1443"/>
      <c r="K37" s="1443"/>
      <c r="L37" s="1443"/>
      <c r="M37" s="1443"/>
      <c r="S37" s="1588"/>
      <c r="T37" s="1587"/>
      <c r="U37" s="1587"/>
      <c r="V37" s="1587"/>
      <c r="W37" s="1587"/>
      <c r="X37" s="1587"/>
      <c r="Y37" s="1587"/>
      <c r="Z37" s="1587"/>
      <c r="AA37" s="1587"/>
      <c r="AB37" s="1587"/>
      <c r="AC37" s="1585"/>
      <c r="AD37" s="1586"/>
    </row>
    <row r="38" spans="1:30" ht="20" hidden="1" customHeight="1">
      <c r="A38" s="1327" t="s">
        <v>621</v>
      </c>
      <c r="B38" s="1567" t="s">
        <v>1598</v>
      </c>
      <c r="C38" s="1570">
        <v>1402</v>
      </c>
      <c r="D38" s="1571"/>
      <c r="E38" s="1572"/>
      <c r="F38" s="1570">
        <v>1401</v>
      </c>
      <c r="G38" s="1571"/>
      <c r="H38" s="1572"/>
      <c r="I38" s="1570">
        <v>1400</v>
      </c>
      <c r="J38" s="1571"/>
      <c r="K38" s="1572"/>
      <c r="L38" s="1343" t="s">
        <v>1597</v>
      </c>
      <c r="M38" s="1563" t="s">
        <v>727</v>
      </c>
      <c r="S38" s="1588"/>
      <c r="T38" s="414"/>
      <c r="U38" s="414"/>
      <c r="V38" s="415"/>
      <c r="W38" s="414"/>
      <c r="X38" s="414"/>
      <c r="Y38" s="415"/>
      <c r="Z38" s="414"/>
      <c r="AA38" s="414"/>
      <c r="AB38" s="415"/>
      <c r="AC38" s="1585"/>
      <c r="AD38" s="1586"/>
    </row>
    <row r="39" spans="1:30" s="639" customFormat="1" ht="20" hidden="1" customHeight="1">
      <c r="A39" s="1328"/>
      <c r="B39" s="1568"/>
      <c r="C39" s="1573" t="s">
        <v>772</v>
      </c>
      <c r="D39" s="1574"/>
      <c r="E39" s="1575"/>
      <c r="F39" s="1573" t="s">
        <v>725</v>
      </c>
      <c r="G39" s="1574"/>
      <c r="H39" s="1575"/>
      <c r="I39" s="1573" t="s">
        <v>726</v>
      </c>
      <c r="J39" s="1574"/>
      <c r="K39" s="1575"/>
      <c r="L39" s="1266"/>
      <c r="M39" s="1564"/>
      <c r="S39" s="1588"/>
      <c r="T39" s="694"/>
      <c r="U39" s="694"/>
      <c r="V39" s="695"/>
      <c r="W39" s="694"/>
      <c r="X39" s="694"/>
      <c r="Y39" s="695"/>
      <c r="Z39" s="694"/>
      <c r="AA39" s="694"/>
      <c r="AB39" s="695"/>
      <c r="AC39" s="1585"/>
      <c r="AD39" s="1586"/>
    </row>
    <row r="40" spans="1:30" ht="20" hidden="1" customHeight="1">
      <c r="A40" s="1328"/>
      <c r="B40" s="1568"/>
      <c r="C40" s="530" t="s">
        <v>278</v>
      </c>
      <c r="D40" s="530" t="s">
        <v>279</v>
      </c>
      <c r="E40" s="530" t="s">
        <v>256</v>
      </c>
      <c r="F40" s="530" t="s">
        <v>278</v>
      </c>
      <c r="G40" s="530" t="s">
        <v>279</v>
      </c>
      <c r="H40" s="530" t="s">
        <v>256</v>
      </c>
      <c r="I40" s="530" t="s">
        <v>278</v>
      </c>
      <c r="J40" s="530" t="s">
        <v>279</v>
      </c>
      <c r="K40" s="530" t="s">
        <v>256</v>
      </c>
      <c r="L40" s="1266"/>
      <c r="M40" s="1564"/>
      <c r="S40" s="1588"/>
      <c r="T40" s="418"/>
      <c r="U40" s="418"/>
      <c r="V40" s="418"/>
      <c r="W40" s="418"/>
      <c r="X40" s="418"/>
      <c r="Y40" s="418"/>
      <c r="Z40" s="418"/>
      <c r="AA40" s="418"/>
      <c r="AB40" s="418"/>
      <c r="AC40" s="1585"/>
      <c r="AD40" s="1586"/>
    </row>
    <row r="41" spans="1:30" s="639" customFormat="1" ht="20" hidden="1" customHeight="1">
      <c r="A41" s="1328"/>
      <c r="B41" s="1568"/>
      <c r="C41" s="1204" t="s">
        <v>12</v>
      </c>
      <c r="D41" s="1204" t="s">
        <v>13</v>
      </c>
      <c r="E41" s="1204" t="s">
        <v>52</v>
      </c>
      <c r="F41" s="1204" t="s">
        <v>12</v>
      </c>
      <c r="G41" s="1204" t="s">
        <v>13</v>
      </c>
      <c r="H41" s="1204" t="s">
        <v>52</v>
      </c>
      <c r="I41" s="1204" t="s">
        <v>12</v>
      </c>
      <c r="J41" s="1204" t="s">
        <v>13</v>
      </c>
      <c r="K41" s="1204" t="s">
        <v>52</v>
      </c>
      <c r="L41" s="1266"/>
      <c r="M41" s="1564"/>
    </row>
    <row r="42" spans="1:30" ht="20" hidden="1" customHeight="1">
      <c r="A42" s="1329"/>
      <c r="B42" s="1569"/>
      <c r="C42" s="1204" t="s">
        <v>162</v>
      </c>
      <c r="D42" s="1204" t="s">
        <v>163</v>
      </c>
      <c r="E42" s="1204" t="s">
        <v>282</v>
      </c>
      <c r="F42" s="1204" t="s">
        <v>162</v>
      </c>
      <c r="G42" s="1204" t="s">
        <v>163</v>
      </c>
      <c r="H42" s="1204" t="s">
        <v>282</v>
      </c>
      <c r="I42" s="1204" t="s">
        <v>162</v>
      </c>
      <c r="J42" s="1204" t="s">
        <v>163</v>
      </c>
      <c r="K42" s="1204" t="s">
        <v>282</v>
      </c>
      <c r="L42" s="1267"/>
      <c r="M42" s="1565"/>
    </row>
    <row r="43" spans="1:30" ht="32" customHeight="1">
      <c r="A43" s="148">
        <v>27</v>
      </c>
      <c r="B43" s="633" t="s">
        <v>430</v>
      </c>
      <c r="C43" s="667">
        <v>0</v>
      </c>
      <c r="D43" s="668">
        <v>121</v>
      </c>
      <c r="E43" s="690">
        <f t="shared" ref="E43:E55" si="3">D43+C43</f>
        <v>121</v>
      </c>
      <c r="F43" s="680">
        <v>49</v>
      </c>
      <c r="G43" s="681">
        <v>120</v>
      </c>
      <c r="H43" s="690">
        <f t="shared" ref="H43:H51" si="4">G43+F43</f>
        <v>169</v>
      </c>
      <c r="I43" s="681">
        <v>35</v>
      </c>
      <c r="J43" s="681">
        <v>116</v>
      </c>
      <c r="K43" s="690">
        <f t="shared" ref="K43:K51" si="5">J43+I43</f>
        <v>151</v>
      </c>
      <c r="L43" s="635" t="s">
        <v>1640</v>
      </c>
      <c r="M43" s="24">
        <v>27</v>
      </c>
    </row>
    <row r="44" spans="1:30" s="639" customFormat="1" ht="36" customHeight="1">
      <c r="A44" s="147">
        <v>28</v>
      </c>
      <c r="B44" s="289" t="s">
        <v>370</v>
      </c>
      <c r="C44" s="162">
        <v>0</v>
      </c>
      <c r="D44" s="163">
        <v>200</v>
      </c>
      <c r="E44" s="169">
        <f t="shared" si="3"/>
        <v>200</v>
      </c>
      <c r="F44" s="164">
        <v>0</v>
      </c>
      <c r="G44" s="165">
        <v>35</v>
      </c>
      <c r="H44" s="169">
        <f t="shared" si="4"/>
        <v>35</v>
      </c>
      <c r="I44" s="165">
        <v>0</v>
      </c>
      <c r="J44" s="165">
        <v>0</v>
      </c>
      <c r="K44" s="169">
        <f t="shared" si="5"/>
        <v>0</v>
      </c>
      <c r="L44" s="246" t="s">
        <v>1641</v>
      </c>
      <c r="M44" s="909">
        <v>28</v>
      </c>
    </row>
    <row r="45" spans="1:30" ht="37.5" customHeight="1">
      <c r="A45" s="148">
        <v>29</v>
      </c>
      <c r="B45" s="239" t="s">
        <v>371</v>
      </c>
      <c r="C45" s="667">
        <v>0</v>
      </c>
      <c r="D45" s="668">
        <v>12</v>
      </c>
      <c r="E45" s="690">
        <f t="shared" si="3"/>
        <v>12</v>
      </c>
      <c r="F45" s="680">
        <v>0</v>
      </c>
      <c r="G45" s="681">
        <v>332</v>
      </c>
      <c r="H45" s="690">
        <f t="shared" si="4"/>
        <v>332</v>
      </c>
      <c r="I45" s="681">
        <v>0</v>
      </c>
      <c r="J45" s="681">
        <v>0</v>
      </c>
      <c r="K45" s="690">
        <f t="shared" si="5"/>
        <v>0</v>
      </c>
      <c r="L45" s="635" t="s">
        <v>1642</v>
      </c>
      <c r="M45" s="24">
        <v>29</v>
      </c>
    </row>
    <row r="46" spans="1:30" s="639" customFormat="1" ht="32" customHeight="1">
      <c r="A46" s="147">
        <v>30</v>
      </c>
      <c r="B46" s="289" t="s">
        <v>372</v>
      </c>
      <c r="C46" s="162">
        <v>0</v>
      </c>
      <c r="D46" s="163" t="s">
        <v>56</v>
      </c>
      <c r="E46" s="169" t="s">
        <v>56</v>
      </c>
      <c r="F46" s="164">
        <v>199</v>
      </c>
      <c r="G46" s="165">
        <v>347</v>
      </c>
      <c r="H46" s="169">
        <f t="shared" si="4"/>
        <v>546</v>
      </c>
      <c r="I46" s="165">
        <v>0</v>
      </c>
      <c r="J46" s="165">
        <v>52</v>
      </c>
      <c r="K46" s="169">
        <f t="shared" si="5"/>
        <v>52</v>
      </c>
      <c r="L46" s="238" t="s">
        <v>1630</v>
      </c>
      <c r="M46" s="909">
        <v>30</v>
      </c>
    </row>
    <row r="47" spans="1:30" ht="32" customHeight="1">
      <c r="A47" s="148">
        <v>31</v>
      </c>
      <c r="B47" s="633" t="s">
        <v>373</v>
      </c>
      <c r="C47" s="667">
        <v>0</v>
      </c>
      <c r="D47" s="668" t="s">
        <v>56</v>
      </c>
      <c r="E47" s="690" t="s">
        <v>56</v>
      </c>
      <c r="F47" s="680">
        <v>109</v>
      </c>
      <c r="G47" s="681">
        <v>132</v>
      </c>
      <c r="H47" s="690">
        <f t="shared" si="4"/>
        <v>241</v>
      </c>
      <c r="I47" s="681">
        <v>0</v>
      </c>
      <c r="J47" s="681">
        <v>0</v>
      </c>
      <c r="K47" s="690">
        <f t="shared" si="5"/>
        <v>0</v>
      </c>
      <c r="L47" s="635" t="s">
        <v>1643</v>
      </c>
      <c r="M47" s="24">
        <v>31</v>
      </c>
    </row>
    <row r="48" spans="1:30" s="639" customFormat="1" ht="32" customHeight="1">
      <c r="A48" s="147">
        <v>32</v>
      </c>
      <c r="B48" s="289" t="s">
        <v>374</v>
      </c>
      <c r="C48" s="162">
        <v>0</v>
      </c>
      <c r="D48" s="163">
        <v>342</v>
      </c>
      <c r="E48" s="169">
        <f t="shared" si="3"/>
        <v>342</v>
      </c>
      <c r="F48" s="164">
        <v>85</v>
      </c>
      <c r="G48" s="165">
        <v>296</v>
      </c>
      <c r="H48" s="169">
        <f t="shared" si="4"/>
        <v>381</v>
      </c>
      <c r="I48" s="165">
        <v>88</v>
      </c>
      <c r="J48" s="165">
        <v>328</v>
      </c>
      <c r="K48" s="169">
        <f t="shared" si="5"/>
        <v>416</v>
      </c>
      <c r="L48" s="246" t="s">
        <v>1644</v>
      </c>
      <c r="M48" s="909">
        <v>32</v>
      </c>
    </row>
    <row r="49" spans="1:18" ht="32" customHeight="1">
      <c r="A49" s="148">
        <v>33</v>
      </c>
      <c r="B49" s="633" t="s">
        <v>431</v>
      </c>
      <c r="C49" s="667">
        <v>0</v>
      </c>
      <c r="D49" s="668" t="s">
        <v>56</v>
      </c>
      <c r="E49" s="690" t="s">
        <v>56</v>
      </c>
      <c r="F49" s="680">
        <v>117</v>
      </c>
      <c r="G49" s="681">
        <v>60</v>
      </c>
      <c r="H49" s="690">
        <f t="shared" si="4"/>
        <v>177</v>
      </c>
      <c r="I49" s="680">
        <v>0</v>
      </c>
      <c r="J49" s="681">
        <v>0</v>
      </c>
      <c r="K49" s="690">
        <f t="shared" si="5"/>
        <v>0</v>
      </c>
      <c r="L49" s="635" t="s">
        <v>1645</v>
      </c>
      <c r="M49" s="24">
        <v>33</v>
      </c>
    </row>
    <row r="50" spans="1:18" ht="32" customHeight="1">
      <c r="A50" s="147">
        <v>34</v>
      </c>
      <c r="B50" s="289" t="s">
        <v>376</v>
      </c>
      <c r="C50" s="162">
        <v>0</v>
      </c>
      <c r="D50" s="163" t="s">
        <v>56</v>
      </c>
      <c r="E50" s="169" t="s">
        <v>56</v>
      </c>
      <c r="F50" s="164">
        <v>0</v>
      </c>
      <c r="G50" s="165">
        <v>259</v>
      </c>
      <c r="H50" s="169">
        <f t="shared" si="4"/>
        <v>259</v>
      </c>
      <c r="I50" s="164">
        <v>0</v>
      </c>
      <c r="J50" s="165">
        <v>72</v>
      </c>
      <c r="K50" s="169">
        <f t="shared" si="5"/>
        <v>72</v>
      </c>
      <c r="L50" s="246" t="s">
        <v>1646</v>
      </c>
      <c r="M50" s="909">
        <v>34</v>
      </c>
    </row>
    <row r="51" spans="1:18" ht="32" customHeight="1">
      <c r="A51" s="148">
        <v>35</v>
      </c>
      <c r="B51" s="633" t="s">
        <v>378</v>
      </c>
      <c r="C51" s="667">
        <v>0</v>
      </c>
      <c r="D51" s="668">
        <v>352</v>
      </c>
      <c r="E51" s="690">
        <f t="shared" si="3"/>
        <v>352</v>
      </c>
      <c r="F51" s="680">
        <v>65</v>
      </c>
      <c r="G51" s="681">
        <v>426</v>
      </c>
      <c r="H51" s="690">
        <f t="shared" si="4"/>
        <v>491</v>
      </c>
      <c r="I51" s="681">
        <v>9</v>
      </c>
      <c r="J51" s="681">
        <v>338</v>
      </c>
      <c r="K51" s="690">
        <f t="shared" si="5"/>
        <v>347</v>
      </c>
      <c r="L51" s="635" t="s">
        <v>1647</v>
      </c>
      <c r="M51" s="24">
        <v>35</v>
      </c>
    </row>
    <row r="52" spans="1:18" ht="32" customHeight="1">
      <c r="A52" s="147">
        <v>36</v>
      </c>
      <c r="B52" s="289" t="s">
        <v>377</v>
      </c>
      <c r="C52" s="162">
        <v>0</v>
      </c>
      <c r="D52" s="163" t="s">
        <v>56</v>
      </c>
      <c r="E52" s="165" t="s">
        <v>56</v>
      </c>
      <c r="F52" s="164">
        <v>8</v>
      </c>
      <c r="G52" s="165">
        <v>118</v>
      </c>
      <c r="H52" s="169">
        <v>0</v>
      </c>
      <c r="I52" s="165">
        <v>0</v>
      </c>
      <c r="J52" s="165">
        <v>0</v>
      </c>
      <c r="K52" s="169">
        <v>0</v>
      </c>
      <c r="L52" s="246" t="s">
        <v>1648</v>
      </c>
      <c r="M52" s="909">
        <v>36</v>
      </c>
      <c r="N52" s="37"/>
    </row>
    <row r="53" spans="1:18" ht="32" customHeight="1">
      <c r="A53" s="148">
        <v>37</v>
      </c>
      <c r="B53" s="633" t="s">
        <v>379</v>
      </c>
      <c r="C53" s="667">
        <v>0</v>
      </c>
      <c r="D53" s="668" t="s">
        <v>56</v>
      </c>
      <c r="E53" s="690" t="s">
        <v>56</v>
      </c>
      <c r="F53" s="680">
        <v>28</v>
      </c>
      <c r="G53" s="681">
        <v>173</v>
      </c>
      <c r="H53" s="690">
        <f>G53+F53</f>
        <v>201</v>
      </c>
      <c r="I53" s="681">
        <v>0</v>
      </c>
      <c r="J53" s="681">
        <v>0</v>
      </c>
      <c r="K53" s="690">
        <f>J53+I53</f>
        <v>0</v>
      </c>
      <c r="L53" s="635" t="s">
        <v>1637</v>
      </c>
      <c r="M53" s="24">
        <v>37</v>
      </c>
      <c r="R53" s="1"/>
    </row>
    <row r="54" spans="1:18" ht="32" customHeight="1">
      <c r="A54" s="147">
        <v>38</v>
      </c>
      <c r="B54" s="289" t="s">
        <v>380</v>
      </c>
      <c r="C54" s="162">
        <v>0</v>
      </c>
      <c r="D54" s="163">
        <v>146</v>
      </c>
      <c r="E54" s="169">
        <f t="shared" si="3"/>
        <v>146</v>
      </c>
      <c r="F54" s="164">
        <v>91</v>
      </c>
      <c r="G54" s="165">
        <v>234</v>
      </c>
      <c r="H54" s="169">
        <f>G54+F54</f>
        <v>325</v>
      </c>
      <c r="I54" s="165">
        <v>43</v>
      </c>
      <c r="J54" s="165">
        <v>274</v>
      </c>
      <c r="K54" s="169">
        <f>J54+I54</f>
        <v>317</v>
      </c>
      <c r="L54" s="238" t="s">
        <v>1649</v>
      </c>
      <c r="M54" s="909">
        <v>38</v>
      </c>
    </row>
    <row r="55" spans="1:18" ht="35.25" customHeight="1">
      <c r="A55" s="170">
        <v>39</v>
      </c>
      <c r="B55" s="718" t="s">
        <v>719</v>
      </c>
      <c r="C55" s="687">
        <v>0</v>
      </c>
      <c r="D55" s="688">
        <v>36</v>
      </c>
      <c r="E55" s="685">
        <f t="shared" si="3"/>
        <v>36</v>
      </c>
      <c r="F55" s="684">
        <v>19</v>
      </c>
      <c r="G55" s="685">
        <v>19</v>
      </c>
      <c r="H55" s="685">
        <v>0</v>
      </c>
      <c r="I55" s="684">
        <v>0</v>
      </c>
      <c r="J55" s="685">
        <v>0</v>
      </c>
      <c r="K55" s="685">
        <v>0</v>
      </c>
      <c r="L55" s="696" t="s">
        <v>1650</v>
      </c>
      <c r="M55" s="939">
        <v>39</v>
      </c>
    </row>
    <row r="56" spans="1:18" ht="18" customHeight="1">
      <c r="A56" s="445" t="s">
        <v>758</v>
      </c>
      <c r="B56" s="445"/>
      <c r="C56" s="697"/>
      <c r="D56" s="661"/>
      <c r="E56" s="691"/>
      <c r="F56" s="691"/>
      <c r="G56" s="691"/>
      <c r="H56" s="691"/>
      <c r="I56" s="691"/>
      <c r="J56" s="1485" t="s">
        <v>1602</v>
      </c>
      <c r="K56" s="1485"/>
      <c r="L56" s="1485"/>
      <c r="M56" s="1485"/>
    </row>
    <row r="57" spans="1:18" ht="27.75" customHeight="1">
      <c r="P57" s="1"/>
      <c r="Q57" s="1"/>
      <c r="R57" s="1"/>
    </row>
    <row r="58" spans="1:18" ht="43.5" customHeight="1">
      <c r="P58" s="28"/>
    </row>
    <row r="59" spans="1:18" ht="23.25" customHeight="1"/>
    <row r="60" spans="1:18" ht="15" customHeight="1"/>
    <row r="61" spans="1:18" ht="18" customHeight="1">
      <c r="C61" s="1589"/>
      <c r="D61" s="1589"/>
      <c r="E61" s="1589"/>
      <c r="F61" s="1589"/>
      <c r="G61" s="1589"/>
      <c r="H61" s="1589"/>
      <c r="I61" s="1589"/>
      <c r="J61" s="1589"/>
      <c r="K61" s="1589"/>
      <c r="L61" s="1589"/>
      <c r="M61" s="1589"/>
    </row>
    <row r="62" spans="1:18" ht="14.25" customHeight="1">
      <c r="P62" s="3"/>
      <c r="Q62" s="3"/>
      <c r="R62" s="3"/>
    </row>
    <row r="63" spans="1:18">
      <c r="P63" s="3"/>
      <c r="Q63" s="3"/>
      <c r="R63" s="3"/>
    </row>
    <row r="64" spans="1:18" ht="0.75" customHeight="1">
      <c r="P64" s="3"/>
      <c r="Q64" s="3"/>
      <c r="R64" s="3"/>
    </row>
    <row r="71" spans="4:10">
      <c r="F71" s="449" t="s">
        <v>726</v>
      </c>
      <c r="G71" s="449" t="s">
        <v>725</v>
      </c>
      <c r="H71" s="449" t="s">
        <v>772</v>
      </c>
    </row>
    <row r="72" spans="4:10">
      <c r="F72" s="482">
        <v>1400</v>
      </c>
      <c r="G72" s="482">
        <v>1401</v>
      </c>
      <c r="H72" s="482">
        <v>1402</v>
      </c>
      <c r="J72" s="450"/>
    </row>
    <row r="73" spans="4:10">
      <c r="E73" s="447" t="s">
        <v>584</v>
      </c>
      <c r="F73" s="450">
        <f>J9/K9*100</f>
        <v>83.580144532638315</v>
      </c>
      <c r="G73" s="450">
        <f>G9/H9*100</f>
        <v>70.615388817568487</v>
      </c>
      <c r="H73" s="450">
        <f>D9/E9*100</f>
        <v>99.348629204744313</v>
      </c>
    </row>
    <row r="74" spans="4:10">
      <c r="E74" s="532" t="s">
        <v>585</v>
      </c>
      <c r="F74" s="450">
        <f>I9/K9*100</f>
        <v>16.419855467361689</v>
      </c>
      <c r="G74" s="450">
        <f>F9/H9*100</f>
        <v>29.384611182431509</v>
      </c>
      <c r="H74" s="450">
        <f>C9/E9*100</f>
        <v>0.65137079525568731</v>
      </c>
    </row>
    <row r="75" spans="4:10">
      <c r="F75" s="482"/>
      <c r="G75" s="482"/>
    </row>
    <row r="76" spans="4:10">
      <c r="D76" s="533"/>
      <c r="E76" s="534"/>
      <c r="F76" s="534"/>
      <c r="G76" s="534"/>
    </row>
    <row r="77" spans="4:10">
      <c r="D77" s="533"/>
      <c r="E77" s="534"/>
      <c r="F77" s="534"/>
      <c r="G77" s="534"/>
    </row>
    <row r="83" spans="1:13" ht="21.75" customHeight="1">
      <c r="A83" s="1448" t="s">
        <v>2175</v>
      </c>
      <c r="B83" s="1448"/>
      <c r="C83" s="1448"/>
      <c r="D83" s="1448"/>
      <c r="E83" s="1448"/>
      <c r="F83" s="1448"/>
      <c r="G83" s="1448"/>
      <c r="H83" s="1448"/>
      <c r="I83" s="1448"/>
      <c r="J83" s="1448"/>
      <c r="K83" s="1448"/>
      <c r="L83" s="1448"/>
      <c r="M83" s="1448"/>
    </row>
    <row r="84" spans="1:13" ht="30.75" customHeight="1">
      <c r="A84" s="1453" t="s">
        <v>2176</v>
      </c>
      <c r="B84" s="1453"/>
      <c r="C84" s="1453"/>
      <c r="D84" s="1453"/>
      <c r="E84" s="1453"/>
      <c r="F84" s="1453"/>
      <c r="G84" s="1453"/>
      <c r="H84" s="1453"/>
      <c r="I84" s="1453"/>
      <c r="J84" s="1453"/>
      <c r="K84" s="1453"/>
      <c r="L84" s="1453"/>
      <c r="M84" s="1453"/>
    </row>
  </sheetData>
  <mergeCells count="39">
    <mergeCell ref="A83:M83"/>
    <mergeCell ref="A84:M84"/>
    <mergeCell ref="AC35:AC40"/>
    <mergeCell ref="AD35:AD40"/>
    <mergeCell ref="Z37:AB37"/>
    <mergeCell ref="T37:V37"/>
    <mergeCell ref="W37:Y37"/>
    <mergeCell ref="S35:S40"/>
    <mergeCell ref="T35:V35"/>
    <mergeCell ref="I39:K39"/>
    <mergeCell ref="A38:A42"/>
    <mergeCell ref="W35:Y35"/>
    <mergeCell ref="Z35:AB35"/>
    <mergeCell ref="J56:M56"/>
    <mergeCell ref="C61:M61"/>
    <mergeCell ref="B38:B42"/>
    <mergeCell ref="A1:M1"/>
    <mergeCell ref="A2:M2"/>
    <mergeCell ref="A3:M3"/>
    <mergeCell ref="A4:A8"/>
    <mergeCell ref="B4:B8"/>
    <mergeCell ref="C4:E4"/>
    <mergeCell ref="F4:H4"/>
    <mergeCell ref="I4:K4"/>
    <mergeCell ref="L4:L8"/>
    <mergeCell ref="M4:M8"/>
    <mergeCell ref="C5:E5"/>
    <mergeCell ref="F5:H5"/>
    <mergeCell ref="I5:K5"/>
    <mergeCell ref="A36:D37"/>
    <mergeCell ref="L36:M36"/>
    <mergeCell ref="H37:M37"/>
    <mergeCell ref="C38:E38"/>
    <mergeCell ref="F38:H38"/>
    <mergeCell ref="I38:K38"/>
    <mergeCell ref="L38:L42"/>
    <mergeCell ref="M38:M42"/>
    <mergeCell ref="C39:E39"/>
    <mergeCell ref="F39:H39"/>
  </mergeCells>
  <printOptions horizontalCentered="1"/>
  <pageMargins left="0" right="0" top="0.06" bottom="0.6" header="0.03" footer="0.39370078740157499"/>
  <pageSetup paperSize="9" scale="80" orientation="portrait" r:id="rId1"/>
  <headerFooter>
    <oddFooter>&amp;L&amp;"Times New Roman,Regular"&amp;10    Afghanistan Statistical Yearbook 2023-24&amp;R&amp;"Times New Roman,Regular"&amp;10          د ۱۴۰۲ احصایيوي کالنۍ  /سالنامه احصائیوی ۱۴۰۲</oddFooter>
  </headerFooter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tabColor theme="0"/>
  </sheetPr>
  <dimension ref="A1:AH47"/>
  <sheetViews>
    <sheetView view="pageBreakPreview" topLeftCell="A3" zoomScale="136" zoomScaleSheetLayoutView="136" workbookViewId="0">
      <selection activeCell="A3" sqref="A3:M3"/>
    </sheetView>
  </sheetViews>
  <sheetFormatPr baseColWidth="10" defaultColWidth="8.83203125" defaultRowHeight="15"/>
  <cols>
    <col min="1" max="1" width="2.6640625" customWidth="1"/>
    <col min="2" max="2" width="20.5" style="100" customWidth="1"/>
    <col min="3" max="4" width="7.6640625" style="100" customWidth="1"/>
    <col min="5" max="5" width="9.6640625" style="100" customWidth="1"/>
    <col min="6" max="6" width="7.5" style="100" customWidth="1"/>
    <col min="7" max="7" width="7.6640625" style="100" customWidth="1"/>
    <col min="8" max="8" width="10.1640625" style="100" customWidth="1"/>
    <col min="9" max="9" width="6.6640625" style="100" customWidth="1"/>
    <col min="10" max="10" width="7.33203125" style="100" customWidth="1"/>
    <col min="11" max="11" width="9.6640625" style="100" customWidth="1"/>
    <col min="12" max="12" width="25.33203125" style="100" customWidth="1"/>
    <col min="13" max="13" width="3.33203125" style="100" bestFit="1" customWidth="1"/>
  </cols>
  <sheetData>
    <row r="1" spans="1:34" ht="15" hidden="1" customHeight="1">
      <c r="A1" s="1443" t="s">
        <v>2191</v>
      </c>
      <c r="B1" s="1443"/>
      <c r="C1" s="1443"/>
      <c r="D1" s="1443"/>
      <c r="E1" s="1443"/>
      <c r="F1" s="1443"/>
      <c r="G1" s="1443"/>
      <c r="H1" s="1443"/>
      <c r="I1" s="1443"/>
      <c r="J1" s="1443"/>
      <c r="K1" s="1443"/>
      <c r="L1" s="1443"/>
      <c r="M1" s="1443"/>
      <c r="N1" s="111"/>
      <c r="O1" s="111"/>
      <c r="P1" s="111"/>
    </row>
    <row r="2" spans="1:34" ht="15" hidden="1" customHeight="1">
      <c r="A2" s="1596" t="s">
        <v>2192</v>
      </c>
      <c r="B2" s="1596"/>
      <c r="C2" s="1596"/>
      <c r="D2" s="1596"/>
      <c r="E2" s="1596"/>
      <c r="F2" s="1596"/>
      <c r="G2" s="1596"/>
      <c r="H2" s="1596"/>
      <c r="I2" s="1596"/>
      <c r="J2" s="1596"/>
      <c r="K2" s="1596"/>
      <c r="L2" s="1596"/>
      <c r="M2" s="1596"/>
      <c r="N2" s="111"/>
      <c r="O2" s="111"/>
      <c r="P2" s="111"/>
    </row>
    <row r="3" spans="1:34" ht="15" customHeight="1">
      <c r="A3" s="1521" t="s">
        <v>2193</v>
      </c>
      <c r="B3" s="1521"/>
      <c r="C3" s="1521"/>
      <c r="D3" s="1521"/>
      <c r="E3" s="1521"/>
      <c r="F3" s="1521"/>
      <c r="G3" s="1521"/>
      <c r="H3" s="1521"/>
      <c r="I3" s="1521"/>
      <c r="J3" s="1521"/>
      <c r="K3" s="1521"/>
      <c r="L3" s="1521"/>
      <c r="M3" s="1521"/>
      <c r="N3" s="111"/>
      <c r="O3" s="111"/>
      <c r="P3" s="111"/>
      <c r="R3" s="2"/>
      <c r="T3" s="3"/>
      <c r="AD3" s="2"/>
    </row>
    <row r="4" spans="1:34" ht="15" customHeight="1">
      <c r="A4" s="1327" t="s">
        <v>621</v>
      </c>
      <c r="B4" s="1522" t="s">
        <v>383</v>
      </c>
      <c r="C4" s="1570">
        <v>1402</v>
      </c>
      <c r="D4" s="1571"/>
      <c r="E4" s="1572"/>
      <c r="F4" s="1570">
        <v>1401</v>
      </c>
      <c r="G4" s="1571"/>
      <c r="H4" s="1572"/>
      <c r="I4" s="1570">
        <v>1400</v>
      </c>
      <c r="J4" s="1571"/>
      <c r="K4" s="1572"/>
      <c r="L4" s="1535" t="s">
        <v>53</v>
      </c>
      <c r="M4" s="1563" t="s">
        <v>727</v>
      </c>
      <c r="Q4" s="1595"/>
      <c r="R4" s="1595"/>
      <c r="S4" s="1595"/>
      <c r="T4" s="1595"/>
      <c r="U4" s="1595"/>
      <c r="V4" s="1595"/>
      <c r="W4" s="1595"/>
      <c r="X4" s="1595"/>
      <c r="AD4" s="2"/>
    </row>
    <row r="5" spans="1:34" ht="15" customHeight="1">
      <c r="A5" s="1328"/>
      <c r="B5" s="1541"/>
      <c r="C5" s="1573" t="s">
        <v>772</v>
      </c>
      <c r="D5" s="1574"/>
      <c r="E5" s="1575"/>
      <c r="F5" s="1573" t="s">
        <v>725</v>
      </c>
      <c r="G5" s="1574"/>
      <c r="H5" s="1575"/>
      <c r="I5" s="1573" t="s">
        <v>726</v>
      </c>
      <c r="J5" s="1574"/>
      <c r="K5" s="1575"/>
      <c r="L5" s="1535"/>
      <c r="M5" s="1564"/>
      <c r="Q5" s="111"/>
      <c r="R5" s="111"/>
      <c r="S5" s="111"/>
      <c r="T5" s="111"/>
      <c r="U5" s="111"/>
      <c r="V5" s="111"/>
      <c r="W5" s="111"/>
      <c r="X5" s="111"/>
      <c r="AD5" s="2"/>
    </row>
    <row r="6" spans="1:34" ht="15" customHeight="1">
      <c r="A6" s="1328"/>
      <c r="B6" s="1541"/>
      <c r="C6" s="530" t="s">
        <v>278</v>
      </c>
      <c r="D6" s="530" t="s">
        <v>279</v>
      </c>
      <c r="E6" s="530" t="s">
        <v>256</v>
      </c>
      <c r="F6" s="530" t="s">
        <v>278</v>
      </c>
      <c r="G6" s="530" t="s">
        <v>279</v>
      </c>
      <c r="H6" s="530" t="s">
        <v>256</v>
      </c>
      <c r="I6" s="530" t="s">
        <v>278</v>
      </c>
      <c r="J6" s="530" t="s">
        <v>279</v>
      </c>
      <c r="K6" s="530" t="s">
        <v>256</v>
      </c>
      <c r="L6" s="1535"/>
      <c r="M6" s="1564"/>
      <c r="Q6" s="111"/>
      <c r="R6" s="111"/>
      <c r="S6" s="111"/>
      <c r="T6" s="111"/>
      <c r="U6" s="111"/>
      <c r="V6" s="111"/>
      <c r="W6" s="111"/>
      <c r="X6" s="111"/>
      <c r="AD6" s="2"/>
    </row>
    <row r="7" spans="1:34" ht="15" customHeight="1">
      <c r="A7" s="1328"/>
      <c r="B7" s="1541"/>
      <c r="C7" s="1204" t="s">
        <v>12</v>
      </c>
      <c r="D7" s="1204" t="s">
        <v>13</v>
      </c>
      <c r="E7" s="1204" t="s">
        <v>52</v>
      </c>
      <c r="F7" s="1204" t="s">
        <v>12</v>
      </c>
      <c r="G7" s="1204" t="s">
        <v>13</v>
      </c>
      <c r="H7" s="1204" t="s">
        <v>52</v>
      </c>
      <c r="I7" s="1204" t="s">
        <v>12</v>
      </c>
      <c r="J7" s="1204" t="s">
        <v>13</v>
      </c>
      <c r="K7" s="1204" t="s">
        <v>52</v>
      </c>
      <c r="L7" s="1535"/>
      <c r="M7" s="1564"/>
      <c r="Q7" s="111"/>
      <c r="R7" s="111"/>
      <c r="S7" s="111"/>
      <c r="T7" s="111"/>
      <c r="U7" s="111"/>
      <c r="V7" s="111"/>
      <c r="W7" s="111"/>
      <c r="X7" s="111"/>
      <c r="AD7" s="2"/>
    </row>
    <row r="8" spans="1:34" ht="15" customHeight="1">
      <c r="A8" s="1329"/>
      <c r="B8" s="1523"/>
      <c r="C8" s="1204" t="s">
        <v>162</v>
      </c>
      <c r="D8" s="1204" t="s">
        <v>163</v>
      </c>
      <c r="E8" s="1204" t="s">
        <v>282</v>
      </c>
      <c r="F8" s="1204" t="s">
        <v>162</v>
      </c>
      <c r="G8" s="1204" t="s">
        <v>163</v>
      </c>
      <c r="H8" s="1204" t="s">
        <v>282</v>
      </c>
      <c r="I8" s="1204" t="s">
        <v>162</v>
      </c>
      <c r="J8" s="1204" t="s">
        <v>163</v>
      </c>
      <c r="K8" s="1204" t="s">
        <v>282</v>
      </c>
      <c r="L8" s="1535"/>
      <c r="M8" s="1565"/>
      <c r="Q8" s="111"/>
      <c r="R8" s="112"/>
      <c r="S8" s="111"/>
      <c r="T8" s="112"/>
      <c r="U8" s="111"/>
      <c r="V8" s="112"/>
      <c r="W8" s="111"/>
      <c r="X8" s="112"/>
      <c r="AA8" s="2"/>
      <c r="AB8" s="29"/>
      <c r="AD8" s="2"/>
      <c r="AE8" s="29"/>
      <c r="AG8" s="2"/>
      <c r="AH8" s="29"/>
    </row>
    <row r="9" spans="1:34" ht="20" customHeight="1">
      <c r="A9" s="594"/>
      <c r="B9" s="566" t="s">
        <v>70</v>
      </c>
      <c r="C9" s="624">
        <f>SUM(C10:C40)</f>
        <v>67</v>
      </c>
      <c r="D9" s="625">
        <f>SUM(D10:D41)</f>
        <v>10219</v>
      </c>
      <c r="E9" s="625">
        <f>SUM(E10:E41)</f>
        <v>10286</v>
      </c>
      <c r="F9" s="435">
        <f t="shared" ref="F9:K9" si="0">SUM(F10:F40)</f>
        <v>10758</v>
      </c>
      <c r="G9" s="436">
        <f t="shared" si="0"/>
        <v>25853</v>
      </c>
      <c r="H9" s="436">
        <f t="shared" si="0"/>
        <v>36611</v>
      </c>
      <c r="I9" s="435">
        <f t="shared" si="0"/>
        <v>2772</v>
      </c>
      <c r="J9" s="436">
        <f t="shared" si="0"/>
        <v>14110</v>
      </c>
      <c r="K9" s="436">
        <f t="shared" si="0"/>
        <v>16882</v>
      </c>
      <c r="L9" s="431" t="s">
        <v>707</v>
      </c>
      <c r="M9" s="462"/>
      <c r="O9" s="1595"/>
      <c r="P9" s="1595"/>
      <c r="Q9" s="110"/>
      <c r="R9" s="110"/>
      <c r="S9" s="110"/>
      <c r="T9" s="111"/>
      <c r="U9" s="111"/>
      <c r="V9" s="111"/>
      <c r="W9" s="111"/>
      <c r="X9" s="111"/>
      <c r="AA9" s="2"/>
      <c r="AB9" s="29"/>
      <c r="AD9" s="2"/>
      <c r="AE9" s="29"/>
      <c r="AG9" s="2"/>
      <c r="AH9" s="29"/>
    </row>
    <row r="10" spans="1:34" s="639" customFormat="1" ht="22" customHeight="1">
      <c r="A10" s="148">
        <v>1</v>
      </c>
      <c r="B10" s="698" t="s">
        <v>384</v>
      </c>
      <c r="C10" s="682">
        <v>0</v>
      </c>
      <c r="D10" s="683">
        <f>109+102+64+63+96+59+73+61</f>
        <v>627</v>
      </c>
      <c r="E10" s="683">
        <f t="shared" ref="E10:E16" si="1">D10+C10</f>
        <v>627</v>
      </c>
      <c r="F10" s="682">
        <v>481</v>
      </c>
      <c r="G10" s="683">
        <v>1642</v>
      </c>
      <c r="H10" s="693">
        <f t="shared" ref="H10:H16" si="2">G10+F10</f>
        <v>2123</v>
      </c>
      <c r="I10" s="683">
        <v>80</v>
      </c>
      <c r="J10" s="683">
        <v>720</v>
      </c>
      <c r="K10" s="693">
        <f t="shared" ref="K10:K40" si="3">J10+I10</f>
        <v>800</v>
      </c>
      <c r="L10" s="653" t="s">
        <v>1655</v>
      </c>
      <c r="M10" s="24">
        <v>1</v>
      </c>
      <c r="N10" s="673"/>
      <c r="O10" s="673"/>
      <c r="P10" s="699"/>
      <c r="Q10" s="700"/>
      <c r="R10" s="700"/>
      <c r="S10" s="700"/>
      <c r="T10" s="700"/>
      <c r="U10" s="701"/>
      <c r="V10" s="701"/>
      <c r="W10" s="701"/>
      <c r="X10" s="701"/>
      <c r="AA10" s="673"/>
      <c r="AB10" s="677"/>
      <c r="AD10" s="673"/>
      <c r="AE10" s="677"/>
      <c r="AG10" s="673"/>
      <c r="AH10" s="677"/>
    </row>
    <row r="11" spans="1:34" ht="22" customHeight="1">
      <c r="A11" s="147">
        <v>2</v>
      </c>
      <c r="B11" s="283" t="s">
        <v>385</v>
      </c>
      <c r="C11" s="167">
        <v>0</v>
      </c>
      <c r="D11" s="168">
        <f>145+106</f>
        <v>251</v>
      </c>
      <c r="E11" s="168">
        <f t="shared" si="1"/>
        <v>251</v>
      </c>
      <c r="F11" s="167">
        <v>1502</v>
      </c>
      <c r="G11" s="168">
        <v>829</v>
      </c>
      <c r="H11" s="202">
        <f t="shared" si="2"/>
        <v>2331</v>
      </c>
      <c r="I11" s="168">
        <v>296</v>
      </c>
      <c r="J11" s="168">
        <v>1011</v>
      </c>
      <c r="K11" s="202">
        <f t="shared" si="3"/>
        <v>1307</v>
      </c>
      <c r="L11" s="281" t="s">
        <v>1656</v>
      </c>
      <c r="M11" s="909">
        <v>2</v>
      </c>
      <c r="O11" s="11"/>
      <c r="P11" s="44"/>
      <c r="Q11" s="113"/>
      <c r="R11" s="113"/>
      <c r="S11" s="113"/>
      <c r="T11" s="111"/>
      <c r="U11" s="111"/>
      <c r="V11" s="111"/>
      <c r="W11" s="111"/>
      <c r="X11" s="111"/>
      <c r="AA11" s="2"/>
      <c r="AB11" s="29"/>
      <c r="AD11" s="2"/>
      <c r="AE11" s="29"/>
      <c r="AG11" s="2"/>
      <c r="AH11" s="29"/>
    </row>
    <row r="12" spans="1:34" s="639" customFormat="1" ht="28" customHeight="1">
      <c r="A12" s="148">
        <v>3</v>
      </c>
      <c r="B12" s="698" t="s">
        <v>386</v>
      </c>
      <c r="C12" s="682">
        <v>0</v>
      </c>
      <c r="D12" s="683">
        <f>108+13+149+270+26+76+7+115+7+211+166+31</f>
        <v>1179</v>
      </c>
      <c r="E12" s="683">
        <f t="shared" si="1"/>
        <v>1179</v>
      </c>
      <c r="F12" s="682">
        <v>1783</v>
      </c>
      <c r="G12" s="683">
        <v>2938</v>
      </c>
      <c r="H12" s="693">
        <f t="shared" si="2"/>
        <v>4721</v>
      </c>
      <c r="I12" s="683">
        <v>194</v>
      </c>
      <c r="J12" s="683">
        <v>1354</v>
      </c>
      <c r="K12" s="693">
        <f t="shared" si="3"/>
        <v>1548</v>
      </c>
      <c r="L12" s="653" t="s">
        <v>1657</v>
      </c>
      <c r="M12" s="24">
        <v>3</v>
      </c>
      <c r="O12" s="676"/>
      <c r="P12" s="702"/>
      <c r="Q12" s="701"/>
      <c r="R12" s="703"/>
      <c r="S12" s="704"/>
      <c r="T12" s="701"/>
      <c r="U12" s="701"/>
      <c r="V12" s="701"/>
      <c r="W12" s="701"/>
      <c r="X12" s="701"/>
      <c r="AA12" s="673"/>
      <c r="AB12" s="677"/>
      <c r="AD12" s="673"/>
      <c r="AE12" s="677"/>
      <c r="AG12" s="673"/>
      <c r="AH12" s="677"/>
    </row>
    <row r="13" spans="1:34" ht="25.5" customHeight="1">
      <c r="A13" s="147">
        <v>4</v>
      </c>
      <c r="B13" s="283" t="s">
        <v>387</v>
      </c>
      <c r="C13" s="167">
        <v>0</v>
      </c>
      <c r="D13" s="168">
        <f>100+149+83+251+50+65+84</f>
        <v>782</v>
      </c>
      <c r="E13" s="168">
        <f t="shared" si="1"/>
        <v>782</v>
      </c>
      <c r="F13" s="167">
        <v>316</v>
      </c>
      <c r="G13" s="168">
        <v>1704</v>
      </c>
      <c r="H13" s="202">
        <f t="shared" si="2"/>
        <v>2020</v>
      </c>
      <c r="I13" s="168">
        <v>53</v>
      </c>
      <c r="J13" s="168">
        <v>1093</v>
      </c>
      <c r="K13" s="202">
        <f t="shared" si="3"/>
        <v>1146</v>
      </c>
      <c r="L13" s="281" t="s">
        <v>1658</v>
      </c>
      <c r="M13" s="909">
        <v>4</v>
      </c>
      <c r="N13" s="360"/>
      <c r="O13" s="11"/>
      <c r="P13" s="114"/>
      <c r="Q13" s="111"/>
      <c r="R13" s="110"/>
      <c r="S13" s="112"/>
      <c r="T13" s="111"/>
      <c r="U13" s="111"/>
      <c r="V13" s="111"/>
      <c r="W13" s="111"/>
      <c r="X13" s="111"/>
      <c r="AA13" s="2"/>
      <c r="AB13" s="29"/>
      <c r="AD13" s="2"/>
      <c r="AE13" s="29"/>
      <c r="AG13" s="2"/>
      <c r="AH13" s="29"/>
    </row>
    <row r="14" spans="1:34" s="639" customFormat="1" ht="28">
      <c r="A14" s="148">
        <v>5</v>
      </c>
      <c r="B14" s="271" t="s">
        <v>388</v>
      </c>
      <c r="C14" s="682">
        <v>0</v>
      </c>
      <c r="D14" s="683">
        <f>26</f>
        <v>26</v>
      </c>
      <c r="E14" s="683">
        <f t="shared" si="1"/>
        <v>26</v>
      </c>
      <c r="F14" s="682">
        <v>256</v>
      </c>
      <c r="G14" s="683">
        <v>177</v>
      </c>
      <c r="H14" s="693">
        <f t="shared" si="2"/>
        <v>433</v>
      </c>
      <c r="I14" s="683">
        <v>0</v>
      </c>
      <c r="J14" s="683">
        <v>0</v>
      </c>
      <c r="K14" s="693">
        <f t="shared" si="3"/>
        <v>0</v>
      </c>
      <c r="L14" s="653" t="s">
        <v>1659</v>
      </c>
      <c r="M14" s="24">
        <v>5</v>
      </c>
      <c r="N14" s="360"/>
      <c r="O14" s="676"/>
      <c r="P14" s="705"/>
      <c r="Q14" s="701"/>
      <c r="R14" s="703"/>
      <c r="S14" s="704"/>
      <c r="T14" s="701"/>
      <c r="U14" s="701"/>
      <c r="V14" s="701"/>
      <c r="W14" s="701"/>
      <c r="X14" s="701"/>
      <c r="AA14" s="673"/>
      <c r="AB14" s="677"/>
      <c r="AD14" s="673"/>
      <c r="AE14" s="677"/>
      <c r="AG14" s="673"/>
      <c r="AH14" s="677"/>
    </row>
    <row r="15" spans="1:34" ht="22" customHeight="1">
      <c r="A15" s="147">
        <v>6</v>
      </c>
      <c r="B15" s="283" t="s">
        <v>389</v>
      </c>
      <c r="C15" s="167">
        <v>0</v>
      </c>
      <c r="D15" s="168">
        <f>157+178+133+140+100+132+105+53</f>
        <v>998</v>
      </c>
      <c r="E15" s="168">
        <f t="shared" si="1"/>
        <v>998</v>
      </c>
      <c r="F15" s="167">
        <v>341</v>
      </c>
      <c r="G15" s="168">
        <v>2936</v>
      </c>
      <c r="H15" s="202">
        <f t="shared" si="2"/>
        <v>3277</v>
      </c>
      <c r="I15" s="168">
        <v>65</v>
      </c>
      <c r="J15" s="168">
        <v>1302</v>
      </c>
      <c r="K15" s="202">
        <f t="shared" si="3"/>
        <v>1367</v>
      </c>
      <c r="L15" s="281" t="s">
        <v>1660</v>
      </c>
      <c r="M15" s="909">
        <v>6</v>
      </c>
      <c r="O15" s="11"/>
      <c r="P15" s="44"/>
      <c r="Q15" s="985"/>
      <c r="R15" s="110"/>
      <c r="S15" s="112"/>
      <c r="T15" s="111"/>
      <c r="U15" s="111"/>
      <c r="V15" s="111"/>
      <c r="W15" s="111"/>
      <c r="X15" s="111"/>
      <c r="AA15" s="2"/>
      <c r="AB15" s="29"/>
      <c r="AD15" s="2"/>
      <c r="AE15" s="29"/>
      <c r="AG15" s="2"/>
      <c r="AH15" s="29"/>
    </row>
    <row r="16" spans="1:34" s="639" customFormat="1" ht="22" customHeight="1">
      <c r="A16" s="148">
        <v>7</v>
      </c>
      <c r="B16" s="698" t="s">
        <v>390</v>
      </c>
      <c r="C16" s="682">
        <v>0</v>
      </c>
      <c r="D16" s="683">
        <f>161+184+73+138+111+10+110+80+92+55</f>
        <v>1014</v>
      </c>
      <c r="E16" s="683">
        <f t="shared" si="1"/>
        <v>1014</v>
      </c>
      <c r="F16" s="682">
        <v>638</v>
      </c>
      <c r="G16" s="683">
        <v>2954</v>
      </c>
      <c r="H16" s="693">
        <f t="shared" si="2"/>
        <v>3592</v>
      </c>
      <c r="I16" s="683">
        <v>152</v>
      </c>
      <c r="J16" s="683">
        <v>1630</v>
      </c>
      <c r="K16" s="693">
        <f t="shared" si="3"/>
        <v>1782</v>
      </c>
      <c r="L16" s="653" t="s">
        <v>1661</v>
      </c>
      <c r="M16" s="24">
        <v>7</v>
      </c>
      <c r="O16" s="676"/>
      <c r="P16" s="705"/>
      <c r="Q16" s="701"/>
      <c r="R16" s="701"/>
      <c r="S16" s="701"/>
      <c r="T16" s="701"/>
      <c r="U16" s="701"/>
      <c r="V16" s="701"/>
      <c r="W16" s="701"/>
      <c r="X16" s="701"/>
      <c r="AA16" s="673"/>
      <c r="AB16" s="677"/>
      <c r="AD16" s="673"/>
      <c r="AE16" s="677"/>
      <c r="AG16" s="673"/>
      <c r="AH16" s="677"/>
    </row>
    <row r="17" spans="1:34" ht="22" customHeight="1">
      <c r="A17" s="147">
        <v>8</v>
      </c>
      <c r="B17" s="283" t="s">
        <v>391</v>
      </c>
      <c r="C17" s="167">
        <v>0</v>
      </c>
      <c r="D17" s="168">
        <v>0</v>
      </c>
      <c r="E17" s="168">
        <v>0</v>
      </c>
      <c r="F17" s="167">
        <v>0</v>
      </c>
      <c r="G17" s="168">
        <v>0</v>
      </c>
      <c r="H17" s="202">
        <v>0</v>
      </c>
      <c r="I17" s="168">
        <v>104</v>
      </c>
      <c r="J17" s="168">
        <v>139</v>
      </c>
      <c r="K17" s="202">
        <f t="shared" si="3"/>
        <v>243</v>
      </c>
      <c r="L17" s="281" t="s">
        <v>1662</v>
      </c>
      <c r="M17" s="909">
        <v>8</v>
      </c>
      <c r="P17" s="111"/>
      <c r="Q17" s="111"/>
      <c r="R17" s="111"/>
      <c r="S17" s="111"/>
      <c r="T17" s="111"/>
      <c r="U17" s="111"/>
      <c r="V17" s="111"/>
      <c r="W17" s="111"/>
      <c r="X17" s="111"/>
      <c r="AA17" s="2"/>
      <c r="AB17" s="29"/>
      <c r="AD17" s="2"/>
      <c r="AE17" s="29"/>
      <c r="AG17" s="2"/>
      <c r="AH17" s="29"/>
    </row>
    <row r="18" spans="1:34" s="639" customFormat="1" ht="22" customHeight="1">
      <c r="A18" s="148">
        <v>9</v>
      </c>
      <c r="B18" s="698" t="s">
        <v>392</v>
      </c>
      <c r="C18" s="682">
        <v>0</v>
      </c>
      <c r="D18" s="683">
        <f>89+110+51+22+18</f>
        <v>290</v>
      </c>
      <c r="E18" s="683">
        <f t="shared" ref="E18:E28" si="4">D18+C18</f>
        <v>290</v>
      </c>
      <c r="F18" s="682">
        <v>34</v>
      </c>
      <c r="G18" s="683">
        <v>462</v>
      </c>
      <c r="H18" s="693">
        <f t="shared" ref="H18:H28" si="5">G18+F18</f>
        <v>496</v>
      </c>
      <c r="I18" s="683">
        <v>21</v>
      </c>
      <c r="J18" s="683">
        <v>300</v>
      </c>
      <c r="K18" s="693">
        <f t="shared" si="3"/>
        <v>321</v>
      </c>
      <c r="L18" s="653" t="s">
        <v>1663</v>
      </c>
      <c r="M18" s="24">
        <v>9</v>
      </c>
      <c r="P18" s="701"/>
      <c r="Q18" s="701"/>
      <c r="R18" s="701"/>
      <c r="S18" s="701"/>
      <c r="T18" s="701"/>
      <c r="U18" s="701"/>
      <c r="V18" s="701"/>
      <c r="W18" s="701"/>
      <c r="X18" s="701"/>
      <c r="AA18" s="673"/>
      <c r="AB18" s="677"/>
      <c r="AD18" s="673"/>
      <c r="AE18" s="677"/>
      <c r="AG18" s="673"/>
      <c r="AH18" s="677"/>
    </row>
    <row r="19" spans="1:34" ht="28" customHeight="1">
      <c r="A19" s="147">
        <v>10</v>
      </c>
      <c r="B19" s="283" t="s">
        <v>393</v>
      </c>
      <c r="C19" s="167">
        <v>0</v>
      </c>
      <c r="D19" s="168">
        <f>87</f>
        <v>87</v>
      </c>
      <c r="E19" s="168">
        <f t="shared" si="4"/>
        <v>87</v>
      </c>
      <c r="F19" s="167">
        <v>72</v>
      </c>
      <c r="G19" s="168">
        <v>209</v>
      </c>
      <c r="H19" s="202">
        <f t="shared" si="5"/>
        <v>281</v>
      </c>
      <c r="I19" s="168">
        <v>32</v>
      </c>
      <c r="J19" s="168">
        <v>112</v>
      </c>
      <c r="K19" s="202">
        <f t="shared" si="3"/>
        <v>144</v>
      </c>
      <c r="L19" s="281" t="s">
        <v>1664</v>
      </c>
      <c r="M19" s="909">
        <v>10</v>
      </c>
      <c r="P19" s="111"/>
      <c r="Q19" s="111"/>
      <c r="R19" s="111"/>
      <c r="S19" s="111"/>
      <c r="T19" s="111"/>
      <c r="U19" s="111"/>
      <c r="V19" s="111"/>
      <c r="W19" s="111"/>
      <c r="X19" s="111"/>
      <c r="AA19" s="2"/>
      <c r="AB19" s="29"/>
      <c r="AD19" s="2"/>
      <c r="AE19" s="29"/>
      <c r="AG19" s="2"/>
      <c r="AH19" s="29"/>
    </row>
    <row r="20" spans="1:34" s="639" customFormat="1" ht="22" customHeight="1">
      <c r="A20" s="148">
        <v>11</v>
      </c>
      <c r="B20" s="698" t="s">
        <v>394</v>
      </c>
      <c r="C20" s="682">
        <v>0</v>
      </c>
      <c r="D20" s="683" t="s">
        <v>56</v>
      </c>
      <c r="E20" s="683" t="s">
        <v>56</v>
      </c>
      <c r="F20" s="682">
        <v>131</v>
      </c>
      <c r="G20" s="683">
        <v>162</v>
      </c>
      <c r="H20" s="693">
        <f t="shared" si="5"/>
        <v>293</v>
      </c>
      <c r="I20" s="683">
        <v>0</v>
      </c>
      <c r="J20" s="683">
        <v>0</v>
      </c>
      <c r="K20" s="693">
        <f t="shared" si="3"/>
        <v>0</v>
      </c>
      <c r="L20" s="653" t="s">
        <v>1665</v>
      </c>
      <c r="M20" s="24">
        <v>11</v>
      </c>
      <c r="P20" s="701"/>
      <c r="Q20" s="701"/>
      <c r="R20" s="701"/>
      <c r="S20" s="701"/>
      <c r="T20" s="701"/>
      <c r="U20" s="701"/>
      <c r="V20" s="701"/>
      <c r="W20" s="701"/>
      <c r="X20" s="701"/>
      <c r="AA20" s="673"/>
      <c r="AB20" s="677"/>
      <c r="AD20" s="673"/>
      <c r="AE20" s="677"/>
      <c r="AG20" s="673"/>
      <c r="AH20" s="677"/>
    </row>
    <row r="21" spans="1:34" ht="28" customHeight="1">
      <c r="A21" s="147">
        <v>12</v>
      </c>
      <c r="B21" s="283" t="s">
        <v>395</v>
      </c>
      <c r="C21" s="167">
        <v>0</v>
      </c>
      <c r="D21" s="168">
        <f>95+53+75</f>
        <v>223</v>
      </c>
      <c r="E21" s="168">
        <f t="shared" si="4"/>
        <v>223</v>
      </c>
      <c r="F21" s="167">
        <v>206</v>
      </c>
      <c r="G21" s="168">
        <v>680</v>
      </c>
      <c r="H21" s="202">
        <f t="shared" si="5"/>
        <v>886</v>
      </c>
      <c r="I21" s="168">
        <v>168</v>
      </c>
      <c r="J21" s="168">
        <v>479</v>
      </c>
      <c r="K21" s="202">
        <f t="shared" si="3"/>
        <v>647</v>
      </c>
      <c r="L21" s="281" t="s">
        <v>1666</v>
      </c>
      <c r="M21" s="909">
        <v>12</v>
      </c>
      <c r="P21" s="111"/>
      <c r="Q21" s="111"/>
      <c r="R21" s="111"/>
      <c r="S21" s="111"/>
      <c r="T21" s="111"/>
      <c r="U21" s="111"/>
      <c r="V21" s="111"/>
      <c r="W21" s="111"/>
      <c r="X21" s="111"/>
      <c r="AA21" s="2"/>
      <c r="AB21" s="29"/>
      <c r="AD21" s="2"/>
      <c r="AE21" s="29"/>
      <c r="AG21" s="2"/>
      <c r="AH21" s="29"/>
    </row>
    <row r="22" spans="1:34" s="639" customFormat="1" ht="28" customHeight="1">
      <c r="A22" s="148">
        <v>13</v>
      </c>
      <c r="B22" s="698" t="s">
        <v>396</v>
      </c>
      <c r="C22" s="682">
        <v>0</v>
      </c>
      <c r="D22" s="683">
        <f>20+2+78+58+81</f>
        <v>239</v>
      </c>
      <c r="E22" s="683">
        <f t="shared" si="4"/>
        <v>239</v>
      </c>
      <c r="F22" s="682">
        <v>578</v>
      </c>
      <c r="G22" s="683">
        <v>549</v>
      </c>
      <c r="H22" s="693">
        <f t="shared" si="5"/>
        <v>1127</v>
      </c>
      <c r="I22" s="683">
        <v>66</v>
      </c>
      <c r="J22" s="683">
        <v>129</v>
      </c>
      <c r="K22" s="693">
        <f t="shared" si="3"/>
        <v>195</v>
      </c>
      <c r="L22" s="653" t="s">
        <v>1667</v>
      </c>
      <c r="M22" s="24">
        <v>13</v>
      </c>
      <c r="P22" s="701"/>
      <c r="Q22" s="701"/>
      <c r="R22" s="701"/>
      <c r="S22" s="701"/>
      <c r="T22" s="701"/>
      <c r="U22" s="701"/>
      <c r="V22" s="701"/>
      <c r="W22" s="701"/>
      <c r="X22" s="701"/>
      <c r="AA22" s="673"/>
      <c r="AB22" s="677"/>
      <c r="AD22" s="673"/>
      <c r="AE22" s="677"/>
      <c r="AG22" s="673"/>
      <c r="AH22" s="677"/>
    </row>
    <row r="23" spans="1:34" ht="24.5" customHeight="1">
      <c r="A23" s="147">
        <v>14</v>
      </c>
      <c r="B23" s="283" t="s">
        <v>397</v>
      </c>
      <c r="C23" s="167">
        <v>0</v>
      </c>
      <c r="D23" s="168">
        <f>51+56+10+124+145+27+70+12+12+91+88</f>
        <v>686</v>
      </c>
      <c r="E23" s="168">
        <f t="shared" si="4"/>
        <v>686</v>
      </c>
      <c r="F23" s="167">
        <v>791</v>
      </c>
      <c r="G23" s="168">
        <v>1652</v>
      </c>
      <c r="H23" s="202">
        <f t="shared" si="5"/>
        <v>2443</v>
      </c>
      <c r="I23" s="168">
        <v>263</v>
      </c>
      <c r="J23" s="168">
        <v>771</v>
      </c>
      <c r="K23" s="202">
        <f t="shared" si="3"/>
        <v>1034</v>
      </c>
      <c r="L23" s="281" t="s">
        <v>1668</v>
      </c>
      <c r="M23" s="909">
        <v>14</v>
      </c>
      <c r="P23" s="111"/>
      <c r="Q23" s="111"/>
      <c r="R23" s="111"/>
      <c r="S23" s="111"/>
      <c r="T23" s="111"/>
      <c r="U23" s="111"/>
      <c r="V23" s="111"/>
      <c r="W23" s="111"/>
      <c r="X23" s="111"/>
      <c r="AA23" s="2"/>
      <c r="AB23" s="29"/>
      <c r="AD23" s="2"/>
      <c r="AE23" s="29"/>
      <c r="AG23" s="2"/>
      <c r="AH23" s="29"/>
    </row>
    <row r="24" spans="1:34" s="639" customFormat="1" ht="28" customHeight="1">
      <c r="A24" s="148">
        <v>15</v>
      </c>
      <c r="B24" s="698" t="s">
        <v>398</v>
      </c>
      <c r="C24" s="682">
        <v>0</v>
      </c>
      <c r="D24" s="683">
        <f>240+59+359+35+45+178+120+133+40+248+18+133+8+111+1+87+6+267+75+86+35+36</f>
        <v>2320</v>
      </c>
      <c r="E24" s="683">
        <f t="shared" si="4"/>
        <v>2320</v>
      </c>
      <c r="F24" s="682">
        <v>2227</v>
      </c>
      <c r="G24" s="683">
        <v>5215</v>
      </c>
      <c r="H24" s="693">
        <f t="shared" si="5"/>
        <v>7442</v>
      </c>
      <c r="I24" s="682">
        <v>742</v>
      </c>
      <c r="J24" s="683">
        <v>3366</v>
      </c>
      <c r="K24" s="693">
        <f t="shared" si="3"/>
        <v>4108</v>
      </c>
      <c r="L24" s="653" t="s">
        <v>1669</v>
      </c>
      <c r="M24" s="24">
        <v>15</v>
      </c>
      <c r="AA24" s="673"/>
      <c r="AB24" s="677"/>
      <c r="AD24" s="673"/>
      <c r="AE24" s="677"/>
      <c r="AG24" s="673"/>
      <c r="AH24" s="677"/>
    </row>
    <row r="25" spans="1:34" ht="24.5" customHeight="1">
      <c r="A25" s="147">
        <v>16</v>
      </c>
      <c r="B25" s="289" t="s">
        <v>399</v>
      </c>
      <c r="C25" s="706">
        <v>0</v>
      </c>
      <c r="D25" s="168">
        <f>34</f>
        <v>34</v>
      </c>
      <c r="E25" s="168">
        <f t="shared" si="4"/>
        <v>34</v>
      </c>
      <c r="F25" s="167">
        <v>105</v>
      </c>
      <c r="G25" s="168">
        <v>426</v>
      </c>
      <c r="H25" s="202">
        <f t="shared" si="5"/>
        <v>531</v>
      </c>
      <c r="I25" s="168">
        <v>0</v>
      </c>
      <c r="J25" s="168">
        <v>0</v>
      </c>
      <c r="K25" s="202">
        <f t="shared" si="3"/>
        <v>0</v>
      </c>
      <c r="L25" s="437" t="s">
        <v>1670</v>
      </c>
      <c r="M25" s="909">
        <v>16</v>
      </c>
      <c r="N25" s="360"/>
      <c r="AA25" s="2"/>
      <c r="AB25" s="29"/>
      <c r="AD25" s="2"/>
      <c r="AE25" s="29"/>
      <c r="AG25" s="2"/>
      <c r="AH25" s="29"/>
    </row>
    <row r="26" spans="1:34" s="639" customFormat="1" ht="28" customHeight="1">
      <c r="A26" s="148">
        <v>17</v>
      </c>
      <c r="B26" s="633" t="s">
        <v>400</v>
      </c>
      <c r="C26" s="682">
        <v>0</v>
      </c>
      <c r="D26" s="683" t="s">
        <v>56</v>
      </c>
      <c r="E26" s="683" t="s">
        <v>56</v>
      </c>
      <c r="F26" s="682">
        <v>14</v>
      </c>
      <c r="G26" s="683">
        <v>70</v>
      </c>
      <c r="H26" s="693">
        <f t="shared" si="5"/>
        <v>84</v>
      </c>
      <c r="I26" s="683">
        <v>0</v>
      </c>
      <c r="J26" s="683">
        <v>0</v>
      </c>
      <c r="K26" s="693">
        <f t="shared" si="3"/>
        <v>0</v>
      </c>
      <c r="L26" s="654" t="s">
        <v>1671</v>
      </c>
      <c r="M26" s="24">
        <v>17</v>
      </c>
      <c r="N26" s="360"/>
      <c r="AA26" s="673"/>
      <c r="AB26" s="677"/>
      <c r="AD26" s="673"/>
      <c r="AE26" s="677"/>
      <c r="AG26" s="673"/>
      <c r="AH26" s="677"/>
    </row>
    <row r="27" spans="1:34" ht="28" customHeight="1">
      <c r="A27" s="147">
        <v>18</v>
      </c>
      <c r="B27" s="289" t="s">
        <v>432</v>
      </c>
      <c r="C27" s="167">
        <v>0</v>
      </c>
      <c r="D27" s="168">
        <v>41</v>
      </c>
      <c r="E27" s="168">
        <f t="shared" si="4"/>
        <v>41</v>
      </c>
      <c r="F27" s="167">
        <v>37</v>
      </c>
      <c r="G27" s="168">
        <v>59</v>
      </c>
      <c r="H27" s="202">
        <f t="shared" si="5"/>
        <v>96</v>
      </c>
      <c r="I27" s="168">
        <v>0</v>
      </c>
      <c r="J27" s="168">
        <v>0</v>
      </c>
      <c r="K27" s="202">
        <f t="shared" si="3"/>
        <v>0</v>
      </c>
      <c r="L27" s="437" t="s">
        <v>1672</v>
      </c>
      <c r="M27" s="909">
        <v>18</v>
      </c>
      <c r="N27" s="360"/>
      <c r="AB27" s="29"/>
      <c r="AE27" s="29"/>
      <c r="AH27" s="29"/>
    </row>
    <row r="28" spans="1:34" s="639" customFormat="1" ht="28" customHeight="1">
      <c r="A28" s="148">
        <v>19</v>
      </c>
      <c r="B28" s="633" t="s">
        <v>402</v>
      </c>
      <c r="C28" s="682">
        <v>3</v>
      </c>
      <c r="D28" s="683">
        <f>79+47+127</f>
        <v>253</v>
      </c>
      <c r="E28" s="683">
        <f t="shared" si="4"/>
        <v>256</v>
      </c>
      <c r="F28" s="682">
        <v>268</v>
      </c>
      <c r="G28" s="683">
        <v>520</v>
      </c>
      <c r="H28" s="693">
        <f t="shared" si="5"/>
        <v>788</v>
      </c>
      <c r="I28" s="683">
        <v>214</v>
      </c>
      <c r="J28" s="683">
        <v>500</v>
      </c>
      <c r="K28" s="693">
        <f t="shared" si="3"/>
        <v>714</v>
      </c>
      <c r="L28" s="654" t="s">
        <v>1673</v>
      </c>
      <c r="M28" s="24">
        <v>19</v>
      </c>
      <c r="Y28" s="673"/>
      <c r="Z28" s="677"/>
      <c r="AB28" s="673"/>
      <c r="AC28" s="677"/>
      <c r="AE28" s="673"/>
      <c r="AF28" s="677"/>
    </row>
    <row r="29" spans="1:34" ht="25.5" customHeight="1">
      <c r="A29" s="147">
        <v>20</v>
      </c>
      <c r="B29" s="289" t="s">
        <v>420</v>
      </c>
      <c r="C29" s="156">
        <v>0</v>
      </c>
      <c r="D29" s="157">
        <v>0</v>
      </c>
      <c r="E29" s="157">
        <v>0</v>
      </c>
      <c r="F29" s="167">
        <v>0</v>
      </c>
      <c r="G29" s="168">
        <v>0</v>
      </c>
      <c r="H29" s="202">
        <v>0</v>
      </c>
      <c r="I29" s="168">
        <v>0</v>
      </c>
      <c r="J29" s="168">
        <v>0</v>
      </c>
      <c r="K29" s="202">
        <f t="shared" si="3"/>
        <v>0</v>
      </c>
      <c r="L29" s="437" t="s">
        <v>1687</v>
      </c>
      <c r="M29" s="909">
        <v>20</v>
      </c>
      <c r="Y29" s="2"/>
      <c r="Z29" s="29"/>
      <c r="AB29" s="2"/>
      <c r="AC29" s="29"/>
      <c r="AE29" s="2"/>
      <c r="AF29" s="29"/>
    </row>
    <row r="30" spans="1:34" s="639" customFormat="1" ht="28" customHeight="1">
      <c r="A30" s="148">
        <v>21</v>
      </c>
      <c r="B30" s="633" t="s">
        <v>404</v>
      </c>
      <c r="C30" s="682">
        <v>64</v>
      </c>
      <c r="D30" s="683">
        <v>72</v>
      </c>
      <c r="E30" s="683">
        <f>D30+C30</f>
        <v>136</v>
      </c>
      <c r="F30" s="682">
        <v>41</v>
      </c>
      <c r="G30" s="683">
        <v>112</v>
      </c>
      <c r="H30" s="693">
        <f>G30+F30</f>
        <v>153</v>
      </c>
      <c r="I30" s="683">
        <v>41</v>
      </c>
      <c r="J30" s="683">
        <v>112</v>
      </c>
      <c r="K30" s="693">
        <f t="shared" si="3"/>
        <v>153</v>
      </c>
      <c r="L30" s="654" t="s">
        <v>1675</v>
      </c>
      <c r="M30" s="24">
        <v>21</v>
      </c>
      <c r="Y30" s="673"/>
      <c r="Z30" s="677"/>
      <c r="AB30" s="673"/>
      <c r="AC30" s="677"/>
      <c r="AE30" s="673"/>
      <c r="AF30" s="677"/>
    </row>
    <row r="31" spans="1:34" ht="28" customHeight="1">
      <c r="A31" s="147">
        <v>22</v>
      </c>
      <c r="B31" s="289" t="s">
        <v>433</v>
      </c>
      <c r="C31" s="167">
        <v>0</v>
      </c>
      <c r="D31" s="168">
        <f>104</f>
        <v>104</v>
      </c>
      <c r="E31" s="168">
        <f>D31+C31</f>
        <v>104</v>
      </c>
      <c r="F31" s="167">
        <v>138</v>
      </c>
      <c r="G31" s="168">
        <v>183</v>
      </c>
      <c r="H31" s="202">
        <f>G31+F31</f>
        <v>321</v>
      </c>
      <c r="I31" s="168">
        <v>112</v>
      </c>
      <c r="J31" s="168">
        <v>99</v>
      </c>
      <c r="K31" s="202">
        <f t="shared" si="3"/>
        <v>211</v>
      </c>
      <c r="L31" s="437" t="s">
        <v>1676</v>
      </c>
      <c r="M31" s="909">
        <v>22</v>
      </c>
      <c r="Y31" s="2"/>
      <c r="Z31" s="29"/>
      <c r="AB31" s="2"/>
      <c r="AC31" s="29"/>
      <c r="AE31" s="2"/>
      <c r="AF31" s="29"/>
    </row>
    <row r="32" spans="1:34" s="639" customFormat="1" ht="28" customHeight="1">
      <c r="A32" s="148">
        <v>23</v>
      </c>
      <c r="B32" s="633" t="s">
        <v>406</v>
      </c>
      <c r="C32" s="682">
        <v>0</v>
      </c>
      <c r="D32" s="683" t="s">
        <v>56</v>
      </c>
      <c r="E32" s="683" t="s">
        <v>56</v>
      </c>
      <c r="F32" s="682">
        <v>5</v>
      </c>
      <c r="G32" s="683">
        <v>12</v>
      </c>
      <c r="H32" s="693">
        <f>G32+F32</f>
        <v>17</v>
      </c>
      <c r="I32" s="683">
        <v>0</v>
      </c>
      <c r="J32" s="683">
        <v>0</v>
      </c>
      <c r="K32" s="693">
        <f t="shared" si="3"/>
        <v>0</v>
      </c>
      <c r="L32" s="654" t="s">
        <v>1677</v>
      </c>
      <c r="M32" s="24">
        <v>23</v>
      </c>
      <c r="Y32" s="673"/>
      <c r="Z32" s="677"/>
      <c r="AB32" s="673"/>
      <c r="AC32" s="677"/>
      <c r="AE32" s="673"/>
      <c r="AF32" s="677"/>
    </row>
    <row r="33" spans="1:32" ht="28" customHeight="1">
      <c r="A33" s="147">
        <v>24</v>
      </c>
      <c r="B33" s="289" t="s">
        <v>407</v>
      </c>
      <c r="C33" s="156">
        <v>0</v>
      </c>
      <c r="D33" s="157">
        <v>0</v>
      </c>
      <c r="E33" s="157">
        <v>0</v>
      </c>
      <c r="F33" s="167">
        <v>0</v>
      </c>
      <c r="G33" s="168">
        <v>0</v>
      </c>
      <c r="H33" s="202">
        <v>0</v>
      </c>
      <c r="I33" s="168">
        <v>0</v>
      </c>
      <c r="J33" s="168">
        <v>0</v>
      </c>
      <c r="K33" s="202">
        <f t="shared" si="3"/>
        <v>0</v>
      </c>
      <c r="L33" s="437" t="s">
        <v>1678</v>
      </c>
      <c r="M33" s="909">
        <v>24</v>
      </c>
      <c r="Y33" s="2"/>
      <c r="Z33" s="29"/>
      <c r="AB33" s="2"/>
      <c r="AC33" s="29"/>
      <c r="AD33" s="11"/>
      <c r="AE33" s="11"/>
      <c r="AF33" s="29"/>
    </row>
    <row r="34" spans="1:32" s="639" customFormat="1" ht="28" customHeight="1">
      <c r="A34" s="148">
        <v>25</v>
      </c>
      <c r="B34" s="633" t="s">
        <v>408</v>
      </c>
      <c r="C34" s="682">
        <v>0</v>
      </c>
      <c r="D34" s="683">
        <f>26+93</f>
        <v>119</v>
      </c>
      <c r="E34" s="683">
        <f t="shared" ref="E34:E41" si="6">D34+C34</f>
        <v>119</v>
      </c>
      <c r="F34" s="682">
        <v>90</v>
      </c>
      <c r="G34" s="683">
        <v>623</v>
      </c>
      <c r="H34" s="693">
        <f t="shared" ref="H34:H40" si="7">G34+F34</f>
        <v>713</v>
      </c>
      <c r="I34" s="683">
        <v>49</v>
      </c>
      <c r="J34" s="683">
        <v>353</v>
      </c>
      <c r="K34" s="693">
        <f t="shared" si="3"/>
        <v>402</v>
      </c>
      <c r="L34" s="654" t="s">
        <v>1679</v>
      </c>
      <c r="M34" s="24">
        <v>25</v>
      </c>
      <c r="Y34" s="673"/>
      <c r="Z34" s="677"/>
      <c r="AB34" s="673"/>
      <c r="AC34" s="677"/>
      <c r="AE34" s="673"/>
      <c r="AF34" s="677"/>
    </row>
    <row r="35" spans="1:32" ht="28" customHeight="1">
      <c r="A35" s="147">
        <v>26</v>
      </c>
      <c r="B35" s="289" t="s">
        <v>409</v>
      </c>
      <c r="C35" s="167">
        <v>0</v>
      </c>
      <c r="D35" s="168" t="s">
        <v>56</v>
      </c>
      <c r="E35" s="168" t="s">
        <v>56</v>
      </c>
      <c r="F35" s="167">
        <v>75</v>
      </c>
      <c r="G35" s="168">
        <v>184</v>
      </c>
      <c r="H35" s="202">
        <f t="shared" si="7"/>
        <v>259</v>
      </c>
      <c r="I35" s="168">
        <v>0</v>
      </c>
      <c r="J35" s="168">
        <v>0</v>
      </c>
      <c r="K35" s="202">
        <f t="shared" si="3"/>
        <v>0</v>
      </c>
      <c r="L35" s="437" t="s">
        <v>1680</v>
      </c>
      <c r="M35" s="909">
        <v>26</v>
      </c>
      <c r="Y35" s="2"/>
      <c r="Z35" s="29"/>
      <c r="AB35" s="2"/>
      <c r="AC35" s="29"/>
      <c r="AE35" s="2"/>
      <c r="AF35" s="29"/>
    </row>
    <row r="36" spans="1:32" s="639" customFormat="1" ht="28" customHeight="1">
      <c r="A36" s="148">
        <v>27</v>
      </c>
      <c r="B36" s="633" t="s">
        <v>410</v>
      </c>
      <c r="C36" s="682">
        <v>0</v>
      </c>
      <c r="D36" s="683">
        <f>25+61+79+90+84+49+118</f>
        <v>506</v>
      </c>
      <c r="E36" s="683">
        <f t="shared" si="6"/>
        <v>506</v>
      </c>
      <c r="F36" s="682">
        <v>306</v>
      </c>
      <c r="G36" s="683">
        <v>961</v>
      </c>
      <c r="H36" s="693">
        <f t="shared" si="7"/>
        <v>1267</v>
      </c>
      <c r="I36" s="683">
        <v>88</v>
      </c>
      <c r="J36" s="683">
        <v>430</v>
      </c>
      <c r="K36" s="693">
        <f t="shared" si="3"/>
        <v>518</v>
      </c>
      <c r="L36" s="654" t="s">
        <v>1681</v>
      </c>
      <c r="M36" s="24">
        <v>27</v>
      </c>
      <c r="Y36" s="673"/>
      <c r="Z36" s="677"/>
      <c r="AB36" s="673"/>
      <c r="AC36" s="677"/>
      <c r="AE36" s="673"/>
      <c r="AF36" s="677"/>
    </row>
    <row r="37" spans="1:32" ht="23.25" customHeight="1">
      <c r="A37" s="147">
        <v>28</v>
      </c>
      <c r="B37" s="289" t="s">
        <v>411</v>
      </c>
      <c r="C37" s="167">
        <v>0</v>
      </c>
      <c r="D37" s="168">
        <f>21+15</f>
        <v>36</v>
      </c>
      <c r="E37" s="168">
        <f t="shared" si="6"/>
        <v>36</v>
      </c>
      <c r="F37" s="167">
        <v>75</v>
      </c>
      <c r="G37" s="168">
        <v>20</v>
      </c>
      <c r="H37" s="202">
        <f t="shared" si="7"/>
        <v>95</v>
      </c>
      <c r="I37" s="168">
        <v>0</v>
      </c>
      <c r="J37" s="168">
        <v>0</v>
      </c>
      <c r="K37" s="202">
        <f t="shared" si="3"/>
        <v>0</v>
      </c>
      <c r="L37" s="437" t="s">
        <v>1682</v>
      </c>
      <c r="M37" s="909">
        <v>28</v>
      </c>
      <c r="W37" s="329"/>
      <c r="X37" s="329"/>
      <c r="Y37" s="2"/>
      <c r="Z37" s="29"/>
      <c r="AB37" s="2"/>
      <c r="AC37" s="29"/>
      <c r="AE37" s="2"/>
      <c r="AF37" s="29"/>
    </row>
    <row r="38" spans="1:32" s="639" customFormat="1" ht="28">
      <c r="A38" s="148">
        <v>29</v>
      </c>
      <c r="B38" s="633" t="s">
        <v>412</v>
      </c>
      <c r="C38" s="682">
        <v>0</v>
      </c>
      <c r="D38" s="683" t="s">
        <v>56</v>
      </c>
      <c r="E38" s="683" t="s">
        <v>56</v>
      </c>
      <c r="F38" s="682">
        <v>20</v>
      </c>
      <c r="G38" s="683">
        <v>35</v>
      </c>
      <c r="H38" s="693">
        <f t="shared" si="7"/>
        <v>55</v>
      </c>
      <c r="I38" s="683">
        <v>0</v>
      </c>
      <c r="J38" s="683">
        <v>0</v>
      </c>
      <c r="K38" s="693">
        <f t="shared" si="3"/>
        <v>0</v>
      </c>
      <c r="L38" s="654" t="s">
        <v>1683</v>
      </c>
      <c r="M38" s="24">
        <v>29</v>
      </c>
      <c r="N38" s="360"/>
      <c r="O38" s="360"/>
      <c r="Y38" s="673"/>
      <c r="Z38" s="677"/>
      <c r="AB38" s="673"/>
      <c r="AC38" s="677"/>
      <c r="AE38" s="673"/>
      <c r="AF38" s="677"/>
    </row>
    <row r="39" spans="1:32" ht="28">
      <c r="A39" s="147">
        <v>30</v>
      </c>
      <c r="B39" s="289" t="s">
        <v>434</v>
      </c>
      <c r="C39" s="167">
        <v>0</v>
      </c>
      <c r="D39" s="168">
        <f>102+62+69</f>
        <v>233</v>
      </c>
      <c r="E39" s="168">
        <f t="shared" si="6"/>
        <v>233</v>
      </c>
      <c r="F39" s="156">
        <v>204</v>
      </c>
      <c r="G39" s="157">
        <v>482</v>
      </c>
      <c r="H39" s="202">
        <f t="shared" si="7"/>
        <v>686</v>
      </c>
      <c r="I39" s="157">
        <v>13</v>
      </c>
      <c r="J39" s="157">
        <v>150</v>
      </c>
      <c r="K39" s="202">
        <f t="shared" si="3"/>
        <v>163</v>
      </c>
      <c r="L39" s="437" t="s">
        <v>1684</v>
      </c>
      <c r="M39" s="909">
        <v>30</v>
      </c>
      <c r="Y39" s="2"/>
      <c r="Z39" s="29"/>
      <c r="AB39" s="2"/>
      <c r="AC39" s="29"/>
    </row>
    <row r="40" spans="1:32" s="639" customFormat="1" ht="28" customHeight="1">
      <c r="A40" s="148">
        <v>31</v>
      </c>
      <c r="B40" s="633" t="s">
        <v>414</v>
      </c>
      <c r="C40" s="682">
        <v>0</v>
      </c>
      <c r="D40" s="683" t="s">
        <v>56</v>
      </c>
      <c r="E40" s="693" t="s">
        <v>56</v>
      </c>
      <c r="F40" s="154">
        <v>24</v>
      </c>
      <c r="G40" s="155">
        <v>57</v>
      </c>
      <c r="H40" s="693">
        <f t="shared" si="7"/>
        <v>81</v>
      </c>
      <c r="I40" s="155">
        <v>19</v>
      </c>
      <c r="J40" s="155">
        <v>60</v>
      </c>
      <c r="K40" s="693">
        <f t="shared" si="3"/>
        <v>79</v>
      </c>
      <c r="L40" s="654" t="s">
        <v>1685</v>
      </c>
      <c r="M40" s="24">
        <v>31</v>
      </c>
      <c r="Y40" s="673"/>
      <c r="Z40" s="677"/>
      <c r="AB40" s="673"/>
      <c r="AC40" s="677"/>
      <c r="AE40" s="673"/>
      <c r="AF40" s="677"/>
    </row>
    <row r="41" spans="1:32" ht="26" customHeight="1">
      <c r="A41" s="160">
        <v>32</v>
      </c>
      <c r="B41" s="291" t="s">
        <v>992</v>
      </c>
      <c r="C41" s="173">
        <v>0</v>
      </c>
      <c r="D41" s="204">
        <f>93+6</f>
        <v>99</v>
      </c>
      <c r="E41" s="234">
        <f t="shared" si="6"/>
        <v>99</v>
      </c>
      <c r="F41" s="1039">
        <v>0</v>
      </c>
      <c r="G41" s="1040">
        <v>0</v>
      </c>
      <c r="H41" s="1070">
        <v>0</v>
      </c>
      <c r="I41" s="1039">
        <v>0</v>
      </c>
      <c r="J41" s="1040">
        <v>0</v>
      </c>
      <c r="K41" s="1070">
        <v>0</v>
      </c>
      <c r="L41" s="1034" t="s">
        <v>1686</v>
      </c>
      <c r="M41" s="910">
        <v>32</v>
      </c>
      <c r="Y41" s="2"/>
      <c r="Z41" s="29"/>
      <c r="AB41" s="2"/>
      <c r="AC41" s="29"/>
      <c r="AE41" s="2"/>
      <c r="AF41" s="29"/>
    </row>
    <row r="42" spans="1:32" ht="15" customHeight="1">
      <c r="A42" s="1549" t="s">
        <v>758</v>
      </c>
      <c r="B42" s="1549"/>
      <c r="C42" s="1549"/>
      <c r="D42" s="1549"/>
      <c r="E42" s="1549"/>
      <c r="F42" s="438"/>
      <c r="G42" s="438"/>
      <c r="H42" s="1485" t="s">
        <v>1602</v>
      </c>
      <c r="I42" s="1485"/>
      <c r="J42" s="1485"/>
      <c r="K42" s="1485"/>
      <c r="L42" s="1485"/>
      <c r="M42" s="1485"/>
      <c r="Y42" s="2"/>
      <c r="Z42" s="29"/>
      <c r="AB42" s="2"/>
      <c r="AC42" s="29"/>
      <c r="AE42" s="2"/>
      <c r="AF42" s="29"/>
    </row>
    <row r="43" spans="1:32" ht="12" customHeight="1">
      <c r="B43" s="447"/>
      <c r="C43" s="1593" t="s">
        <v>57</v>
      </c>
      <c r="D43" s="1593"/>
      <c r="E43" s="1593"/>
      <c r="F43" s="1593"/>
      <c r="G43" s="1593"/>
      <c r="H43" s="1593"/>
      <c r="I43" s="1593"/>
      <c r="J43" s="1593"/>
      <c r="K43" s="1593"/>
      <c r="L43" s="1593"/>
      <c r="M43" s="1593"/>
      <c r="Y43" s="2"/>
      <c r="Z43" s="29"/>
      <c r="AB43" s="2"/>
      <c r="AC43" s="29"/>
      <c r="AE43" s="2"/>
      <c r="AF43" s="29"/>
    </row>
    <row r="44" spans="1:32" ht="13.5" customHeight="1">
      <c r="C44" s="1594"/>
      <c r="D44" s="1594"/>
      <c r="E44" s="1594"/>
      <c r="F44" s="1594"/>
      <c r="G44" s="1594"/>
      <c r="H44" s="1594"/>
      <c r="I44" s="1594"/>
      <c r="J44" s="1594"/>
      <c r="K44" s="1594"/>
      <c r="L44" s="1594"/>
      <c r="M44" s="1594"/>
      <c r="Z44" s="29"/>
      <c r="AC44" s="29"/>
      <c r="AF44" s="29"/>
    </row>
    <row r="45" spans="1:32" ht="34.5" customHeight="1"/>
    <row r="46" spans="1:32" ht="30" customHeight="1">
      <c r="O46" s="1592"/>
      <c r="P46" s="1591"/>
      <c r="Q46" s="1591"/>
      <c r="R46" s="1591"/>
      <c r="S46" s="1590"/>
      <c r="T46" s="1590"/>
      <c r="U46" s="1590"/>
      <c r="V46" s="1590"/>
      <c r="W46" s="1590"/>
      <c r="X46" s="1590"/>
      <c r="Y46" s="329"/>
    </row>
    <row r="47" spans="1:32" ht="16">
      <c r="O47" s="1592"/>
      <c r="P47" s="1591"/>
      <c r="Q47" s="1591"/>
      <c r="R47" s="1591"/>
      <c r="S47" s="1590"/>
      <c r="T47" s="1590"/>
      <c r="U47" s="1590"/>
      <c r="V47" s="1590"/>
      <c r="W47" s="1590"/>
      <c r="X47" s="1590"/>
      <c r="Y47" s="31"/>
    </row>
  </sheetData>
  <mergeCells count="32">
    <mergeCell ref="A1:M1"/>
    <mergeCell ref="A2:M2"/>
    <mergeCell ref="A3:M3"/>
    <mergeCell ref="A4:A8"/>
    <mergeCell ref="B4:B8"/>
    <mergeCell ref="C4:E4"/>
    <mergeCell ref="L4:L8"/>
    <mergeCell ref="M4:M8"/>
    <mergeCell ref="O46:O47"/>
    <mergeCell ref="P46:P47"/>
    <mergeCell ref="C43:M43"/>
    <mergeCell ref="C44:M44"/>
    <mergeCell ref="W4:X4"/>
    <mergeCell ref="C5:E5"/>
    <mergeCell ref="F5:H5"/>
    <mergeCell ref="I5:K5"/>
    <mergeCell ref="Q4:R4"/>
    <mergeCell ref="S4:T4"/>
    <mergeCell ref="U4:V4"/>
    <mergeCell ref="O9:P9"/>
    <mergeCell ref="A42:E42"/>
    <mergeCell ref="H42:M42"/>
    <mergeCell ref="F4:H4"/>
    <mergeCell ref="I4:K4"/>
    <mergeCell ref="W46:W47"/>
    <mergeCell ref="X46:X47"/>
    <mergeCell ref="Q46:Q47"/>
    <mergeCell ref="R46:R47"/>
    <mergeCell ref="S46:S47"/>
    <mergeCell ref="T46:T47"/>
    <mergeCell ref="U46:U47"/>
    <mergeCell ref="V46:V47"/>
  </mergeCells>
  <printOptions horizontalCentered="1"/>
  <pageMargins left="0" right="0" top="0.06" bottom="0.6" header="0.03" footer="0.39370078740157499"/>
  <pageSetup paperSize="9" scale="80" orientation="portrait" r:id="rId1"/>
  <headerFooter>
    <oddFooter>&amp;L&amp;"Times New Roman,Regular"&amp;10    Afghanistan Statistical Yearbook 2023-24&amp;R&amp;"Times New Roman,Regular"&amp;10          د ۱۴۰۲ احصایيوي کالنۍ  /سالنامه احصائیوی ۱۴۰۲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tabColor theme="0"/>
  </sheetPr>
  <dimension ref="A1:S56"/>
  <sheetViews>
    <sheetView view="pageBreakPreview" topLeftCell="A3" zoomScale="124" zoomScaleSheetLayoutView="124" workbookViewId="0">
      <selection activeCell="A3" sqref="A3:M3"/>
    </sheetView>
  </sheetViews>
  <sheetFormatPr baseColWidth="10" defaultColWidth="8.83203125" defaultRowHeight="15"/>
  <cols>
    <col min="1" max="1" width="3.33203125" customWidth="1"/>
    <col min="2" max="2" width="24" style="100" customWidth="1"/>
    <col min="3" max="3" width="6.33203125" style="100" customWidth="1"/>
    <col min="4" max="4" width="6.5" style="100" customWidth="1"/>
    <col min="5" max="5" width="8.6640625" style="100" customWidth="1"/>
    <col min="6" max="6" width="6.5" style="100" customWidth="1"/>
    <col min="7" max="7" width="6.33203125" style="100" customWidth="1"/>
    <col min="8" max="8" width="9" style="100" customWidth="1"/>
    <col min="9" max="9" width="6.5" style="100" customWidth="1"/>
    <col min="10" max="10" width="6.5" style="100" bestFit="1" customWidth="1"/>
    <col min="11" max="11" width="9" style="100" customWidth="1"/>
    <col min="12" max="12" width="30" style="565" customWidth="1"/>
    <col min="13" max="13" width="2.6640625" style="100" customWidth="1"/>
    <col min="14" max="14" width="0.5" customWidth="1"/>
    <col min="15" max="15" width="38.1640625" hidden="1" customWidth="1"/>
    <col min="16" max="16" width="9.1640625" hidden="1" customWidth="1"/>
    <col min="17" max="17" width="15.6640625" bestFit="1" customWidth="1"/>
    <col min="18" max="19" width="14.83203125" bestFit="1" customWidth="1"/>
  </cols>
  <sheetData>
    <row r="1" spans="1:19" ht="21" hidden="1" customHeight="1">
      <c r="A1" s="1566" t="s">
        <v>2188</v>
      </c>
      <c r="B1" s="1566"/>
      <c r="C1" s="1566"/>
      <c r="D1" s="1566"/>
      <c r="E1" s="1566"/>
      <c r="F1" s="1566"/>
      <c r="G1" s="1566"/>
      <c r="H1" s="1566"/>
      <c r="I1" s="1566"/>
      <c r="J1" s="1566"/>
      <c r="K1" s="1566"/>
      <c r="L1" s="1566"/>
      <c r="M1" s="1566"/>
    </row>
    <row r="2" spans="1:19" ht="16.5" hidden="1" customHeight="1">
      <c r="A2" s="1443" t="s">
        <v>2189</v>
      </c>
      <c r="B2" s="1443"/>
      <c r="C2" s="1443"/>
      <c r="D2" s="1443"/>
      <c r="E2" s="1443"/>
      <c r="F2" s="1443"/>
      <c r="G2" s="1443"/>
      <c r="H2" s="1443"/>
      <c r="I2" s="1443"/>
      <c r="J2" s="1443"/>
      <c r="K2" s="1443"/>
      <c r="L2" s="1443"/>
      <c r="M2" s="1443"/>
      <c r="N2" s="111"/>
      <c r="O2" s="111"/>
      <c r="P2" s="111"/>
    </row>
    <row r="3" spans="1:19" ht="19.5" customHeight="1">
      <c r="A3" s="1521" t="s">
        <v>2190</v>
      </c>
      <c r="B3" s="1521"/>
      <c r="C3" s="1521"/>
      <c r="D3" s="1521"/>
      <c r="E3" s="1521"/>
      <c r="F3" s="1521"/>
      <c r="G3" s="1521"/>
      <c r="H3" s="1521"/>
      <c r="I3" s="1521"/>
      <c r="J3" s="1521"/>
      <c r="K3" s="1521"/>
      <c r="L3" s="1521"/>
      <c r="M3" s="1521"/>
      <c r="N3" s="111"/>
      <c r="O3" s="111"/>
      <c r="P3" s="111"/>
    </row>
    <row r="4" spans="1:19" ht="13" customHeight="1">
      <c r="A4" s="1327" t="s">
        <v>621</v>
      </c>
      <c r="B4" s="1567" t="s">
        <v>1598</v>
      </c>
      <c r="C4" s="1570">
        <v>1402</v>
      </c>
      <c r="D4" s="1571"/>
      <c r="E4" s="1572"/>
      <c r="F4" s="1570">
        <v>1401</v>
      </c>
      <c r="G4" s="1571"/>
      <c r="H4" s="1572"/>
      <c r="I4" s="1570">
        <v>1400</v>
      </c>
      <c r="J4" s="1571"/>
      <c r="K4" s="1572"/>
      <c r="L4" s="1343" t="s">
        <v>1597</v>
      </c>
      <c r="M4" s="1563" t="s">
        <v>727</v>
      </c>
    </row>
    <row r="5" spans="1:19" ht="13" customHeight="1">
      <c r="A5" s="1328"/>
      <c r="B5" s="1568"/>
      <c r="C5" s="1573" t="s">
        <v>772</v>
      </c>
      <c r="D5" s="1574"/>
      <c r="E5" s="1575"/>
      <c r="F5" s="1573" t="s">
        <v>725</v>
      </c>
      <c r="G5" s="1574"/>
      <c r="H5" s="1575"/>
      <c r="I5" s="1573" t="s">
        <v>726</v>
      </c>
      <c r="J5" s="1574"/>
      <c r="K5" s="1575"/>
      <c r="L5" s="1266"/>
      <c r="M5" s="1564"/>
    </row>
    <row r="6" spans="1:19" ht="13" customHeight="1">
      <c r="A6" s="1328"/>
      <c r="B6" s="1568"/>
      <c r="C6" s="530" t="s">
        <v>278</v>
      </c>
      <c r="D6" s="530" t="s">
        <v>279</v>
      </c>
      <c r="E6" s="530" t="s">
        <v>256</v>
      </c>
      <c r="F6" s="530" t="s">
        <v>278</v>
      </c>
      <c r="G6" s="530" t="s">
        <v>279</v>
      </c>
      <c r="H6" s="530" t="s">
        <v>256</v>
      </c>
      <c r="I6" s="530" t="s">
        <v>278</v>
      </c>
      <c r="J6" s="530" t="s">
        <v>279</v>
      </c>
      <c r="K6" s="530" t="s">
        <v>256</v>
      </c>
      <c r="L6" s="1266"/>
      <c r="M6" s="1564"/>
    </row>
    <row r="7" spans="1:19" ht="13" customHeight="1">
      <c r="A7" s="1328"/>
      <c r="B7" s="1568"/>
      <c r="C7" s="1204" t="s">
        <v>12</v>
      </c>
      <c r="D7" s="1204" t="s">
        <v>13</v>
      </c>
      <c r="E7" s="1204" t="s">
        <v>52</v>
      </c>
      <c r="F7" s="1204" t="s">
        <v>12</v>
      </c>
      <c r="G7" s="1204" t="s">
        <v>13</v>
      </c>
      <c r="H7" s="1204" t="s">
        <v>52</v>
      </c>
      <c r="I7" s="1204" t="s">
        <v>12</v>
      </c>
      <c r="J7" s="1204" t="s">
        <v>13</v>
      </c>
      <c r="K7" s="1204" t="s">
        <v>52</v>
      </c>
      <c r="L7" s="1266"/>
      <c r="M7" s="1564"/>
      <c r="N7">
        <v>852</v>
      </c>
      <c r="O7">
        <v>5326</v>
      </c>
      <c r="P7">
        <v>6178</v>
      </c>
    </row>
    <row r="8" spans="1:19" ht="13" customHeight="1">
      <c r="A8" s="1329"/>
      <c r="B8" s="1569"/>
      <c r="C8" s="1204" t="s">
        <v>162</v>
      </c>
      <c r="D8" s="1204" t="s">
        <v>163</v>
      </c>
      <c r="E8" s="1204" t="s">
        <v>282</v>
      </c>
      <c r="F8" s="1204" t="s">
        <v>162</v>
      </c>
      <c r="G8" s="1204" t="s">
        <v>163</v>
      </c>
      <c r="H8" s="1204" t="s">
        <v>282</v>
      </c>
      <c r="I8" s="1204" t="s">
        <v>162</v>
      </c>
      <c r="J8" s="1204" t="s">
        <v>163</v>
      </c>
      <c r="K8" s="1204" t="s">
        <v>282</v>
      </c>
      <c r="L8" s="1267"/>
      <c r="M8" s="1565"/>
      <c r="O8" s="3"/>
    </row>
    <row r="9" spans="1:19" ht="16" customHeight="1">
      <c r="A9" s="147"/>
      <c r="B9" s="563" t="s">
        <v>287</v>
      </c>
      <c r="C9" s="525">
        <f>SUM(C10:C49)</f>
        <v>704</v>
      </c>
      <c r="D9" s="526">
        <f>SUM(D10:D49)</f>
        <v>5915</v>
      </c>
      <c r="E9" s="526">
        <f>SUM(E10:E49)</f>
        <v>6619</v>
      </c>
      <c r="F9" s="428">
        <v>728</v>
      </c>
      <c r="G9" s="429">
        <v>5215</v>
      </c>
      <c r="H9" s="429">
        <v>5943</v>
      </c>
      <c r="I9" s="433">
        <v>852</v>
      </c>
      <c r="J9" s="434">
        <v>5409</v>
      </c>
      <c r="K9" s="434">
        <v>6261</v>
      </c>
      <c r="L9" s="431" t="s">
        <v>671</v>
      </c>
      <c r="M9" s="147"/>
      <c r="Q9" s="35"/>
      <c r="R9" s="35"/>
      <c r="S9" s="39"/>
    </row>
    <row r="10" spans="1:19" s="639" customFormat="1" ht="16" customHeight="1">
      <c r="A10" s="148">
        <v>1</v>
      </c>
      <c r="B10" s="633" t="s">
        <v>344</v>
      </c>
      <c r="C10" s="154">
        <v>101</v>
      </c>
      <c r="D10" s="155">
        <v>545</v>
      </c>
      <c r="E10" s="668">
        <f t="shared" ref="E10:E49" si="0">D10+C10</f>
        <v>646</v>
      </c>
      <c r="F10" s="667">
        <v>141</v>
      </c>
      <c r="G10" s="668">
        <v>595</v>
      </c>
      <c r="H10" s="669">
        <v>736</v>
      </c>
      <c r="I10" s="668">
        <v>177</v>
      </c>
      <c r="J10" s="668">
        <v>678</v>
      </c>
      <c r="K10" s="669">
        <v>855</v>
      </c>
      <c r="L10" s="635" t="s">
        <v>1606</v>
      </c>
      <c r="M10" s="24">
        <v>1</v>
      </c>
      <c r="Q10" s="988"/>
      <c r="R10" s="707"/>
      <c r="S10" s="674"/>
    </row>
    <row r="11" spans="1:19" ht="23.25" customHeight="1">
      <c r="A11" s="147">
        <v>2</v>
      </c>
      <c r="B11" s="289" t="s">
        <v>345</v>
      </c>
      <c r="C11" s="156">
        <v>29</v>
      </c>
      <c r="D11" s="157">
        <v>221</v>
      </c>
      <c r="E11" s="163">
        <f t="shared" si="0"/>
        <v>250</v>
      </c>
      <c r="F11" s="156">
        <v>33</v>
      </c>
      <c r="G11" s="157">
        <v>223</v>
      </c>
      <c r="H11" s="158">
        <v>256</v>
      </c>
      <c r="I11" s="157">
        <v>35</v>
      </c>
      <c r="J11" s="157">
        <v>232</v>
      </c>
      <c r="K11" s="158">
        <v>267</v>
      </c>
      <c r="L11" s="246" t="s">
        <v>1607</v>
      </c>
      <c r="M11" s="909">
        <v>2</v>
      </c>
      <c r="Q11" s="39"/>
    </row>
    <row r="12" spans="1:19" s="639" customFormat="1" ht="25.5" customHeight="1">
      <c r="A12" s="148">
        <v>3</v>
      </c>
      <c r="B12" s="633" t="s">
        <v>415</v>
      </c>
      <c r="C12" s="154">
        <v>66</v>
      </c>
      <c r="D12" s="155">
        <v>226</v>
      </c>
      <c r="E12" s="668">
        <f t="shared" si="0"/>
        <v>292</v>
      </c>
      <c r="F12" s="154">
        <v>65</v>
      </c>
      <c r="G12" s="155">
        <v>211</v>
      </c>
      <c r="H12" s="634">
        <v>276</v>
      </c>
      <c r="I12" s="155">
        <v>86</v>
      </c>
      <c r="J12" s="155">
        <v>210</v>
      </c>
      <c r="K12" s="634">
        <v>296</v>
      </c>
      <c r="L12" s="635" t="s">
        <v>1608</v>
      </c>
      <c r="M12" s="24">
        <v>3</v>
      </c>
      <c r="Q12" s="1598"/>
      <c r="R12" s="1599"/>
      <c r="S12" s="1600"/>
    </row>
    <row r="13" spans="1:19" ht="24.75" customHeight="1">
      <c r="A13" s="147">
        <v>4</v>
      </c>
      <c r="B13" s="240" t="s">
        <v>347</v>
      </c>
      <c r="C13" s="156">
        <v>73</v>
      </c>
      <c r="D13" s="157">
        <v>215</v>
      </c>
      <c r="E13" s="163">
        <f t="shared" si="0"/>
        <v>288</v>
      </c>
      <c r="F13" s="156">
        <v>75</v>
      </c>
      <c r="G13" s="157">
        <v>223</v>
      </c>
      <c r="H13" s="158">
        <v>298</v>
      </c>
      <c r="I13" s="157">
        <v>84</v>
      </c>
      <c r="J13" s="157">
        <v>246</v>
      </c>
      <c r="K13" s="158">
        <v>330</v>
      </c>
      <c r="L13" s="246" t="s">
        <v>1609</v>
      </c>
      <c r="M13" s="909">
        <v>4</v>
      </c>
      <c r="Q13" s="1598"/>
      <c r="R13" s="1599"/>
      <c r="S13" s="1600"/>
    </row>
    <row r="14" spans="1:19" s="639" customFormat="1" ht="28">
      <c r="A14" s="148">
        <v>5</v>
      </c>
      <c r="B14" s="271" t="s">
        <v>656</v>
      </c>
      <c r="C14" s="680">
        <v>0</v>
      </c>
      <c r="D14" s="681">
        <v>20</v>
      </c>
      <c r="E14" s="681">
        <f t="shared" si="0"/>
        <v>20</v>
      </c>
      <c r="F14" s="680">
        <v>0</v>
      </c>
      <c r="G14" s="681">
        <v>8</v>
      </c>
      <c r="H14" s="681">
        <v>8</v>
      </c>
      <c r="I14" s="682">
        <v>0</v>
      </c>
      <c r="J14" s="683">
        <v>0</v>
      </c>
      <c r="K14" s="693">
        <v>0</v>
      </c>
      <c r="L14" s="635" t="s">
        <v>1610</v>
      </c>
      <c r="M14" s="24">
        <v>5</v>
      </c>
      <c r="Q14" s="692"/>
    </row>
    <row r="15" spans="1:19" ht="23.25" customHeight="1">
      <c r="A15" s="147">
        <v>6</v>
      </c>
      <c r="B15" s="289" t="s">
        <v>435</v>
      </c>
      <c r="C15" s="156">
        <v>9</v>
      </c>
      <c r="D15" s="157">
        <v>165</v>
      </c>
      <c r="E15" s="163">
        <f t="shared" si="0"/>
        <v>174</v>
      </c>
      <c r="F15" s="156">
        <v>11</v>
      </c>
      <c r="G15" s="157">
        <v>165</v>
      </c>
      <c r="H15" s="158">
        <v>176</v>
      </c>
      <c r="I15" s="157">
        <v>14</v>
      </c>
      <c r="J15" s="157">
        <v>180</v>
      </c>
      <c r="K15" s="158">
        <v>194</v>
      </c>
      <c r="L15" s="246" t="s">
        <v>1654</v>
      </c>
      <c r="M15" s="909">
        <v>6</v>
      </c>
      <c r="Q15" s="4"/>
    </row>
    <row r="16" spans="1:19" s="639" customFormat="1" ht="16" customHeight="1">
      <c r="A16" s="148">
        <v>7</v>
      </c>
      <c r="B16" s="239" t="s">
        <v>349</v>
      </c>
      <c r="C16" s="154">
        <v>8</v>
      </c>
      <c r="D16" s="155">
        <v>172</v>
      </c>
      <c r="E16" s="668">
        <f t="shared" si="0"/>
        <v>180</v>
      </c>
      <c r="F16" s="154">
        <v>7</v>
      </c>
      <c r="G16" s="155">
        <v>141</v>
      </c>
      <c r="H16" s="634">
        <v>148</v>
      </c>
      <c r="I16" s="155">
        <v>9</v>
      </c>
      <c r="J16" s="155">
        <v>143</v>
      </c>
      <c r="K16" s="634">
        <v>152</v>
      </c>
      <c r="L16" s="635" t="s">
        <v>1611</v>
      </c>
      <c r="M16" s="24">
        <v>7</v>
      </c>
      <c r="Q16" s="692"/>
    </row>
    <row r="17" spans="1:17" ht="16" customHeight="1">
      <c r="A17" s="147">
        <v>8</v>
      </c>
      <c r="B17" s="289" t="s">
        <v>350</v>
      </c>
      <c r="C17" s="156">
        <v>22</v>
      </c>
      <c r="D17" s="157">
        <v>470</v>
      </c>
      <c r="E17" s="163">
        <f t="shared" si="0"/>
        <v>492</v>
      </c>
      <c r="F17" s="156">
        <v>14</v>
      </c>
      <c r="G17" s="157">
        <v>363</v>
      </c>
      <c r="H17" s="158">
        <v>377</v>
      </c>
      <c r="I17" s="157">
        <v>14</v>
      </c>
      <c r="J17" s="157">
        <v>363</v>
      </c>
      <c r="K17" s="158">
        <v>377</v>
      </c>
      <c r="L17" s="246" t="s">
        <v>1612</v>
      </c>
      <c r="M17" s="909">
        <v>8</v>
      </c>
      <c r="Q17" s="4"/>
    </row>
    <row r="18" spans="1:17" s="639" customFormat="1" ht="16" customHeight="1">
      <c r="A18" s="148">
        <v>9</v>
      </c>
      <c r="B18" s="633" t="s">
        <v>351</v>
      </c>
      <c r="C18" s="154">
        <v>1</v>
      </c>
      <c r="D18" s="155">
        <v>104</v>
      </c>
      <c r="E18" s="668">
        <f t="shared" si="0"/>
        <v>105</v>
      </c>
      <c r="F18" s="154">
        <v>1</v>
      </c>
      <c r="G18" s="155">
        <v>79</v>
      </c>
      <c r="H18" s="634">
        <v>80</v>
      </c>
      <c r="I18" s="155">
        <v>1</v>
      </c>
      <c r="J18" s="155">
        <v>77</v>
      </c>
      <c r="K18" s="634">
        <v>78</v>
      </c>
      <c r="L18" s="635" t="s">
        <v>1613</v>
      </c>
      <c r="M18" s="24">
        <v>9</v>
      </c>
      <c r="Q18" s="692"/>
    </row>
    <row r="19" spans="1:17" ht="14.25" customHeight="1">
      <c r="A19" s="147">
        <v>10</v>
      </c>
      <c r="B19" s="289" t="s">
        <v>352</v>
      </c>
      <c r="C19" s="156">
        <v>12</v>
      </c>
      <c r="D19" s="157">
        <v>148</v>
      </c>
      <c r="E19" s="163">
        <f t="shared" si="0"/>
        <v>160</v>
      </c>
      <c r="F19" s="156">
        <v>13</v>
      </c>
      <c r="G19" s="157">
        <v>143</v>
      </c>
      <c r="H19" s="158">
        <v>156</v>
      </c>
      <c r="I19" s="157">
        <v>16</v>
      </c>
      <c r="J19" s="157">
        <v>147</v>
      </c>
      <c r="K19" s="158">
        <v>163</v>
      </c>
      <c r="L19" s="246" t="s">
        <v>1614</v>
      </c>
      <c r="M19" s="909">
        <v>10</v>
      </c>
      <c r="Q19" s="4"/>
    </row>
    <row r="20" spans="1:17" s="639" customFormat="1" ht="16" customHeight="1">
      <c r="A20" s="148">
        <v>11</v>
      </c>
      <c r="B20" s="633" t="s">
        <v>353</v>
      </c>
      <c r="C20" s="154">
        <v>9</v>
      </c>
      <c r="D20" s="155">
        <v>163</v>
      </c>
      <c r="E20" s="668">
        <f t="shared" si="0"/>
        <v>172</v>
      </c>
      <c r="F20" s="154">
        <v>9</v>
      </c>
      <c r="G20" s="155">
        <v>145</v>
      </c>
      <c r="H20" s="634">
        <v>154</v>
      </c>
      <c r="I20" s="154">
        <v>10</v>
      </c>
      <c r="J20" s="155">
        <v>162</v>
      </c>
      <c r="K20" s="634">
        <v>172</v>
      </c>
      <c r="L20" s="643" t="s">
        <v>1615</v>
      </c>
      <c r="M20" s="24">
        <v>11</v>
      </c>
      <c r="Q20" s="692"/>
    </row>
    <row r="21" spans="1:17" ht="16" customHeight="1">
      <c r="A21" s="147">
        <v>12</v>
      </c>
      <c r="B21" s="289" t="s">
        <v>417</v>
      </c>
      <c r="C21" s="156">
        <v>4</v>
      </c>
      <c r="D21" s="157">
        <v>107</v>
      </c>
      <c r="E21" s="163">
        <f t="shared" si="0"/>
        <v>111</v>
      </c>
      <c r="F21" s="156">
        <v>4</v>
      </c>
      <c r="G21" s="157">
        <v>100</v>
      </c>
      <c r="H21" s="158">
        <v>104</v>
      </c>
      <c r="I21" s="157">
        <v>4</v>
      </c>
      <c r="J21" s="157">
        <v>101</v>
      </c>
      <c r="K21" s="158">
        <v>105</v>
      </c>
      <c r="L21" s="246" t="s">
        <v>1616</v>
      </c>
      <c r="M21" s="909">
        <v>12</v>
      </c>
      <c r="Q21" s="4"/>
    </row>
    <row r="22" spans="1:17" s="639" customFormat="1" ht="28">
      <c r="A22" s="148">
        <v>13</v>
      </c>
      <c r="B22" s="633" t="s">
        <v>355</v>
      </c>
      <c r="C22" s="667">
        <v>0</v>
      </c>
      <c r="D22" s="668">
        <v>37</v>
      </c>
      <c r="E22" s="668">
        <f t="shared" si="0"/>
        <v>37</v>
      </c>
      <c r="F22" s="154">
        <v>0</v>
      </c>
      <c r="G22" s="155">
        <v>23</v>
      </c>
      <c r="H22" s="634">
        <v>23</v>
      </c>
      <c r="I22" s="155">
        <v>0</v>
      </c>
      <c r="J22" s="155">
        <v>19</v>
      </c>
      <c r="K22" s="634">
        <v>19</v>
      </c>
      <c r="L22" s="635" t="s">
        <v>1617</v>
      </c>
      <c r="M22" s="24">
        <v>13</v>
      </c>
      <c r="Q22" s="692"/>
    </row>
    <row r="23" spans="1:17" ht="15.75" customHeight="1">
      <c r="A23" s="147">
        <v>14</v>
      </c>
      <c r="B23" s="289" t="s">
        <v>418</v>
      </c>
      <c r="C23" s="162">
        <v>1</v>
      </c>
      <c r="D23" s="157">
        <v>236</v>
      </c>
      <c r="E23" s="163">
        <f t="shared" si="0"/>
        <v>237</v>
      </c>
      <c r="F23" s="156">
        <v>1</v>
      </c>
      <c r="G23" s="157">
        <v>203</v>
      </c>
      <c r="H23" s="158">
        <v>204</v>
      </c>
      <c r="I23" s="156">
        <v>3</v>
      </c>
      <c r="J23" s="157">
        <v>196</v>
      </c>
      <c r="K23" s="158">
        <v>199</v>
      </c>
      <c r="L23" s="238" t="s">
        <v>1618</v>
      </c>
      <c r="M23" s="909">
        <v>14</v>
      </c>
      <c r="Q23" s="4"/>
    </row>
    <row r="24" spans="1:17" s="639" customFormat="1" ht="28">
      <c r="A24" s="148">
        <v>15</v>
      </c>
      <c r="B24" s="633" t="s">
        <v>357</v>
      </c>
      <c r="C24" s="154">
        <v>1</v>
      </c>
      <c r="D24" s="155">
        <v>276</v>
      </c>
      <c r="E24" s="668">
        <f t="shared" si="0"/>
        <v>277</v>
      </c>
      <c r="F24" s="154">
        <v>1</v>
      </c>
      <c r="G24" s="155">
        <v>256</v>
      </c>
      <c r="H24" s="634">
        <v>257</v>
      </c>
      <c r="I24" s="155">
        <v>1</v>
      </c>
      <c r="J24" s="155">
        <v>253</v>
      </c>
      <c r="K24" s="634">
        <v>254</v>
      </c>
      <c r="L24" s="635" t="s">
        <v>1653</v>
      </c>
      <c r="M24" s="24">
        <v>15</v>
      </c>
      <c r="Q24" s="692"/>
    </row>
    <row r="25" spans="1:17" ht="28">
      <c r="A25" s="147">
        <v>16</v>
      </c>
      <c r="B25" s="289" t="s">
        <v>358</v>
      </c>
      <c r="C25" s="162">
        <v>0</v>
      </c>
      <c r="D25" s="157">
        <v>102</v>
      </c>
      <c r="E25" s="163">
        <f t="shared" si="0"/>
        <v>102</v>
      </c>
      <c r="F25" s="156">
        <v>0</v>
      </c>
      <c r="G25" s="157">
        <v>97</v>
      </c>
      <c r="H25" s="158">
        <v>97</v>
      </c>
      <c r="I25" s="157">
        <v>0</v>
      </c>
      <c r="J25" s="157">
        <v>96</v>
      </c>
      <c r="K25" s="158">
        <v>96</v>
      </c>
      <c r="L25" s="246" t="s">
        <v>1652</v>
      </c>
      <c r="M25" s="909">
        <v>16</v>
      </c>
      <c r="Q25" s="4"/>
    </row>
    <row r="26" spans="1:17" s="639" customFormat="1" ht="18" customHeight="1">
      <c r="A26" s="148">
        <v>17</v>
      </c>
      <c r="B26" s="633" t="s">
        <v>359</v>
      </c>
      <c r="C26" s="154">
        <v>14</v>
      </c>
      <c r="D26" s="155">
        <v>143</v>
      </c>
      <c r="E26" s="668">
        <f t="shared" si="0"/>
        <v>157</v>
      </c>
      <c r="F26" s="154">
        <v>11</v>
      </c>
      <c r="G26" s="155">
        <v>133</v>
      </c>
      <c r="H26" s="634">
        <v>144</v>
      </c>
      <c r="I26" s="155">
        <v>14</v>
      </c>
      <c r="J26" s="155">
        <v>130</v>
      </c>
      <c r="K26" s="634">
        <v>144</v>
      </c>
      <c r="L26" s="644" t="s">
        <v>1619</v>
      </c>
      <c r="M26" s="24">
        <v>17</v>
      </c>
      <c r="Q26" s="692"/>
    </row>
    <row r="27" spans="1:17" ht="16" customHeight="1">
      <c r="A27" s="147">
        <v>18</v>
      </c>
      <c r="B27" s="289" t="s">
        <v>360</v>
      </c>
      <c r="C27" s="156">
        <v>16</v>
      </c>
      <c r="D27" s="157">
        <v>163</v>
      </c>
      <c r="E27" s="163">
        <f t="shared" si="0"/>
        <v>179</v>
      </c>
      <c r="F27" s="156">
        <v>11</v>
      </c>
      <c r="G27" s="157">
        <v>155</v>
      </c>
      <c r="H27" s="158">
        <v>166</v>
      </c>
      <c r="I27" s="157">
        <v>11</v>
      </c>
      <c r="J27" s="157">
        <v>152</v>
      </c>
      <c r="K27" s="158">
        <v>163</v>
      </c>
      <c r="L27" s="246" t="s">
        <v>1620</v>
      </c>
      <c r="M27" s="909">
        <v>18</v>
      </c>
      <c r="Q27" s="4"/>
    </row>
    <row r="28" spans="1:17" s="639" customFormat="1" ht="16" customHeight="1">
      <c r="A28" s="148">
        <v>19</v>
      </c>
      <c r="B28" s="633" t="s">
        <v>361</v>
      </c>
      <c r="C28" s="154">
        <v>17</v>
      </c>
      <c r="D28" s="155">
        <v>171</v>
      </c>
      <c r="E28" s="668">
        <f t="shared" si="0"/>
        <v>188</v>
      </c>
      <c r="F28" s="154">
        <v>11</v>
      </c>
      <c r="G28" s="155">
        <v>141</v>
      </c>
      <c r="H28" s="634">
        <v>152</v>
      </c>
      <c r="I28" s="155">
        <v>8</v>
      </c>
      <c r="J28" s="155">
        <v>144</v>
      </c>
      <c r="K28" s="634">
        <v>152</v>
      </c>
      <c r="L28" s="635" t="s">
        <v>1621</v>
      </c>
      <c r="M28" s="24">
        <v>19</v>
      </c>
      <c r="Q28" s="692"/>
    </row>
    <row r="29" spans="1:17" ht="16" customHeight="1">
      <c r="A29" s="147">
        <v>20</v>
      </c>
      <c r="B29" s="289" t="s">
        <v>436</v>
      </c>
      <c r="C29" s="156">
        <v>92</v>
      </c>
      <c r="D29" s="157">
        <v>292</v>
      </c>
      <c r="E29" s="163">
        <f t="shared" si="0"/>
        <v>384</v>
      </c>
      <c r="F29" s="156">
        <v>96</v>
      </c>
      <c r="G29" s="157">
        <v>259</v>
      </c>
      <c r="H29" s="158">
        <v>355</v>
      </c>
      <c r="I29" s="157">
        <v>110</v>
      </c>
      <c r="J29" s="157">
        <v>318</v>
      </c>
      <c r="K29" s="158">
        <v>428</v>
      </c>
      <c r="L29" s="246" t="s">
        <v>1622</v>
      </c>
      <c r="M29" s="909">
        <v>20</v>
      </c>
      <c r="Q29" s="4"/>
    </row>
    <row r="30" spans="1:17" s="639" customFormat="1" ht="16" customHeight="1">
      <c r="A30" s="148">
        <v>21</v>
      </c>
      <c r="B30" s="633" t="s">
        <v>363</v>
      </c>
      <c r="C30" s="154">
        <v>3</v>
      </c>
      <c r="D30" s="155">
        <v>295</v>
      </c>
      <c r="E30" s="668">
        <f t="shared" si="0"/>
        <v>298</v>
      </c>
      <c r="F30" s="154">
        <v>4</v>
      </c>
      <c r="G30" s="155">
        <v>249</v>
      </c>
      <c r="H30" s="634">
        <v>253</v>
      </c>
      <c r="I30" s="154">
        <v>5</v>
      </c>
      <c r="J30" s="155">
        <v>248</v>
      </c>
      <c r="K30" s="634">
        <v>253</v>
      </c>
      <c r="L30" s="643" t="s">
        <v>1623</v>
      </c>
      <c r="M30" s="24">
        <v>21</v>
      </c>
      <c r="Q30" s="692"/>
    </row>
    <row r="31" spans="1:17" ht="36.75" customHeight="1">
      <c r="A31" s="147">
        <v>22</v>
      </c>
      <c r="B31" s="289" t="s">
        <v>437</v>
      </c>
      <c r="C31" s="162">
        <v>0</v>
      </c>
      <c r="D31" s="163">
        <v>110</v>
      </c>
      <c r="E31" s="163">
        <f t="shared" si="0"/>
        <v>110</v>
      </c>
      <c r="F31" s="156">
        <v>0</v>
      </c>
      <c r="G31" s="157">
        <v>89</v>
      </c>
      <c r="H31" s="158">
        <v>89</v>
      </c>
      <c r="I31" s="157">
        <v>0</v>
      </c>
      <c r="J31" s="157">
        <v>35</v>
      </c>
      <c r="K31" s="158">
        <v>35</v>
      </c>
      <c r="L31" s="238" t="s">
        <v>1651</v>
      </c>
      <c r="M31" s="909">
        <v>22</v>
      </c>
      <c r="Q31" s="4"/>
    </row>
    <row r="32" spans="1:17" s="639" customFormat="1" ht="16" customHeight="1">
      <c r="A32" s="148">
        <v>23</v>
      </c>
      <c r="B32" s="633" t="s">
        <v>365</v>
      </c>
      <c r="C32" s="154">
        <v>56</v>
      </c>
      <c r="D32" s="155">
        <v>143</v>
      </c>
      <c r="E32" s="668">
        <f t="shared" si="0"/>
        <v>199</v>
      </c>
      <c r="F32" s="154">
        <v>55</v>
      </c>
      <c r="G32" s="155">
        <v>131</v>
      </c>
      <c r="H32" s="634">
        <v>186</v>
      </c>
      <c r="I32" s="155">
        <v>57</v>
      </c>
      <c r="J32" s="155">
        <v>133</v>
      </c>
      <c r="K32" s="634">
        <v>190</v>
      </c>
      <c r="L32" s="644" t="s">
        <v>1624</v>
      </c>
      <c r="M32" s="24">
        <v>23</v>
      </c>
      <c r="Q32" s="692"/>
    </row>
    <row r="33" spans="1:17" ht="16" customHeight="1">
      <c r="A33" s="147">
        <v>24</v>
      </c>
      <c r="B33" s="289" t="s">
        <v>366</v>
      </c>
      <c r="C33" s="156">
        <v>38</v>
      </c>
      <c r="D33" s="157">
        <v>146</v>
      </c>
      <c r="E33" s="163">
        <f t="shared" si="0"/>
        <v>184</v>
      </c>
      <c r="F33" s="156">
        <v>36</v>
      </c>
      <c r="G33" s="157">
        <v>129</v>
      </c>
      <c r="H33" s="158">
        <v>165</v>
      </c>
      <c r="I33" s="157">
        <v>39</v>
      </c>
      <c r="J33" s="157">
        <v>134</v>
      </c>
      <c r="K33" s="157">
        <v>173</v>
      </c>
      <c r="L33" s="238" t="s">
        <v>1625</v>
      </c>
      <c r="M33" s="933">
        <v>24</v>
      </c>
      <c r="Q33" s="4"/>
    </row>
    <row r="34" spans="1:17" s="639" customFormat="1" ht="16" customHeight="1">
      <c r="A34" s="148">
        <v>25</v>
      </c>
      <c r="B34" s="633" t="s">
        <v>367</v>
      </c>
      <c r="C34" s="154">
        <v>103</v>
      </c>
      <c r="D34" s="155">
        <v>315</v>
      </c>
      <c r="E34" s="668">
        <f t="shared" si="0"/>
        <v>418</v>
      </c>
      <c r="F34" s="154">
        <v>101</v>
      </c>
      <c r="G34" s="155">
        <v>265</v>
      </c>
      <c r="H34" s="634">
        <v>366</v>
      </c>
      <c r="I34" s="155">
        <v>124</v>
      </c>
      <c r="J34" s="155">
        <v>324</v>
      </c>
      <c r="K34" s="155">
        <v>448</v>
      </c>
      <c r="L34" s="643" t="s">
        <v>1626</v>
      </c>
      <c r="M34" s="883">
        <v>25</v>
      </c>
      <c r="Q34" s="692"/>
    </row>
    <row r="35" spans="1:17" ht="28">
      <c r="A35" s="147">
        <v>26</v>
      </c>
      <c r="B35" s="289" t="s">
        <v>654</v>
      </c>
      <c r="C35" s="162">
        <v>0</v>
      </c>
      <c r="D35" s="163">
        <v>46</v>
      </c>
      <c r="E35" s="163">
        <f t="shared" si="0"/>
        <v>46</v>
      </c>
      <c r="F35" s="156">
        <v>0</v>
      </c>
      <c r="G35" s="157">
        <v>22</v>
      </c>
      <c r="H35" s="158">
        <v>22</v>
      </c>
      <c r="I35" s="157">
        <v>0</v>
      </c>
      <c r="J35" s="157">
        <v>23</v>
      </c>
      <c r="K35" s="158">
        <v>23</v>
      </c>
      <c r="L35" s="246" t="s">
        <v>1627</v>
      </c>
      <c r="M35" s="909">
        <v>26</v>
      </c>
      <c r="Q35" s="4"/>
    </row>
    <row r="36" spans="1:17" s="639" customFormat="1" ht="28">
      <c r="A36" s="148">
        <v>27</v>
      </c>
      <c r="B36" s="633" t="s">
        <v>369</v>
      </c>
      <c r="C36" s="667">
        <v>1</v>
      </c>
      <c r="D36" s="668">
        <v>62</v>
      </c>
      <c r="E36" s="668">
        <f t="shared" si="0"/>
        <v>63</v>
      </c>
      <c r="F36" s="154">
        <v>1</v>
      </c>
      <c r="G36" s="155">
        <v>32</v>
      </c>
      <c r="H36" s="634">
        <v>33</v>
      </c>
      <c r="I36" s="155">
        <v>1</v>
      </c>
      <c r="J36" s="155">
        <v>32</v>
      </c>
      <c r="K36" s="634">
        <v>33</v>
      </c>
      <c r="L36" s="635" t="s">
        <v>1231</v>
      </c>
      <c r="M36" s="24">
        <v>27</v>
      </c>
      <c r="Q36" s="692"/>
    </row>
    <row r="37" spans="1:17" s="100" customFormat="1" ht="28">
      <c r="A37" s="147">
        <v>28</v>
      </c>
      <c r="B37" s="289" t="s">
        <v>370</v>
      </c>
      <c r="C37" s="162">
        <v>0</v>
      </c>
      <c r="D37" s="157">
        <v>59</v>
      </c>
      <c r="E37" s="163">
        <f t="shared" si="0"/>
        <v>59</v>
      </c>
      <c r="F37" s="156">
        <v>0</v>
      </c>
      <c r="G37" s="157">
        <v>57</v>
      </c>
      <c r="H37" s="158">
        <v>57</v>
      </c>
      <c r="I37" s="157">
        <v>0</v>
      </c>
      <c r="J37" s="157">
        <v>58</v>
      </c>
      <c r="K37" s="158">
        <v>58</v>
      </c>
      <c r="L37" s="246" t="s">
        <v>1628</v>
      </c>
      <c r="M37" s="909">
        <v>28</v>
      </c>
      <c r="Q37" s="448"/>
    </row>
    <row r="38" spans="1:17" s="639" customFormat="1" ht="28">
      <c r="A38" s="148">
        <v>29</v>
      </c>
      <c r="B38" s="239" t="s">
        <v>371</v>
      </c>
      <c r="C38" s="667">
        <v>0</v>
      </c>
      <c r="D38" s="155">
        <v>80</v>
      </c>
      <c r="E38" s="668">
        <f t="shared" si="0"/>
        <v>80</v>
      </c>
      <c r="F38" s="154">
        <v>0</v>
      </c>
      <c r="G38" s="155">
        <v>60</v>
      </c>
      <c r="H38" s="634">
        <v>60</v>
      </c>
      <c r="I38" s="155">
        <v>0</v>
      </c>
      <c r="J38" s="155">
        <v>60</v>
      </c>
      <c r="K38" s="634">
        <v>60</v>
      </c>
      <c r="L38" s="635" t="s">
        <v>1629</v>
      </c>
      <c r="M38" s="24">
        <v>29</v>
      </c>
      <c r="Q38" s="692"/>
    </row>
    <row r="39" spans="1:17" s="100" customFormat="1" ht="28">
      <c r="A39" s="147">
        <v>30</v>
      </c>
      <c r="B39" s="289" t="s">
        <v>438</v>
      </c>
      <c r="C39" s="162">
        <v>6</v>
      </c>
      <c r="D39" s="163">
        <v>80</v>
      </c>
      <c r="E39" s="163">
        <f t="shared" si="0"/>
        <v>86</v>
      </c>
      <c r="F39" s="156">
        <v>6</v>
      </c>
      <c r="G39" s="157">
        <v>67</v>
      </c>
      <c r="H39" s="158">
        <v>73</v>
      </c>
      <c r="I39" s="157">
        <v>6</v>
      </c>
      <c r="J39" s="157">
        <v>69</v>
      </c>
      <c r="K39" s="158">
        <v>75</v>
      </c>
      <c r="L39" s="238" t="s">
        <v>1630</v>
      </c>
      <c r="M39" s="909">
        <v>30</v>
      </c>
      <c r="Q39" s="448"/>
    </row>
    <row r="40" spans="1:17" s="639" customFormat="1" ht="28">
      <c r="A40" s="148">
        <v>31</v>
      </c>
      <c r="B40" s="633" t="s">
        <v>373</v>
      </c>
      <c r="C40" s="667">
        <v>5</v>
      </c>
      <c r="D40" s="668">
        <v>54</v>
      </c>
      <c r="E40" s="668">
        <f t="shared" si="0"/>
        <v>59</v>
      </c>
      <c r="F40" s="154">
        <v>5</v>
      </c>
      <c r="G40" s="155">
        <v>39</v>
      </c>
      <c r="H40" s="634">
        <v>44</v>
      </c>
      <c r="I40" s="155">
        <v>5</v>
      </c>
      <c r="J40" s="155">
        <v>38</v>
      </c>
      <c r="K40" s="634">
        <v>43</v>
      </c>
      <c r="L40" s="635" t="s">
        <v>1631</v>
      </c>
      <c r="M40" s="24">
        <v>31</v>
      </c>
      <c r="Q40" s="692"/>
    </row>
    <row r="41" spans="1:17" s="100" customFormat="1" ht="28">
      <c r="A41" s="147">
        <v>32</v>
      </c>
      <c r="B41" s="289" t="s">
        <v>374</v>
      </c>
      <c r="C41" s="162">
        <v>2</v>
      </c>
      <c r="D41" s="163">
        <v>75</v>
      </c>
      <c r="E41" s="163">
        <f t="shared" si="0"/>
        <v>77</v>
      </c>
      <c r="F41" s="156">
        <v>1</v>
      </c>
      <c r="G41" s="157">
        <v>61</v>
      </c>
      <c r="H41" s="158">
        <v>62</v>
      </c>
      <c r="I41" s="157">
        <v>1</v>
      </c>
      <c r="J41" s="157">
        <v>55</v>
      </c>
      <c r="K41" s="158">
        <v>56</v>
      </c>
      <c r="L41" s="246" t="s">
        <v>1632</v>
      </c>
      <c r="M41" s="909">
        <v>32</v>
      </c>
      <c r="Q41" s="448"/>
    </row>
    <row r="42" spans="1:17" s="639" customFormat="1" ht="28">
      <c r="A42" s="148">
        <v>33</v>
      </c>
      <c r="B42" s="633" t="s">
        <v>431</v>
      </c>
      <c r="C42" s="667">
        <v>2</v>
      </c>
      <c r="D42" s="668">
        <v>28</v>
      </c>
      <c r="E42" s="668">
        <f t="shared" si="0"/>
        <v>30</v>
      </c>
      <c r="F42" s="154">
        <v>2</v>
      </c>
      <c r="G42" s="155">
        <v>27</v>
      </c>
      <c r="H42" s="634">
        <v>29</v>
      </c>
      <c r="I42" s="155">
        <v>2</v>
      </c>
      <c r="J42" s="155">
        <v>26</v>
      </c>
      <c r="K42" s="634">
        <v>28</v>
      </c>
      <c r="L42" s="635" t="s">
        <v>1633</v>
      </c>
      <c r="M42" s="24">
        <v>33</v>
      </c>
      <c r="Q42" s="692"/>
    </row>
    <row r="43" spans="1:17" s="100" customFormat="1" ht="28">
      <c r="A43" s="147">
        <v>34</v>
      </c>
      <c r="B43" s="289" t="s">
        <v>376</v>
      </c>
      <c r="C43" s="162">
        <v>0</v>
      </c>
      <c r="D43" s="157">
        <v>58</v>
      </c>
      <c r="E43" s="163">
        <f t="shared" si="0"/>
        <v>58</v>
      </c>
      <c r="F43" s="156">
        <v>0</v>
      </c>
      <c r="G43" s="157">
        <v>44</v>
      </c>
      <c r="H43" s="158">
        <v>44</v>
      </c>
      <c r="I43" s="157">
        <v>0</v>
      </c>
      <c r="J43" s="157">
        <v>42</v>
      </c>
      <c r="K43" s="158">
        <v>42</v>
      </c>
      <c r="L43" s="246" t="s">
        <v>1634</v>
      </c>
      <c r="M43" s="909">
        <v>34</v>
      </c>
      <c r="Q43" s="448"/>
    </row>
    <row r="44" spans="1:17" s="639" customFormat="1" ht="28">
      <c r="A44" s="148">
        <v>35</v>
      </c>
      <c r="B44" s="633" t="s">
        <v>377</v>
      </c>
      <c r="C44" s="667">
        <v>0</v>
      </c>
      <c r="D44" s="668">
        <v>53</v>
      </c>
      <c r="E44" s="668">
        <f t="shared" si="0"/>
        <v>53</v>
      </c>
      <c r="F44" s="154">
        <v>0</v>
      </c>
      <c r="G44" s="155">
        <v>30</v>
      </c>
      <c r="H44" s="634">
        <v>30</v>
      </c>
      <c r="I44" s="155">
        <v>0</v>
      </c>
      <c r="J44" s="155">
        <v>26</v>
      </c>
      <c r="K44" s="634">
        <v>26</v>
      </c>
      <c r="L44" s="635" t="s">
        <v>1635</v>
      </c>
      <c r="M44" s="24">
        <v>35</v>
      </c>
      <c r="Q44" s="692"/>
    </row>
    <row r="45" spans="1:17" s="100" customFormat="1" ht="23.25" customHeight="1">
      <c r="A45" s="147">
        <v>36</v>
      </c>
      <c r="B45" s="289" t="s">
        <v>378</v>
      </c>
      <c r="C45" s="162">
        <v>0</v>
      </c>
      <c r="D45" s="157">
        <v>119</v>
      </c>
      <c r="E45" s="163">
        <f t="shared" si="0"/>
        <v>119</v>
      </c>
      <c r="F45" s="156">
        <v>0</v>
      </c>
      <c r="G45" s="157">
        <v>93</v>
      </c>
      <c r="H45" s="158">
        <v>93</v>
      </c>
      <c r="I45" s="157">
        <v>0</v>
      </c>
      <c r="J45" s="157">
        <v>98</v>
      </c>
      <c r="K45" s="158">
        <v>98</v>
      </c>
      <c r="L45" s="246" t="s">
        <v>1636</v>
      </c>
      <c r="M45" s="909">
        <v>36</v>
      </c>
      <c r="Q45" s="448"/>
    </row>
    <row r="46" spans="1:17" s="639" customFormat="1" ht="28">
      <c r="A46" s="148">
        <v>37</v>
      </c>
      <c r="B46" s="633" t="s">
        <v>379</v>
      </c>
      <c r="C46" s="667">
        <v>8</v>
      </c>
      <c r="D46" s="155">
        <v>61</v>
      </c>
      <c r="E46" s="668">
        <f t="shared" si="0"/>
        <v>69</v>
      </c>
      <c r="F46" s="154">
        <v>8</v>
      </c>
      <c r="G46" s="155">
        <v>49</v>
      </c>
      <c r="H46" s="634">
        <v>57</v>
      </c>
      <c r="I46" s="155">
        <v>9</v>
      </c>
      <c r="J46" s="155">
        <v>57</v>
      </c>
      <c r="K46" s="634">
        <v>66</v>
      </c>
      <c r="L46" s="635" t="s">
        <v>1637</v>
      </c>
      <c r="M46" s="24">
        <v>37</v>
      </c>
      <c r="Q46" s="692"/>
    </row>
    <row r="47" spans="1:17" s="100" customFormat="1" ht="23.25" customHeight="1">
      <c r="A47" s="147">
        <v>38</v>
      </c>
      <c r="B47" s="289" t="s">
        <v>380</v>
      </c>
      <c r="C47" s="156">
        <v>5</v>
      </c>
      <c r="D47" s="157">
        <v>70</v>
      </c>
      <c r="E47" s="163">
        <f t="shared" si="0"/>
        <v>75</v>
      </c>
      <c r="F47" s="156">
        <v>4</v>
      </c>
      <c r="G47" s="157">
        <v>53</v>
      </c>
      <c r="H47" s="158">
        <v>57</v>
      </c>
      <c r="I47" s="157">
        <v>5</v>
      </c>
      <c r="J47" s="157">
        <v>53</v>
      </c>
      <c r="K47" s="158">
        <v>58</v>
      </c>
      <c r="L47" s="246" t="s">
        <v>1232</v>
      </c>
      <c r="M47" s="909">
        <v>38</v>
      </c>
      <c r="Q47" s="448"/>
    </row>
    <row r="48" spans="1:17" s="639" customFormat="1" ht="28">
      <c r="A48" s="148">
        <v>39</v>
      </c>
      <c r="B48" s="633" t="s">
        <v>381</v>
      </c>
      <c r="C48" s="667">
        <v>0</v>
      </c>
      <c r="D48" s="668">
        <v>29</v>
      </c>
      <c r="E48" s="668">
        <f t="shared" si="0"/>
        <v>29</v>
      </c>
      <c r="F48" s="154">
        <v>1</v>
      </c>
      <c r="G48" s="155">
        <v>17</v>
      </c>
      <c r="H48" s="634">
        <v>18</v>
      </c>
      <c r="I48" s="155">
        <v>1</v>
      </c>
      <c r="J48" s="155">
        <v>20</v>
      </c>
      <c r="K48" s="634">
        <v>21</v>
      </c>
      <c r="L48" s="635" t="s">
        <v>1638</v>
      </c>
      <c r="M48" s="24">
        <v>39</v>
      </c>
      <c r="Q48" s="692"/>
    </row>
    <row r="49" spans="1:17" s="100" customFormat="1" ht="28">
      <c r="A49" s="147">
        <v>40</v>
      </c>
      <c r="B49" s="291" t="s">
        <v>382</v>
      </c>
      <c r="C49" s="173">
        <v>0</v>
      </c>
      <c r="D49" s="174">
        <v>56</v>
      </c>
      <c r="E49" s="166">
        <f t="shared" si="0"/>
        <v>56</v>
      </c>
      <c r="F49" s="292">
        <v>0</v>
      </c>
      <c r="G49" s="206">
        <v>38</v>
      </c>
      <c r="H49" s="158">
        <v>38</v>
      </c>
      <c r="I49" s="206">
        <v>0</v>
      </c>
      <c r="J49" s="206">
        <v>31</v>
      </c>
      <c r="K49" s="207">
        <v>31</v>
      </c>
      <c r="L49" s="293" t="s">
        <v>1639</v>
      </c>
      <c r="M49" s="909">
        <v>40</v>
      </c>
      <c r="Q49" s="448"/>
    </row>
    <row r="50" spans="1:17" ht="12.75" customHeight="1">
      <c r="A50" s="1579" t="s">
        <v>758</v>
      </c>
      <c r="B50" s="1579"/>
      <c r="C50" s="1579"/>
      <c r="D50" s="1579"/>
      <c r="E50" s="527"/>
      <c r="F50" s="528"/>
      <c r="G50" s="528"/>
      <c r="H50" s="528"/>
      <c r="I50" s="528"/>
      <c r="J50" s="528"/>
      <c r="K50" s="1597" t="s">
        <v>1601</v>
      </c>
      <c r="L50" s="1597"/>
      <c r="M50" s="1597"/>
    </row>
    <row r="51" spans="1:17" ht="31" customHeight="1">
      <c r="L51"/>
      <c r="M51"/>
    </row>
    <row r="52" spans="1:17" ht="31" customHeight="1">
      <c r="L52"/>
      <c r="N52" s="40"/>
    </row>
    <row r="53" spans="1:17" ht="31" customHeight="1">
      <c r="N53" s="41"/>
      <c r="O53" s="41"/>
    </row>
    <row r="54" spans="1:17" ht="29" customHeight="1"/>
    <row r="55" spans="1:17" ht="29" customHeight="1"/>
    <row r="56" spans="1:17" ht="29" customHeight="1"/>
  </sheetData>
  <mergeCells count="18">
    <mergeCell ref="Q12:Q13"/>
    <mergeCell ref="R12:R13"/>
    <mergeCell ref="S12:S13"/>
    <mergeCell ref="A1:M1"/>
    <mergeCell ref="A2:M2"/>
    <mergeCell ref="A3:M3"/>
    <mergeCell ref="A4:A8"/>
    <mergeCell ref="B4:B8"/>
    <mergeCell ref="C4:E4"/>
    <mergeCell ref="F4:H4"/>
    <mergeCell ref="I4:K4"/>
    <mergeCell ref="L4:L8"/>
    <mergeCell ref="M4:M8"/>
    <mergeCell ref="A50:D50"/>
    <mergeCell ref="K50:M50"/>
    <mergeCell ref="C5:E5"/>
    <mergeCell ref="F5:H5"/>
    <mergeCell ref="I5:K5"/>
  </mergeCells>
  <printOptions horizontalCentered="1"/>
  <pageMargins left="0" right="0" top="0.06" bottom="0.6" header="0.03" footer="0.39370078740157499"/>
  <pageSetup paperSize="9" scale="80" orientation="portrait" r:id="rId1"/>
  <headerFooter>
    <oddFooter>&amp;L&amp;"Times New Roman,Regular"&amp;10    Afghanistan Statistical Yearbook 2023-24&amp;R&amp;"Times New Roman,Regular"&amp;10          د ۱۴۰۲ احصایيوي کالنۍ  /سالنامه احصائیوی ۱۴۰۲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tabColor theme="0"/>
  </sheetPr>
  <dimension ref="A1:AA113"/>
  <sheetViews>
    <sheetView view="pageBreakPreview" topLeftCell="A3" zoomScale="118" zoomScaleNormal="100" zoomScaleSheetLayoutView="118" workbookViewId="0">
      <selection activeCell="A3" sqref="A3:M3"/>
    </sheetView>
  </sheetViews>
  <sheetFormatPr baseColWidth="10" defaultColWidth="8.83203125" defaultRowHeight="15"/>
  <cols>
    <col min="1" max="1" width="2.6640625" customWidth="1"/>
    <col min="2" max="2" width="22.6640625" style="100" customWidth="1"/>
    <col min="3" max="4" width="6.6640625" style="100" customWidth="1"/>
    <col min="5" max="5" width="10.1640625" style="100" customWidth="1"/>
    <col min="6" max="7" width="6.6640625" style="100" customWidth="1"/>
    <col min="8" max="8" width="9.6640625" style="100" customWidth="1"/>
    <col min="9" max="10" width="6.6640625" style="100" customWidth="1"/>
    <col min="11" max="11" width="9.6640625" style="100" customWidth="1"/>
    <col min="12" max="12" width="26.6640625" style="100" customWidth="1"/>
    <col min="13" max="13" width="3.83203125" style="100" customWidth="1"/>
    <col min="15" max="15" width="10.1640625" customWidth="1"/>
    <col min="16" max="18" width="9.5" bestFit="1" customWidth="1"/>
    <col min="19" max="19" width="15.5" bestFit="1" customWidth="1"/>
    <col min="25" max="25" width="22.5" customWidth="1"/>
  </cols>
  <sheetData>
    <row r="1" spans="1:21" ht="24" hidden="1" customHeight="1">
      <c r="B1" s="1443" t="s">
        <v>2185</v>
      </c>
      <c r="C1" s="1443"/>
      <c r="D1" s="1443"/>
      <c r="E1" s="1443"/>
      <c r="F1" s="1443"/>
      <c r="G1" s="1443"/>
      <c r="H1" s="1443"/>
      <c r="I1" s="1443"/>
      <c r="J1" s="1443"/>
      <c r="K1" s="1443"/>
      <c r="L1" s="1443"/>
      <c r="M1" s="1443"/>
      <c r="N1" s="111"/>
      <c r="O1" s="111"/>
      <c r="P1" s="111"/>
    </row>
    <row r="2" spans="1:21" ht="24" hidden="1" customHeight="1">
      <c r="B2" s="1443" t="s">
        <v>2186</v>
      </c>
      <c r="C2" s="1443"/>
      <c r="D2" s="1443"/>
      <c r="E2" s="1443"/>
      <c r="F2" s="1443"/>
      <c r="G2" s="1443"/>
      <c r="H2" s="1443"/>
      <c r="I2" s="1443"/>
      <c r="J2" s="1443"/>
      <c r="K2" s="1443"/>
      <c r="L2" s="1443"/>
      <c r="M2" s="1443"/>
    </row>
    <row r="3" spans="1:21" ht="24" customHeight="1">
      <c r="A3" s="1444" t="s">
        <v>2187</v>
      </c>
      <c r="B3" s="1444"/>
      <c r="C3" s="1444"/>
      <c r="D3" s="1444"/>
      <c r="E3" s="1444"/>
      <c r="F3" s="1444"/>
      <c r="G3" s="1444"/>
      <c r="H3" s="1444"/>
      <c r="I3" s="1444"/>
      <c r="J3" s="1444"/>
      <c r="K3" s="1444"/>
      <c r="L3" s="1444"/>
      <c r="M3" s="1444"/>
      <c r="N3" s="111"/>
      <c r="O3" s="111"/>
      <c r="P3" s="111"/>
    </row>
    <row r="4" spans="1:21" ht="20.25" customHeight="1">
      <c r="A4" s="1327" t="s">
        <v>621</v>
      </c>
      <c r="B4" s="1567" t="s">
        <v>1598</v>
      </c>
      <c r="C4" s="1570">
        <v>1402</v>
      </c>
      <c r="D4" s="1571"/>
      <c r="E4" s="1572"/>
      <c r="F4" s="1570">
        <v>1401</v>
      </c>
      <c r="G4" s="1571"/>
      <c r="H4" s="1572"/>
      <c r="I4" s="1570">
        <v>1400</v>
      </c>
      <c r="J4" s="1571"/>
      <c r="K4" s="1572"/>
      <c r="L4" s="1343" t="s">
        <v>1597</v>
      </c>
      <c r="M4" s="1563" t="s">
        <v>727</v>
      </c>
      <c r="R4" s="4"/>
      <c r="U4" s="4"/>
    </row>
    <row r="5" spans="1:21" ht="20.25" customHeight="1">
      <c r="A5" s="1328"/>
      <c r="B5" s="1568"/>
      <c r="C5" s="1608" t="s">
        <v>772</v>
      </c>
      <c r="D5" s="1609"/>
      <c r="E5" s="1610"/>
      <c r="F5" s="1608" t="s">
        <v>725</v>
      </c>
      <c r="G5" s="1609"/>
      <c r="H5" s="1610"/>
      <c r="I5" s="1608" t="s">
        <v>726</v>
      </c>
      <c r="J5" s="1609"/>
      <c r="K5" s="1610"/>
      <c r="L5" s="1266"/>
      <c r="M5" s="1564"/>
      <c r="R5" s="4"/>
      <c r="U5" s="4"/>
    </row>
    <row r="6" spans="1:21" ht="18.75" customHeight="1">
      <c r="A6" s="1328"/>
      <c r="B6" s="1568"/>
      <c r="C6" s="530" t="s">
        <v>278</v>
      </c>
      <c r="D6" s="530" t="s">
        <v>279</v>
      </c>
      <c r="E6" s="530" t="s">
        <v>256</v>
      </c>
      <c r="F6" s="530" t="s">
        <v>278</v>
      </c>
      <c r="G6" s="530" t="s">
        <v>279</v>
      </c>
      <c r="H6" s="530" t="s">
        <v>256</v>
      </c>
      <c r="I6" s="530" t="s">
        <v>278</v>
      </c>
      <c r="J6" s="530" t="s">
        <v>279</v>
      </c>
      <c r="K6" s="530" t="s">
        <v>256</v>
      </c>
      <c r="L6" s="1607"/>
      <c r="M6" s="1564"/>
      <c r="R6" s="4"/>
      <c r="U6" s="4"/>
    </row>
    <row r="7" spans="1:21" ht="23.25" customHeight="1">
      <c r="A7" s="1328"/>
      <c r="B7" s="1568"/>
      <c r="C7" s="1204" t="s">
        <v>12</v>
      </c>
      <c r="D7" s="1204" t="s">
        <v>13</v>
      </c>
      <c r="E7" s="1204" t="s">
        <v>52</v>
      </c>
      <c r="F7" s="1204" t="s">
        <v>12</v>
      </c>
      <c r="G7" s="1204" t="s">
        <v>13</v>
      </c>
      <c r="H7" s="1204" t="s">
        <v>52</v>
      </c>
      <c r="I7" s="1204" t="s">
        <v>12</v>
      </c>
      <c r="J7" s="1204" t="s">
        <v>13</v>
      </c>
      <c r="K7" s="1204" t="s">
        <v>52</v>
      </c>
      <c r="L7" s="1607"/>
      <c r="M7" s="1564"/>
      <c r="R7" s="4"/>
      <c r="U7" s="4"/>
    </row>
    <row r="8" spans="1:21" ht="20.25" customHeight="1">
      <c r="A8" s="1329"/>
      <c r="B8" s="1569"/>
      <c r="C8" s="1204" t="s">
        <v>162</v>
      </c>
      <c r="D8" s="1204" t="s">
        <v>163</v>
      </c>
      <c r="E8" s="1204" t="s">
        <v>282</v>
      </c>
      <c r="F8" s="1204" t="s">
        <v>162</v>
      </c>
      <c r="G8" s="1204" t="s">
        <v>163</v>
      </c>
      <c r="H8" s="1204" t="s">
        <v>282</v>
      </c>
      <c r="I8" s="1204" t="s">
        <v>162</v>
      </c>
      <c r="J8" s="1204" t="s">
        <v>163</v>
      </c>
      <c r="K8" s="1204" t="s">
        <v>282</v>
      </c>
      <c r="L8" s="1552"/>
      <c r="M8" s="1565"/>
      <c r="R8" s="4"/>
      <c r="S8" s="4"/>
      <c r="U8" s="4"/>
    </row>
    <row r="9" spans="1:21" ht="30" customHeight="1">
      <c r="A9" s="564"/>
      <c r="B9" s="563" t="s">
        <v>70</v>
      </c>
      <c r="C9" s="1024">
        <f>SUM(C10:C34,C42:C56)</f>
        <v>0</v>
      </c>
      <c r="D9" s="970">
        <f>SUM(D10:D34,D42:D56)</f>
        <v>50364</v>
      </c>
      <c r="E9" s="628">
        <f t="shared" ref="E9:E34" si="0">D9+C9</f>
        <v>50364</v>
      </c>
      <c r="F9" s="1024">
        <f>SUM(F10:F34,F42:F56)</f>
        <v>11307</v>
      </c>
      <c r="G9" s="970">
        <f>SUM(G10:G34,G42:G56)</f>
        <v>48097</v>
      </c>
      <c r="H9" s="628">
        <f t="shared" ref="H9:H34" si="1">G9+F9</f>
        <v>59404</v>
      </c>
      <c r="I9" s="1024">
        <f>SUM(I10:I34,I42:I56)</f>
        <v>11632</v>
      </c>
      <c r="J9" s="970">
        <f>SUM(J10:J34,J42:J56)</f>
        <v>65995</v>
      </c>
      <c r="K9" s="628">
        <f t="shared" ref="K9:K34" si="2">J9+I9</f>
        <v>77627</v>
      </c>
      <c r="L9" s="431" t="s">
        <v>671</v>
      </c>
      <c r="M9" s="564"/>
      <c r="O9" s="956"/>
      <c r="R9" s="4"/>
    </row>
    <row r="10" spans="1:21" s="639" customFormat="1" ht="30" customHeight="1">
      <c r="A10" s="148">
        <v>1</v>
      </c>
      <c r="B10" s="633" t="s">
        <v>439</v>
      </c>
      <c r="C10" s="818">
        <v>0</v>
      </c>
      <c r="D10" s="819">
        <v>2300</v>
      </c>
      <c r="E10" s="668">
        <f t="shared" si="0"/>
        <v>2300</v>
      </c>
      <c r="F10" s="818">
        <v>436</v>
      </c>
      <c r="G10" s="819">
        <v>2470</v>
      </c>
      <c r="H10" s="669">
        <f t="shared" si="1"/>
        <v>2906</v>
      </c>
      <c r="I10" s="819">
        <v>551</v>
      </c>
      <c r="J10" s="819">
        <v>3439</v>
      </c>
      <c r="K10" s="669">
        <f t="shared" si="2"/>
        <v>3990</v>
      </c>
      <c r="L10" s="635" t="s">
        <v>1606</v>
      </c>
      <c r="M10" s="24">
        <v>1</v>
      </c>
      <c r="P10" s="692"/>
      <c r="Q10" s="642"/>
    </row>
    <row r="11" spans="1:21" ht="30" customHeight="1">
      <c r="A11" s="147">
        <v>2</v>
      </c>
      <c r="B11" s="240" t="s">
        <v>440</v>
      </c>
      <c r="C11" s="300">
        <v>0</v>
      </c>
      <c r="D11" s="244">
        <v>1430</v>
      </c>
      <c r="E11" s="163">
        <f t="shared" si="0"/>
        <v>1430</v>
      </c>
      <c r="F11" s="300">
        <v>153</v>
      </c>
      <c r="G11" s="244">
        <v>1120</v>
      </c>
      <c r="H11" s="161">
        <f t="shared" si="1"/>
        <v>1273</v>
      </c>
      <c r="I11" s="244">
        <v>143</v>
      </c>
      <c r="J11" s="244">
        <v>1472</v>
      </c>
      <c r="K11" s="161">
        <f t="shared" si="2"/>
        <v>1615</v>
      </c>
      <c r="L11" s="246" t="s">
        <v>1607</v>
      </c>
      <c r="M11" s="909">
        <v>2</v>
      </c>
    </row>
    <row r="12" spans="1:21" s="639" customFormat="1" ht="30" customHeight="1">
      <c r="A12" s="148">
        <v>3</v>
      </c>
      <c r="B12" s="239" t="s">
        <v>586</v>
      </c>
      <c r="C12" s="818">
        <v>0</v>
      </c>
      <c r="D12" s="819">
        <v>575</v>
      </c>
      <c r="E12" s="668">
        <f t="shared" si="0"/>
        <v>575</v>
      </c>
      <c r="F12" s="820">
        <v>465</v>
      </c>
      <c r="G12" s="821">
        <v>576</v>
      </c>
      <c r="H12" s="634">
        <f t="shared" si="1"/>
        <v>1041</v>
      </c>
      <c r="I12" s="821">
        <v>595</v>
      </c>
      <c r="J12" s="821">
        <v>802</v>
      </c>
      <c r="K12" s="634">
        <f t="shared" si="2"/>
        <v>1397</v>
      </c>
      <c r="L12" s="635" t="s">
        <v>1608</v>
      </c>
      <c r="M12" s="24">
        <v>3</v>
      </c>
    </row>
    <row r="13" spans="1:21" ht="30" customHeight="1">
      <c r="A13" s="147">
        <v>4</v>
      </c>
      <c r="B13" s="240" t="s">
        <v>347</v>
      </c>
      <c r="C13" s="300">
        <v>0</v>
      </c>
      <c r="D13" s="244">
        <v>882</v>
      </c>
      <c r="E13" s="163">
        <f t="shared" si="0"/>
        <v>882</v>
      </c>
      <c r="F13" s="300">
        <v>187</v>
      </c>
      <c r="G13" s="244">
        <v>625</v>
      </c>
      <c r="H13" s="158">
        <f t="shared" si="1"/>
        <v>812</v>
      </c>
      <c r="I13" s="244">
        <v>217</v>
      </c>
      <c r="J13" s="244">
        <v>648</v>
      </c>
      <c r="K13" s="158">
        <f t="shared" si="2"/>
        <v>865</v>
      </c>
      <c r="L13" s="246" t="s">
        <v>1609</v>
      </c>
      <c r="M13" s="909">
        <v>4</v>
      </c>
    </row>
    <row r="14" spans="1:21" ht="30" customHeight="1">
      <c r="A14" s="148">
        <v>5</v>
      </c>
      <c r="B14" s="271" t="s">
        <v>656</v>
      </c>
      <c r="C14" s="680">
        <v>0</v>
      </c>
      <c r="D14" s="681">
        <v>0</v>
      </c>
      <c r="E14" s="681">
        <v>0</v>
      </c>
      <c r="F14" s="680">
        <v>0</v>
      </c>
      <c r="G14" s="681">
        <v>0</v>
      </c>
      <c r="H14" s="681">
        <v>0</v>
      </c>
      <c r="I14" s="682">
        <v>0</v>
      </c>
      <c r="J14" s="683">
        <v>0</v>
      </c>
      <c r="K14" s="693">
        <v>0</v>
      </c>
      <c r="L14" s="635" t="s">
        <v>1610</v>
      </c>
      <c r="M14" s="24">
        <v>5</v>
      </c>
    </row>
    <row r="15" spans="1:21" ht="30" customHeight="1">
      <c r="A15" s="147">
        <v>6</v>
      </c>
      <c r="B15" s="240" t="s">
        <v>441</v>
      </c>
      <c r="C15" s="301">
        <v>0</v>
      </c>
      <c r="D15" s="302">
        <v>2347</v>
      </c>
      <c r="E15" s="163">
        <f t="shared" si="0"/>
        <v>2347</v>
      </c>
      <c r="F15" s="300">
        <v>604</v>
      </c>
      <c r="G15" s="244">
        <v>2139</v>
      </c>
      <c r="H15" s="161">
        <f t="shared" si="1"/>
        <v>2743</v>
      </c>
      <c r="I15" s="244">
        <v>587</v>
      </c>
      <c r="J15" s="244">
        <v>2496</v>
      </c>
      <c r="K15" s="161">
        <f t="shared" si="2"/>
        <v>3083</v>
      </c>
      <c r="L15" s="246" t="s">
        <v>1654</v>
      </c>
      <c r="M15" s="909">
        <v>6</v>
      </c>
    </row>
    <row r="16" spans="1:21" s="639" customFormat="1" ht="30" customHeight="1">
      <c r="A16" s="148">
        <v>7</v>
      </c>
      <c r="B16" s="239" t="s">
        <v>442</v>
      </c>
      <c r="C16" s="820">
        <v>0</v>
      </c>
      <c r="D16" s="821">
        <v>1920</v>
      </c>
      <c r="E16" s="668">
        <f t="shared" si="0"/>
        <v>1920</v>
      </c>
      <c r="F16" s="818">
        <v>219</v>
      </c>
      <c r="G16" s="819">
        <v>1917</v>
      </c>
      <c r="H16" s="634">
        <f t="shared" si="1"/>
        <v>2136</v>
      </c>
      <c r="I16" s="819">
        <v>67</v>
      </c>
      <c r="J16" s="819">
        <v>341</v>
      </c>
      <c r="K16" s="634">
        <f t="shared" si="2"/>
        <v>408</v>
      </c>
      <c r="L16" s="635" t="s">
        <v>1611</v>
      </c>
      <c r="M16" s="24">
        <v>7</v>
      </c>
    </row>
    <row r="17" spans="1:26" ht="30" customHeight="1">
      <c r="A17" s="147">
        <v>8</v>
      </c>
      <c r="B17" s="289" t="s">
        <v>443</v>
      </c>
      <c r="C17" s="301">
        <v>0</v>
      </c>
      <c r="D17" s="302">
        <v>2282</v>
      </c>
      <c r="E17" s="163">
        <f t="shared" si="0"/>
        <v>2282</v>
      </c>
      <c r="F17" s="301">
        <v>395</v>
      </c>
      <c r="G17" s="302">
        <v>1932</v>
      </c>
      <c r="H17" s="161">
        <f t="shared" si="1"/>
        <v>2327</v>
      </c>
      <c r="I17" s="302">
        <v>500</v>
      </c>
      <c r="J17" s="302">
        <v>6727</v>
      </c>
      <c r="K17" s="161">
        <f t="shared" si="2"/>
        <v>7227</v>
      </c>
      <c r="L17" s="246" t="s">
        <v>1612</v>
      </c>
      <c r="M17" s="909">
        <v>8</v>
      </c>
    </row>
    <row r="18" spans="1:26" s="639" customFormat="1" ht="30" customHeight="1">
      <c r="A18" s="148">
        <v>9</v>
      </c>
      <c r="B18" s="633" t="s">
        <v>444</v>
      </c>
      <c r="C18" s="820">
        <v>0</v>
      </c>
      <c r="D18" s="821">
        <v>1162</v>
      </c>
      <c r="E18" s="668">
        <f t="shared" si="0"/>
        <v>1162</v>
      </c>
      <c r="F18" s="818">
        <v>53</v>
      </c>
      <c r="G18" s="819">
        <v>1273</v>
      </c>
      <c r="H18" s="669">
        <f t="shared" si="1"/>
        <v>1326</v>
      </c>
      <c r="I18" s="819">
        <v>50</v>
      </c>
      <c r="J18" s="819">
        <v>1567</v>
      </c>
      <c r="K18" s="634">
        <f t="shared" si="2"/>
        <v>1617</v>
      </c>
      <c r="L18" s="635" t="s">
        <v>1613</v>
      </c>
      <c r="M18" s="24">
        <v>9</v>
      </c>
    </row>
    <row r="19" spans="1:26" ht="30" customHeight="1">
      <c r="A19" s="147">
        <v>10</v>
      </c>
      <c r="B19" s="289" t="s">
        <v>445</v>
      </c>
      <c r="C19" s="301">
        <v>0</v>
      </c>
      <c r="D19" s="302">
        <v>1073</v>
      </c>
      <c r="E19" s="163">
        <f t="shared" si="0"/>
        <v>1073</v>
      </c>
      <c r="F19" s="301">
        <v>189</v>
      </c>
      <c r="G19" s="302">
        <v>1219</v>
      </c>
      <c r="H19" s="158">
        <f t="shared" si="1"/>
        <v>1408</v>
      </c>
      <c r="I19" s="302">
        <v>269</v>
      </c>
      <c r="J19" s="302">
        <v>2287</v>
      </c>
      <c r="K19" s="158">
        <f t="shared" si="2"/>
        <v>2556</v>
      </c>
      <c r="L19" s="246" t="s">
        <v>1614</v>
      </c>
      <c r="M19" s="909">
        <v>10</v>
      </c>
    </row>
    <row r="20" spans="1:26" s="639" customFormat="1" ht="30" customHeight="1">
      <c r="A20" s="148">
        <v>11</v>
      </c>
      <c r="B20" s="633" t="s">
        <v>446</v>
      </c>
      <c r="C20" s="820">
        <v>0</v>
      </c>
      <c r="D20" s="821">
        <v>2801</v>
      </c>
      <c r="E20" s="668">
        <f t="shared" si="0"/>
        <v>2801</v>
      </c>
      <c r="F20" s="818">
        <v>1475</v>
      </c>
      <c r="G20" s="819">
        <v>1909</v>
      </c>
      <c r="H20" s="669">
        <f t="shared" si="1"/>
        <v>3384</v>
      </c>
      <c r="I20" s="818">
        <v>1572</v>
      </c>
      <c r="J20" s="819">
        <v>2893</v>
      </c>
      <c r="K20" s="669">
        <f t="shared" si="2"/>
        <v>4465</v>
      </c>
      <c r="L20" s="643" t="s">
        <v>1615</v>
      </c>
      <c r="M20" s="24">
        <v>11</v>
      </c>
    </row>
    <row r="21" spans="1:26" ht="30" customHeight="1">
      <c r="A21" s="147">
        <v>12</v>
      </c>
      <c r="B21" s="289" t="s">
        <v>447</v>
      </c>
      <c r="C21" s="301">
        <v>0</v>
      </c>
      <c r="D21" s="302">
        <v>720</v>
      </c>
      <c r="E21" s="163">
        <f t="shared" si="0"/>
        <v>720</v>
      </c>
      <c r="F21" s="301">
        <v>398</v>
      </c>
      <c r="G21" s="302">
        <v>825</v>
      </c>
      <c r="H21" s="158">
        <f t="shared" si="1"/>
        <v>1223</v>
      </c>
      <c r="I21" s="301">
        <v>467</v>
      </c>
      <c r="J21" s="302">
        <v>1513</v>
      </c>
      <c r="K21" s="158">
        <f t="shared" si="2"/>
        <v>1980</v>
      </c>
      <c r="L21" s="246" t="s">
        <v>1616</v>
      </c>
      <c r="M21" s="909">
        <v>12</v>
      </c>
    </row>
    <row r="22" spans="1:26" s="639" customFormat="1" ht="38.25" customHeight="1">
      <c r="A22" s="148">
        <v>13</v>
      </c>
      <c r="B22" s="633" t="s">
        <v>448</v>
      </c>
      <c r="C22" s="820">
        <v>0</v>
      </c>
      <c r="D22" s="821">
        <v>407</v>
      </c>
      <c r="E22" s="668">
        <f t="shared" si="0"/>
        <v>407</v>
      </c>
      <c r="F22" s="818">
        <v>15</v>
      </c>
      <c r="G22" s="819">
        <v>289</v>
      </c>
      <c r="H22" s="669">
        <f t="shared" si="1"/>
        <v>304</v>
      </c>
      <c r="I22" s="818">
        <v>14</v>
      </c>
      <c r="J22" s="819">
        <v>909</v>
      </c>
      <c r="K22" s="669">
        <f t="shared" si="2"/>
        <v>923</v>
      </c>
      <c r="L22" s="635" t="s">
        <v>1617</v>
      </c>
      <c r="M22" s="24">
        <v>13</v>
      </c>
    </row>
    <row r="23" spans="1:26" ht="30" customHeight="1">
      <c r="A23" s="147">
        <v>14</v>
      </c>
      <c r="B23" s="289" t="s">
        <v>449</v>
      </c>
      <c r="C23" s="301">
        <v>0</v>
      </c>
      <c r="D23" s="302">
        <v>3617</v>
      </c>
      <c r="E23" s="163">
        <f t="shared" si="0"/>
        <v>3617</v>
      </c>
      <c r="F23" s="301">
        <v>567</v>
      </c>
      <c r="G23" s="302">
        <v>1378</v>
      </c>
      <c r="H23" s="161">
        <f t="shared" si="1"/>
        <v>1945</v>
      </c>
      <c r="I23" s="302">
        <v>213</v>
      </c>
      <c r="J23" s="302">
        <v>4661</v>
      </c>
      <c r="K23" s="161">
        <f t="shared" si="2"/>
        <v>4874</v>
      </c>
      <c r="L23" s="238" t="s">
        <v>1618</v>
      </c>
      <c r="M23" s="909">
        <v>14</v>
      </c>
    </row>
    <row r="24" spans="1:26" s="639" customFormat="1" ht="44.25" customHeight="1">
      <c r="A24" s="148">
        <v>15</v>
      </c>
      <c r="B24" s="633" t="s">
        <v>357</v>
      </c>
      <c r="C24" s="820">
        <v>0</v>
      </c>
      <c r="D24" s="821">
        <v>3458</v>
      </c>
      <c r="E24" s="668">
        <f t="shared" si="0"/>
        <v>3458</v>
      </c>
      <c r="F24" s="820">
        <v>177</v>
      </c>
      <c r="G24" s="821">
        <v>4065</v>
      </c>
      <c r="H24" s="634">
        <f t="shared" si="1"/>
        <v>4242</v>
      </c>
      <c r="I24" s="821">
        <v>233</v>
      </c>
      <c r="J24" s="821">
        <v>4343</v>
      </c>
      <c r="K24" s="634">
        <f t="shared" si="2"/>
        <v>4576</v>
      </c>
      <c r="L24" s="635" t="s">
        <v>1653</v>
      </c>
      <c r="M24" s="24">
        <v>15</v>
      </c>
    </row>
    <row r="25" spans="1:26" ht="38.25" customHeight="1">
      <c r="A25" s="147">
        <v>16</v>
      </c>
      <c r="B25" s="289" t="s">
        <v>358</v>
      </c>
      <c r="C25" s="301">
        <v>0</v>
      </c>
      <c r="D25" s="302">
        <v>1583</v>
      </c>
      <c r="E25" s="163">
        <f t="shared" si="0"/>
        <v>1583</v>
      </c>
      <c r="F25" s="301">
        <v>68</v>
      </c>
      <c r="G25" s="302">
        <v>1771</v>
      </c>
      <c r="H25" s="161">
        <f t="shared" si="1"/>
        <v>1839</v>
      </c>
      <c r="I25" s="302">
        <v>50</v>
      </c>
      <c r="J25" s="302">
        <v>2371</v>
      </c>
      <c r="K25" s="161">
        <f t="shared" si="2"/>
        <v>2421</v>
      </c>
      <c r="L25" s="246" t="s">
        <v>1652</v>
      </c>
      <c r="M25" s="909">
        <v>16</v>
      </c>
      <c r="P25" s="36"/>
      <c r="Q25" s="36"/>
      <c r="R25" s="36"/>
      <c r="S25" s="36"/>
      <c r="T25" s="36"/>
      <c r="U25" s="36"/>
      <c r="V25" s="36"/>
      <c r="W25" s="36"/>
      <c r="X25" s="104"/>
      <c r="Y25" s="38"/>
      <c r="Z25" s="24"/>
    </row>
    <row r="26" spans="1:26" s="639" customFormat="1" ht="30" customHeight="1">
      <c r="A26" s="148">
        <v>17</v>
      </c>
      <c r="B26" s="633" t="s">
        <v>450</v>
      </c>
      <c r="C26" s="820">
        <v>0</v>
      </c>
      <c r="D26" s="821">
        <v>2495</v>
      </c>
      <c r="E26" s="668">
        <f t="shared" si="0"/>
        <v>2495</v>
      </c>
      <c r="F26" s="818">
        <v>1339</v>
      </c>
      <c r="G26" s="819">
        <v>2255</v>
      </c>
      <c r="H26" s="634">
        <f t="shared" si="1"/>
        <v>3594</v>
      </c>
      <c r="I26" s="819">
        <v>1237</v>
      </c>
      <c r="J26" s="819">
        <v>2487</v>
      </c>
      <c r="K26" s="634">
        <f t="shared" si="2"/>
        <v>3724</v>
      </c>
      <c r="L26" s="644" t="s">
        <v>1619</v>
      </c>
      <c r="M26" s="24">
        <v>17</v>
      </c>
    </row>
    <row r="27" spans="1:26" ht="30" customHeight="1">
      <c r="A27" s="147">
        <v>18</v>
      </c>
      <c r="B27" s="289" t="s">
        <v>451</v>
      </c>
      <c r="C27" s="301">
        <v>0</v>
      </c>
      <c r="D27" s="302">
        <v>2373</v>
      </c>
      <c r="E27" s="163">
        <f t="shared" si="0"/>
        <v>2373</v>
      </c>
      <c r="F27" s="301">
        <v>777</v>
      </c>
      <c r="G27" s="302">
        <v>2193</v>
      </c>
      <c r="H27" s="161">
        <f t="shared" si="1"/>
        <v>2970</v>
      </c>
      <c r="I27" s="301">
        <v>826</v>
      </c>
      <c r="J27" s="302">
        <v>2158</v>
      </c>
      <c r="K27" s="161">
        <f t="shared" si="2"/>
        <v>2984</v>
      </c>
      <c r="L27" s="246" t="s">
        <v>1620</v>
      </c>
      <c r="M27" s="909">
        <v>18</v>
      </c>
    </row>
    <row r="28" spans="1:26" s="639" customFormat="1" ht="30" customHeight="1">
      <c r="A28" s="148">
        <v>19</v>
      </c>
      <c r="B28" s="633" t="s">
        <v>452</v>
      </c>
      <c r="C28" s="820">
        <v>0</v>
      </c>
      <c r="D28" s="821">
        <v>605</v>
      </c>
      <c r="E28" s="668">
        <f t="shared" si="0"/>
        <v>605</v>
      </c>
      <c r="F28" s="818">
        <v>205</v>
      </c>
      <c r="G28" s="819">
        <v>962</v>
      </c>
      <c r="H28" s="669">
        <f t="shared" si="1"/>
        <v>1167</v>
      </c>
      <c r="I28" s="819">
        <v>258</v>
      </c>
      <c r="J28" s="819">
        <v>1552</v>
      </c>
      <c r="K28" s="669">
        <f t="shared" si="2"/>
        <v>1810</v>
      </c>
      <c r="L28" s="635" t="s">
        <v>1621</v>
      </c>
      <c r="M28" s="24">
        <v>19</v>
      </c>
    </row>
    <row r="29" spans="1:26" ht="30" customHeight="1">
      <c r="A29" s="147">
        <v>20</v>
      </c>
      <c r="B29" s="289" t="s">
        <v>453</v>
      </c>
      <c r="C29" s="301">
        <v>0</v>
      </c>
      <c r="D29" s="302">
        <v>3670</v>
      </c>
      <c r="E29" s="163">
        <f t="shared" si="0"/>
        <v>3670</v>
      </c>
      <c r="F29" s="301">
        <v>1508</v>
      </c>
      <c r="G29" s="302">
        <v>3598</v>
      </c>
      <c r="H29" s="161">
        <f t="shared" si="1"/>
        <v>5106</v>
      </c>
      <c r="I29" s="302">
        <v>1329</v>
      </c>
      <c r="J29" s="302">
        <v>3812</v>
      </c>
      <c r="K29" s="161">
        <f t="shared" si="2"/>
        <v>5141</v>
      </c>
      <c r="L29" s="246" t="s">
        <v>1622</v>
      </c>
      <c r="M29" s="909">
        <v>20</v>
      </c>
    </row>
    <row r="30" spans="1:26" s="639" customFormat="1" ht="30" customHeight="1">
      <c r="A30" s="148">
        <v>21</v>
      </c>
      <c r="B30" s="633" t="s">
        <v>454</v>
      </c>
      <c r="C30" s="820">
        <v>0</v>
      </c>
      <c r="D30" s="821">
        <v>2836</v>
      </c>
      <c r="E30" s="668">
        <f t="shared" si="0"/>
        <v>2836</v>
      </c>
      <c r="F30" s="818">
        <v>130</v>
      </c>
      <c r="G30" s="819">
        <v>3238</v>
      </c>
      <c r="H30" s="669">
        <f t="shared" si="1"/>
        <v>3368</v>
      </c>
      <c r="I30" s="819">
        <v>195</v>
      </c>
      <c r="J30" s="819">
        <v>3611</v>
      </c>
      <c r="K30" s="669">
        <f t="shared" si="2"/>
        <v>3806</v>
      </c>
      <c r="L30" s="643" t="s">
        <v>1623</v>
      </c>
      <c r="M30" s="24">
        <v>21</v>
      </c>
    </row>
    <row r="31" spans="1:26" ht="49.5" customHeight="1">
      <c r="A31" s="147">
        <v>22</v>
      </c>
      <c r="B31" s="289" t="s">
        <v>455</v>
      </c>
      <c r="C31" s="301">
        <v>0</v>
      </c>
      <c r="D31" s="302">
        <v>194</v>
      </c>
      <c r="E31" s="163">
        <f t="shared" si="0"/>
        <v>194</v>
      </c>
      <c r="F31" s="301">
        <v>10</v>
      </c>
      <c r="G31" s="302">
        <v>219</v>
      </c>
      <c r="H31" s="161">
        <f t="shared" si="1"/>
        <v>229</v>
      </c>
      <c r="I31" s="301">
        <v>14</v>
      </c>
      <c r="J31" s="302">
        <v>572</v>
      </c>
      <c r="K31" s="161">
        <f t="shared" si="2"/>
        <v>586</v>
      </c>
      <c r="L31" s="238" t="s">
        <v>1651</v>
      </c>
      <c r="M31" s="909">
        <v>22</v>
      </c>
    </row>
    <row r="32" spans="1:26" s="639" customFormat="1" ht="30" customHeight="1">
      <c r="A32" s="148">
        <v>23</v>
      </c>
      <c r="B32" s="633" t="s">
        <v>456</v>
      </c>
      <c r="C32" s="820">
        <v>0</v>
      </c>
      <c r="D32" s="821">
        <v>2101</v>
      </c>
      <c r="E32" s="668">
        <f t="shared" si="0"/>
        <v>2101</v>
      </c>
      <c r="F32" s="818">
        <v>572</v>
      </c>
      <c r="G32" s="819">
        <v>2287</v>
      </c>
      <c r="H32" s="669">
        <f t="shared" si="1"/>
        <v>2859</v>
      </c>
      <c r="I32" s="818">
        <v>581</v>
      </c>
      <c r="J32" s="819">
        <v>3357</v>
      </c>
      <c r="K32" s="669">
        <f t="shared" si="2"/>
        <v>3938</v>
      </c>
      <c r="L32" s="644" t="s">
        <v>1624</v>
      </c>
      <c r="M32" s="24">
        <v>23</v>
      </c>
    </row>
    <row r="33" spans="1:27" ht="30" customHeight="1">
      <c r="A33" s="147">
        <v>24</v>
      </c>
      <c r="B33" s="289" t="s">
        <v>457</v>
      </c>
      <c r="C33" s="301">
        <v>0</v>
      </c>
      <c r="D33" s="302">
        <v>1614</v>
      </c>
      <c r="E33" s="161">
        <f t="shared" si="0"/>
        <v>1614</v>
      </c>
      <c r="F33" s="301">
        <v>179</v>
      </c>
      <c r="G33" s="302">
        <v>1441</v>
      </c>
      <c r="H33" s="161">
        <f t="shared" si="1"/>
        <v>1620</v>
      </c>
      <c r="I33" s="302">
        <v>171</v>
      </c>
      <c r="J33" s="302">
        <v>1973</v>
      </c>
      <c r="K33" s="163">
        <f t="shared" si="2"/>
        <v>2144</v>
      </c>
      <c r="L33" s="238" t="s">
        <v>1625</v>
      </c>
      <c r="M33" s="909">
        <v>24</v>
      </c>
    </row>
    <row r="34" spans="1:27" s="639" customFormat="1" ht="30" customHeight="1">
      <c r="A34" s="170">
        <v>25</v>
      </c>
      <c r="B34" s="646" t="s">
        <v>458</v>
      </c>
      <c r="C34" s="647">
        <v>0</v>
      </c>
      <c r="D34" s="647">
        <v>1666</v>
      </c>
      <c r="E34" s="688">
        <f t="shared" si="0"/>
        <v>1666</v>
      </c>
      <c r="F34" s="687">
        <v>167</v>
      </c>
      <c r="G34" s="688">
        <v>1830</v>
      </c>
      <c r="H34" s="688">
        <f t="shared" si="1"/>
        <v>1997</v>
      </c>
      <c r="I34" s="687">
        <v>269</v>
      </c>
      <c r="J34" s="688">
        <v>2117</v>
      </c>
      <c r="K34" s="686">
        <f t="shared" si="2"/>
        <v>2386</v>
      </c>
      <c r="L34" s="650" t="s">
        <v>1626</v>
      </c>
      <c r="M34" s="939">
        <v>25</v>
      </c>
      <c r="P34" s="100"/>
    </row>
    <row r="35" spans="1:27" s="100" customFormat="1" ht="18" hidden="1" customHeight="1">
      <c r="A35" s="1605" t="s">
        <v>1192</v>
      </c>
      <c r="B35" s="1605"/>
      <c r="C35" s="1605"/>
      <c r="D35" s="1605"/>
      <c r="E35" s="1605"/>
      <c r="F35" s="163"/>
      <c r="G35" s="163"/>
      <c r="H35" s="163"/>
      <c r="I35" s="163"/>
      <c r="J35" s="163"/>
      <c r="K35" s="163"/>
      <c r="L35" s="1606" t="s">
        <v>1313</v>
      </c>
      <c r="M35" s="1606"/>
    </row>
    <row r="36" spans="1:27" ht="18" hidden="1" customHeight="1">
      <c r="A36" s="1605"/>
      <c r="B36" s="1605"/>
      <c r="C36" s="1605"/>
      <c r="D36" s="1605"/>
      <c r="E36" s="1605"/>
      <c r="F36" s="1606" t="s">
        <v>1296</v>
      </c>
      <c r="G36" s="1606"/>
      <c r="H36" s="1606"/>
      <c r="I36" s="1606"/>
      <c r="J36" s="1606"/>
      <c r="K36" s="1606"/>
      <c r="L36" s="1606"/>
      <c r="M36" s="1606"/>
    </row>
    <row r="37" spans="1:27" ht="15" hidden="1" customHeight="1">
      <c r="A37" s="1327" t="s">
        <v>621</v>
      </c>
      <c r="B37" s="1567" t="s">
        <v>1598</v>
      </c>
      <c r="C37" s="1570">
        <v>1402</v>
      </c>
      <c r="D37" s="1571"/>
      <c r="E37" s="1572"/>
      <c r="F37" s="1570">
        <v>1401</v>
      </c>
      <c r="G37" s="1571"/>
      <c r="H37" s="1572"/>
      <c r="I37" s="1570">
        <v>1400</v>
      </c>
      <c r="J37" s="1571"/>
      <c r="K37" s="1572"/>
      <c r="L37" s="1343" t="s">
        <v>1597</v>
      </c>
      <c r="M37" s="1563" t="s">
        <v>727</v>
      </c>
    </row>
    <row r="38" spans="1:27" hidden="1">
      <c r="A38" s="1328"/>
      <c r="B38" s="1568"/>
      <c r="C38" s="1573" t="s">
        <v>772</v>
      </c>
      <c r="D38" s="1574"/>
      <c r="E38" s="1575"/>
      <c r="F38" s="1573" t="s">
        <v>725</v>
      </c>
      <c r="G38" s="1574"/>
      <c r="H38" s="1575"/>
      <c r="I38" s="1573" t="s">
        <v>726</v>
      </c>
      <c r="J38" s="1574"/>
      <c r="K38" s="1575"/>
      <c r="L38" s="1266"/>
      <c r="M38" s="1564"/>
    </row>
    <row r="39" spans="1:27" hidden="1">
      <c r="A39" s="1328"/>
      <c r="B39" s="1568"/>
      <c r="C39" s="530" t="s">
        <v>278</v>
      </c>
      <c r="D39" s="530" t="s">
        <v>279</v>
      </c>
      <c r="E39" s="530" t="s">
        <v>256</v>
      </c>
      <c r="F39" s="530" t="s">
        <v>278</v>
      </c>
      <c r="G39" s="530" t="s">
        <v>279</v>
      </c>
      <c r="H39" s="530" t="s">
        <v>256</v>
      </c>
      <c r="I39" s="530" t="s">
        <v>278</v>
      </c>
      <c r="J39" s="530" t="s">
        <v>279</v>
      </c>
      <c r="K39" s="530" t="s">
        <v>256</v>
      </c>
      <c r="L39" s="1266"/>
      <c r="M39" s="1564"/>
    </row>
    <row r="40" spans="1:27" hidden="1">
      <c r="A40" s="1328"/>
      <c r="B40" s="1568"/>
      <c r="C40" s="1204" t="s">
        <v>12</v>
      </c>
      <c r="D40" s="1204" t="s">
        <v>13</v>
      </c>
      <c r="E40" s="1204" t="s">
        <v>52</v>
      </c>
      <c r="F40" s="1204" t="s">
        <v>12</v>
      </c>
      <c r="G40" s="1204" t="s">
        <v>13</v>
      </c>
      <c r="H40" s="1204" t="s">
        <v>52</v>
      </c>
      <c r="I40" s="1204" t="s">
        <v>12</v>
      </c>
      <c r="J40" s="1204" t="s">
        <v>13</v>
      </c>
      <c r="K40" s="1204" t="s">
        <v>52</v>
      </c>
      <c r="L40" s="1266"/>
      <c r="M40" s="1564"/>
    </row>
    <row r="41" spans="1:27" ht="28.5" hidden="1" customHeight="1">
      <c r="A41" s="1329"/>
      <c r="B41" s="1569"/>
      <c r="C41" s="1204" t="s">
        <v>162</v>
      </c>
      <c r="D41" s="1204" t="s">
        <v>163</v>
      </c>
      <c r="E41" s="1204" t="s">
        <v>282</v>
      </c>
      <c r="F41" s="1204" t="s">
        <v>162</v>
      </c>
      <c r="G41" s="1204" t="s">
        <v>163</v>
      </c>
      <c r="H41" s="1204" t="s">
        <v>282</v>
      </c>
      <c r="I41" s="1204" t="s">
        <v>162</v>
      </c>
      <c r="J41" s="1204" t="s">
        <v>163</v>
      </c>
      <c r="K41" s="1204" t="s">
        <v>282</v>
      </c>
      <c r="L41" s="1267"/>
      <c r="M41" s="1565"/>
    </row>
    <row r="42" spans="1:27" s="11" customFormat="1" ht="36.75" customHeight="1">
      <c r="A42" s="313">
        <v>26</v>
      </c>
      <c r="B42" s="240" t="s">
        <v>653</v>
      </c>
      <c r="C42" s="156">
        <v>0</v>
      </c>
      <c r="D42" s="157">
        <v>282</v>
      </c>
      <c r="E42" s="157">
        <f t="shared" ref="E42:E56" si="3">D42+C42</f>
        <v>282</v>
      </c>
      <c r="F42" s="156">
        <v>0</v>
      </c>
      <c r="G42" s="157">
        <v>321</v>
      </c>
      <c r="H42" s="157">
        <f t="shared" ref="H42:H56" si="4">G42+F42</f>
        <v>321</v>
      </c>
      <c r="I42" s="156">
        <v>0</v>
      </c>
      <c r="J42" s="157">
        <v>365</v>
      </c>
      <c r="K42" s="157">
        <f t="shared" ref="K42:K56" si="5">J42+I42</f>
        <v>365</v>
      </c>
      <c r="L42" s="314" t="s">
        <v>1627</v>
      </c>
      <c r="M42" s="954">
        <v>26</v>
      </c>
      <c r="P42" s="413"/>
      <c r="Q42" s="1477"/>
      <c r="R42" s="1477"/>
      <c r="S42" s="1477"/>
      <c r="T42" s="1477"/>
      <c r="U42" s="1477"/>
      <c r="V42" s="1477"/>
      <c r="W42" s="1477"/>
      <c r="X42" s="1477"/>
      <c r="Y42" s="1477"/>
      <c r="Z42" s="1477"/>
      <c r="AA42" s="1477"/>
    </row>
    <row r="43" spans="1:27" s="639" customFormat="1" ht="30" customHeight="1">
      <c r="A43" s="148">
        <v>27</v>
      </c>
      <c r="B43" s="633" t="s">
        <v>459</v>
      </c>
      <c r="C43" s="154">
        <v>0</v>
      </c>
      <c r="D43" s="155">
        <v>306</v>
      </c>
      <c r="E43" s="668">
        <f t="shared" si="3"/>
        <v>306</v>
      </c>
      <c r="F43" s="667">
        <v>19</v>
      </c>
      <c r="G43" s="668">
        <v>257</v>
      </c>
      <c r="H43" s="634">
        <f t="shared" si="4"/>
        <v>276</v>
      </c>
      <c r="I43" s="668">
        <v>20</v>
      </c>
      <c r="J43" s="668">
        <v>293</v>
      </c>
      <c r="K43" s="634">
        <f t="shared" si="5"/>
        <v>313</v>
      </c>
      <c r="L43" s="635" t="s">
        <v>1231</v>
      </c>
      <c r="M43" s="24">
        <v>27</v>
      </c>
      <c r="P43" s="1601"/>
      <c r="Q43" s="1602"/>
      <c r="R43" s="1602"/>
      <c r="S43" s="1602"/>
      <c r="T43" s="1602"/>
      <c r="U43" s="1602"/>
      <c r="V43" s="1602"/>
      <c r="W43" s="1602"/>
      <c r="X43" s="1602"/>
      <c r="Y43" s="1602"/>
      <c r="Z43" s="1603"/>
      <c r="AA43" s="1603"/>
    </row>
    <row r="44" spans="1:27" ht="30" customHeight="1">
      <c r="A44" s="396">
        <v>28</v>
      </c>
      <c r="B44" s="289" t="s">
        <v>460</v>
      </c>
      <c r="C44" s="156">
        <v>0</v>
      </c>
      <c r="D44" s="157">
        <v>773</v>
      </c>
      <c r="E44" s="163">
        <f t="shared" si="3"/>
        <v>773</v>
      </c>
      <c r="F44" s="162">
        <v>156</v>
      </c>
      <c r="G44" s="163">
        <v>752</v>
      </c>
      <c r="H44" s="161">
        <f t="shared" si="4"/>
        <v>908</v>
      </c>
      <c r="I44" s="163">
        <v>196</v>
      </c>
      <c r="J44" s="163">
        <v>1214</v>
      </c>
      <c r="K44" s="161">
        <f t="shared" si="5"/>
        <v>1410</v>
      </c>
      <c r="L44" s="246" t="s">
        <v>1628</v>
      </c>
      <c r="M44" s="954">
        <v>28</v>
      </c>
      <c r="P44" s="1601"/>
      <c r="Q44" s="1604"/>
      <c r="R44" s="1604"/>
      <c r="S44" s="1604"/>
      <c r="T44" s="1604"/>
      <c r="U44" s="1604"/>
      <c r="V44" s="1604"/>
      <c r="W44" s="1604"/>
      <c r="X44" s="1604"/>
      <c r="Y44" s="1604"/>
      <c r="Z44" s="1603"/>
      <c r="AA44" s="1603"/>
    </row>
    <row r="45" spans="1:27" s="639" customFormat="1" ht="30" customHeight="1">
      <c r="A45" s="148">
        <v>29</v>
      </c>
      <c r="B45" s="633" t="s">
        <v>461</v>
      </c>
      <c r="C45" s="154">
        <v>0</v>
      </c>
      <c r="D45" s="155">
        <v>1040</v>
      </c>
      <c r="E45" s="668">
        <f t="shared" si="3"/>
        <v>1040</v>
      </c>
      <c r="F45" s="667">
        <v>0</v>
      </c>
      <c r="G45" s="668">
        <v>1362</v>
      </c>
      <c r="H45" s="634">
        <f t="shared" si="4"/>
        <v>1362</v>
      </c>
      <c r="I45" s="668">
        <v>1</v>
      </c>
      <c r="J45" s="668">
        <v>1308</v>
      </c>
      <c r="K45" s="634">
        <f t="shared" si="5"/>
        <v>1309</v>
      </c>
      <c r="L45" s="635" t="s">
        <v>1629</v>
      </c>
      <c r="M45" s="24">
        <v>29</v>
      </c>
      <c r="P45" s="1601"/>
      <c r="Q45" s="334"/>
      <c r="R45" s="334"/>
      <c r="S45" s="334"/>
      <c r="T45" s="334"/>
      <c r="U45" s="334"/>
      <c r="V45" s="334"/>
      <c r="W45" s="334"/>
      <c r="X45" s="334"/>
      <c r="Y45" s="334"/>
      <c r="Z45" s="1603"/>
      <c r="AA45" s="1603"/>
    </row>
    <row r="46" spans="1:27" ht="30" customHeight="1">
      <c r="A46" s="396">
        <v>30</v>
      </c>
      <c r="B46" s="289" t="s">
        <v>462</v>
      </c>
      <c r="C46" s="156">
        <v>0</v>
      </c>
      <c r="D46" s="157">
        <v>788</v>
      </c>
      <c r="E46" s="163">
        <f t="shared" si="3"/>
        <v>788</v>
      </c>
      <c r="F46" s="162">
        <v>161</v>
      </c>
      <c r="G46" s="163">
        <v>695</v>
      </c>
      <c r="H46" s="161">
        <f t="shared" si="4"/>
        <v>856</v>
      </c>
      <c r="I46" s="162">
        <v>193</v>
      </c>
      <c r="J46" s="163">
        <v>945</v>
      </c>
      <c r="K46" s="161">
        <f t="shared" si="5"/>
        <v>1138</v>
      </c>
      <c r="L46" s="238" t="s">
        <v>1630</v>
      </c>
      <c r="M46" s="954">
        <v>30</v>
      </c>
      <c r="P46" s="1601"/>
      <c r="Q46" s="416"/>
      <c r="R46" s="416"/>
      <c r="S46" s="417"/>
      <c r="T46" s="416"/>
      <c r="U46" s="416"/>
      <c r="V46" s="417"/>
      <c r="W46" s="416"/>
      <c r="X46" s="416"/>
      <c r="Y46" s="417"/>
      <c r="Z46" s="1603"/>
      <c r="AA46" s="1603"/>
    </row>
    <row r="47" spans="1:27" s="639" customFormat="1" ht="30" customHeight="1">
      <c r="A47" s="148">
        <v>31</v>
      </c>
      <c r="B47" s="633" t="s">
        <v>463</v>
      </c>
      <c r="C47" s="154">
        <v>0</v>
      </c>
      <c r="D47" s="155">
        <v>454</v>
      </c>
      <c r="E47" s="668">
        <f t="shared" si="3"/>
        <v>454</v>
      </c>
      <c r="F47" s="667">
        <v>46</v>
      </c>
      <c r="G47" s="668">
        <v>197</v>
      </c>
      <c r="H47" s="669">
        <f t="shared" si="4"/>
        <v>243</v>
      </c>
      <c r="I47" s="668">
        <v>76</v>
      </c>
      <c r="J47" s="668">
        <v>432</v>
      </c>
      <c r="K47" s="669">
        <f t="shared" si="5"/>
        <v>508</v>
      </c>
      <c r="L47" s="635" t="s">
        <v>1631</v>
      </c>
      <c r="M47" s="24">
        <v>31</v>
      </c>
      <c r="P47" s="1601"/>
      <c r="Q47" s="822"/>
      <c r="R47" s="822"/>
      <c r="S47" s="822"/>
      <c r="T47" s="822"/>
      <c r="U47" s="822"/>
      <c r="V47" s="822"/>
      <c r="W47" s="822"/>
      <c r="X47" s="822"/>
      <c r="Y47" s="822"/>
      <c r="Z47" s="1603"/>
      <c r="AA47" s="1603"/>
    </row>
    <row r="48" spans="1:27" ht="30" customHeight="1">
      <c r="A48" s="396">
        <v>32</v>
      </c>
      <c r="B48" s="283" t="s">
        <v>464</v>
      </c>
      <c r="C48" s="156">
        <v>0</v>
      </c>
      <c r="D48" s="157">
        <v>435</v>
      </c>
      <c r="E48" s="161">
        <f t="shared" si="3"/>
        <v>435</v>
      </c>
      <c r="F48" s="162">
        <v>159</v>
      </c>
      <c r="G48" s="163">
        <v>514</v>
      </c>
      <c r="H48" s="161">
        <f t="shared" si="4"/>
        <v>673</v>
      </c>
      <c r="I48" s="162">
        <v>157</v>
      </c>
      <c r="J48" s="163">
        <v>502</v>
      </c>
      <c r="K48" s="161">
        <f t="shared" si="5"/>
        <v>659</v>
      </c>
      <c r="L48" s="246" t="s">
        <v>1632</v>
      </c>
      <c r="M48" s="954">
        <v>32</v>
      </c>
    </row>
    <row r="49" spans="1:21" s="639" customFormat="1" ht="30" customHeight="1">
      <c r="A49" s="148">
        <v>33</v>
      </c>
      <c r="B49" s="633" t="s">
        <v>465</v>
      </c>
      <c r="C49" s="154">
        <v>0</v>
      </c>
      <c r="D49" s="155">
        <v>184</v>
      </c>
      <c r="E49" s="668">
        <f t="shared" si="3"/>
        <v>184</v>
      </c>
      <c r="F49" s="667">
        <v>346</v>
      </c>
      <c r="G49" s="668">
        <v>174</v>
      </c>
      <c r="H49" s="669">
        <f t="shared" si="4"/>
        <v>520</v>
      </c>
      <c r="I49" s="668">
        <v>439</v>
      </c>
      <c r="J49" s="668">
        <v>344</v>
      </c>
      <c r="K49" s="669">
        <f t="shared" si="5"/>
        <v>783</v>
      </c>
      <c r="L49" s="635" t="s">
        <v>1633</v>
      </c>
      <c r="M49" s="24">
        <v>33</v>
      </c>
    </row>
    <row r="50" spans="1:21" ht="30" customHeight="1">
      <c r="A50" s="396">
        <v>34</v>
      </c>
      <c r="B50" s="289" t="s">
        <v>466</v>
      </c>
      <c r="C50" s="156">
        <v>0</v>
      </c>
      <c r="D50" s="157">
        <v>357</v>
      </c>
      <c r="E50" s="163">
        <f t="shared" si="3"/>
        <v>357</v>
      </c>
      <c r="F50" s="162">
        <v>0</v>
      </c>
      <c r="G50" s="163">
        <v>429</v>
      </c>
      <c r="H50" s="161">
        <f t="shared" si="4"/>
        <v>429</v>
      </c>
      <c r="I50" s="163">
        <v>0</v>
      </c>
      <c r="J50" s="163">
        <v>425</v>
      </c>
      <c r="K50" s="161">
        <f t="shared" si="5"/>
        <v>425</v>
      </c>
      <c r="L50" s="246" t="s">
        <v>1634</v>
      </c>
      <c r="M50" s="954">
        <v>34</v>
      </c>
    </row>
    <row r="51" spans="1:21" s="639" customFormat="1" ht="30" customHeight="1">
      <c r="A51" s="148">
        <v>35</v>
      </c>
      <c r="B51" s="633" t="s">
        <v>467</v>
      </c>
      <c r="C51" s="154">
        <v>0</v>
      </c>
      <c r="D51" s="155">
        <v>246</v>
      </c>
      <c r="E51" s="668">
        <f t="shared" si="3"/>
        <v>246</v>
      </c>
      <c r="F51" s="154">
        <v>0</v>
      </c>
      <c r="G51" s="155">
        <v>228</v>
      </c>
      <c r="H51" s="669">
        <f t="shared" si="4"/>
        <v>228</v>
      </c>
      <c r="I51" s="154">
        <v>0</v>
      </c>
      <c r="J51" s="155">
        <v>262</v>
      </c>
      <c r="K51" s="669">
        <f t="shared" si="5"/>
        <v>262</v>
      </c>
      <c r="L51" s="635" t="s">
        <v>1635</v>
      </c>
      <c r="M51" s="24">
        <v>35</v>
      </c>
    </row>
    <row r="52" spans="1:21" ht="30" customHeight="1">
      <c r="A52" s="396">
        <v>36</v>
      </c>
      <c r="B52" s="289" t="s">
        <v>468</v>
      </c>
      <c r="C52" s="156">
        <v>0</v>
      </c>
      <c r="D52" s="157">
        <v>755</v>
      </c>
      <c r="E52" s="163">
        <f t="shared" si="3"/>
        <v>755</v>
      </c>
      <c r="F52" s="162">
        <v>4</v>
      </c>
      <c r="G52" s="163">
        <v>818</v>
      </c>
      <c r="H52" s="161">
        <f t="shared" si="4"/>
        <v>822</v>
      </c>
      <c r="I52" s="163">
        <v>4</v>
      </c>
      <c r="J52" s="163">
        <v>838</v>
      </c>
      <c r="K52" s="161">
        <f t="shared" si="5"/>
        <v>842</v>
      </c>
      <c r="L52" s="246" t="s">
        <v>1636</v>
      </c>
      <c r="M52" s="954">
        <v>36</v>
      </c>
    </row>
    <row r="53" spans="1:21" s="639" customFormat="1" ht="30" customHeight="1">
      <c r="A53" s="148">
        <v>37</v>
      </c>
      <c r="B53" s="633" t="s">
        <v>469</v>
      </c>
      <c r="C53" s="154">
        <v>0</v>
      </c>
      <c r="D53" s="155">
        <v>301</v>
      </c>
      <c r="E53" s="668">
        <f t="shared" si="3"/>
        <v>301</v>
      </c>
      <c r="F53" s="667">
        <v>8</v>
      </c>
      <c r="G53" s="668">
        <v>306</v>
      </c>
      <c r="H53" s="669">
        <f t="shared" si="4"/>
        <v>314</v>
      </c>
      <c r="I53" s="668">
        <v>18</v>
      </c>
      <c r="J53" s="668">
        <v>462</v>
      </c>
      <c r="K53" s="669">
        <f t="shared" si="5"/>
        <v>480</v>
      </c>
      <c r="L53" s="635" t="s">
        <v>1637</v>
      </c>
      <c r="M53" s="24">
        <v>37</v>
      </c>
      <c r="Q53" s="723"/>
      <c r="R53" s="823"/>
      <c r="S53" s="823"/>
      <c r="U53" s="824"/>
    </row>
    <row r="54" spans="1:21" ht="30" customHeight="1">
      <c r="A54" s="396">
        <v>38</v>
      </c>
      <c r="B54" s="289" t="s">
        <v>470</v>
      </c>
      <c r="C54" s="156">
        <v>0</v>
      </c>
      <c r="D54" s="157">
        <v>141</v>
      </c>
      <c r="E54" s="163">
        <f t="shared" si="3"/>
        <v>141</v>
      </c>
      <c r="F54" s="162">
        <v>116</v>
      </c>
      <c r="G54" s="163">
        <v>389</v>
      </c>
      <c r="H54" s="161">
        <f t="shared" si="4"/>
        <v>505</v>
      </c>
      <c r="I54" s="163">
        <v>115</v>
      </c>
      <c r="J54" s="163">
        <v>390</v>
      </c>
      <c r="K54" s="161">
        <f t="shared" si="5"/>
        <v>505</v>
      </c>
      <c r="L54" s="246" t="s">
        <v>1232</v>
      </c>
      <c r="M54" s="954">
        <v>38</v>
      </c>
      <c r="Q54" s="1"/>
      <c r="R54" s="42"/>
      <c r="S54" s="42"/>
      <c r="U54" s="43"/>
    </row>
    <row r="55" spans="1:21" s="639" customFormat="1" ht="30" customHeight="1">
      <c r="A55" s="148">
        <v>39</v>
      </c>
      <c r="B55" s="698" t="s">
        <v>471</v>
      </c>
      <c r="C55" s="154">
        <v>0</v>
      </c>
      <c r="D55" s="155">
        <v>160</v>
      </c>
      <c r="E55" s="668">
        <f t="shared" si="3"/>
        <v>160</v>
      </c>
      <c r="F55" s="667">
        <v>0</v>
      </c>
      <c r="G55" s="668">
        <v>93</v>
      </c>
      <c r="H55" s="669">
        <f t="shared" si="4"/>
        <v>93</v>
      </c>
      <c r="I55" s="667">
        <v>1</v>
      </c>
      <c r="J55" s="668">
        <v>79</v>
      </c>
      <c r="K55" s="669">
        <f t="shared" si="5"/>
        <v>80</v>
      </c>
      <c r="L55" s="635" t="s">
        <v>1638</v>
      </c>
      <c r="M55" s="24">
        <v>39</v>
      </c>
      <c r="N55" s="36"/>
    </row>
    <row r="56" spans="1:21" ht="30" customHeight="1">
      <c r="A56" s="397">
        <v>40</v>
      </c>
      <c r="B56" s="291" t="s">
        <v>472</v>
      </c>
      <c r="C56" s="292">
        <v>0</v>
      </c>
      <c r="D56" s="206">
        <v>31</v>
      </c>
      <c r="E56" s="174">
        <f t="shared" si="3"/>
        <v>31</v>
      </c>
      <c r="F56" s="173">
        <v>4</v>
      </c>
      <c r="G56" s="174">
        <v>31</v>
      </c>
      <c r="H56" s="166">
        <f t="shared" si="4"/>
        <v>35</v>
      </c>
      <c r="I56" s="173">
        <v>4</v>
      </c>
      <c r="J56" s="174">
        <v>28</v>
      </c>
      <c r="K56" s="166">
        <f t="shared" si="5"/>
        <v>32</v>
      </c>
      <c r="L56" s="293" t="s">
        <v>1639</v>
      </c>
      <c r="M56" s="955">
        <v>40</v>
      </c>
      <c r="N56" s="36"/>
    </row>
    <row r="57" spans="1:21" ht="16.5" customHeight="1">
      <c r="A57" s="1579" t="s">
        <v>758</v>
      </c>
      <c r="B57" s="1579"/>
      <c r="C57" s="1579"/>
      <c r="D57" s="1579"/>
      <c r="L57" s="863"/>
      <c r="M57" s="519" t="s">
        <v>1600</v>
      </c>
    </row>
    <row r="58" spans="1:21" ht="22" customHeight="1"/>
    <row r="59" spans="1:21" ht="22" customHeight="1"/>
    <row r="60" spans="1:21" ht="22" customHeight="1">
      <c r="D60" s="482"/>
      <c r="E60" s="482"/>
      <c r="F60" s="482"/>
      <c r="G60" s="482"/>
    </row>
    <row r="61" spans="1:21" ht="22" customHeight="1">
      <c r="E61" s="488"/>
      <c r="F61" s="487"/>
      <c r="G61" s="487"/>
    </row>
    <row r="62" spans="1:21">
      <c r="E62" s="488"/>
      <c r="F62" s="487"/>
      <c r="G62" s="487"/>
    </row>
    <row r="63" spans="1:21" ht="22" customHeight="1"/>
    <row r="64" spans="1:21">
      <c r="C64" s="486" t="s">
        <v>726</v>
      </c>
      <c r="D64" s="486" t="s">
        <v>725</v>
      </c>
      <c r="E64" s="825" t="s">
        <v>772</v>
      </c>
    </row>
    <row r="65" spans="2:19" ht="22" customHeight="1">
      <c r="C65" s="1099">
        <v>1400</v>
      </c>
      <c r="D65" s="1099">
        <v>1401</v>
      </c>
      <c r="E65" s="1099">
        <v>1402</v>
      </c>
      <c r="P65" s="42"/>
      <c r="Q65" s="42"/>
      <c r="R65" s="42"/>
    </row>
    <row r="66" spans="2:19" ht="17.25" customHeight="1">
      <c r="B66" s="662" t="s">
        <v>584</v>
      </c>
      <c r="C66" s="450">
        <f>J9/K9*100</f>
        <v>85.015522949489224</v>
      </c>
      <c r="D66" s="450">
        <f>G9/H9*100</f>
        <v>80.965928220321857</v>
      </c>
      <c r="E66" s="450">
        <f>D9/E9*100</f>
        <v>100</v>
      </c>
      <c r="P66" s="1"/>
      <c r="Q66" s="1"/>
      <c r="R66" s="1"/>
    </row>
    <row r="67" spans="2:19">
      <c r="B67" s="1025" t="s">
        <v>585</v>
      </c>
      <c r="C67" s="450">
        <f>I9/K9*100</f>
        <v>14.984477050510774</v>
      </c>
      <c r="D67" s="450">
        <f>F9/H9*100</f>
        <v>19.034071779678136</v>
      </c>
      <c r="E67" s="450">
        <f>C9/E9*100</f>
        <v>0</v>
      </c>
    </row>
    <row r="68" spans="2:19">
      <c r="E68" s="482"/>
      <c r="F68" s="482"/>
    </row>
    <row r="69" spans="2:19">
      <c r="C69" s="533"/>
      <c r="D69" s="534"/>
      <c r="E69" s="534"/>
      <c r="F69" s="534"/>
    </row>
    <row r="70" spans="2:19" ht="15.75" customHeight="1">
      <c r="D70" s="488"/>
      <c r="E70" s="488"/>
      <c r="F70" s="488"/>
      <c r="G70" s="488"/>
    </row>
    <row r="71" spans="2:19" ht="16.5" customHeight="1">
      <c r="P71" s="3"/>
      <c r="Q71" s="3"/>
      <c r="R71" s="3"/>
    </row>
    <row r="72" spans="2:19" ht="15" customHeight="1">
      <c r="P72" s="3"/>
      <c r="Q72" s="3"/>
      <c r="R72" s="3"/>
    </row>
    <row r="73" spans="2:19" ht="12.75" hidden="1" customHeight="1"/>
    <row r="74" spans="2:19" hidden="1"/>
    <row r="79" spans="2:19">
      <c r="R79" s="42"/>
      <c r="S79" s="42"/>
    </row>
    <row r="80" spans="2:19">
      <c r="R80" s="1"/>
      <c r="S80" s="1"/>
    </row>
    <row r="82" spans="16:16">
      <c r="P82" s="28"/>
    </row>
    <row r="83" spans="16:16">
      <c r="P83" s="28"/>
    </row>
    <row r="84" spans="16:16">
      <c r="P84" s="28"/>
    </row>
    <row r="85" spans="16:16">
      <c r="P85" s="28"/>
    </row>
    <row r="86" spans="16:16">
      <c r="P86" s="28"/>
    </row>
    <row r="113" spans="17:18">
      <c r="Q113" s="95"/>
      <c r="R113" s="96"/>
    </row>
  </sheetData>
  <mergeCells count="37">
    <mergeCell ref="B1:M1"/>
    <mergeCell ref="B2:M2"/>
    <mergeCell ref="A3:M3"/>
    <mergeCell ref="A4:A8"/>
    <mergeCell ref="B4:B8"/>
    <mergeCell ref="C4:E4"/>
    <mergeCell ref="F4:H4"/>
    <mergeCell ref="I4:K4"/>
    <mergeCell ref="L4:L8"/>
    <mergeCell ref="M4:M8"/>
    <mergeCell ref="C5:E5"/>
    <mergeCell ref="F5:H5"/>
    <mergeCell ref="I5:K5"/>
    <mergeCell ref="A35:E36"/>
    <mergeCell ref="L35:M35"/>
    <mergeCell ref="F36:M36"/>
    <mergeCell ref="A37:A41"/>
    <mergeCell ref="B37:B41"/>
    <mergeCell ref="C37:E37"/>
    <mergeCell ref="F37:H37"/>
    <mergeCell ref="I37:K37"/>
    <mergeCell ref="C38:E38"/>
    <mergeCell ref="F38:H38"/>
    <mergeCell ref="I38:K38"/>
    <mergeCell ref="Z43:Z47"/>
    <mergeCell ref="Q42:AA42"/>
    <mergeCell ref="L37:L41"/>
    <mergeCell ref="AA43:AA47"/>
    <mergeCell ref="Q44:S44"/>
    <mergeCell ref="T44:V44"/>
    <mergeCell ref="W44:Y44"/>
    <mergeCell ref="M37:M41"/>
    <mergeCell ref="A57:D57"/>
    <mergeCell ref="P43:P47"/>
    <mergeCell ref="Q43:S43"/>
    <mergeCell ref="T43:V43"/>
    <mergeCell ref="W43:Y43"/>
  </mergeCells>
  <printOptions horizontalCentered="1"/>
  <pageMargins left="0" right="0" top="0.06" bottom="0.6" header="0.03" footer="0.39370078740157499"/>
  <pageSetup paperSize="9" scale="80" orientation="portrait" r:id="rId1"/>
  <headerFooter>
    <oddFooter>&amp;L&amp;"Times New Roman,Regular"&amp;10    Afghanistan Statistical Yearbook 2023-24&amp;R&amp;"Times New Roman,Regular"&amp;10          د ۱۴۰۲ احصایيوي کالنۍ  /سالنامه احصائیوی ۱۴۰۲</oddFooter>
  </headerFooter>
  <rowBreaks count="1" manualBreakCount="1">
    <brk id="41" min="15" max="26" man="1"/>
  </rowBreaks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tabColor theme="0"/>
  </sheetPr>
  <dimension ref="A1:Z229"/>
  <sheetViews>
    <sheetView tabSelected="1" view="pageBreakPreview" topLeftCell="A3" zoomScaleNormal="100" zoomScaleSheetLayoutView="100" workbookViewId="0">
      <selection activeCell="C8" sqref="C8"/>
    </sheetView>
  </sheetViews>
  <sheetFormatPr baseColWidth="10" defaultColWidth="8.83203125" defaultRowHeight="15"/>
  <cols>
    <col min="1" max="1" width="3.33203125" customWidth="1"/>
    <col min="2" max="2" width="26.6640625" customWidth="1"/>
    <col min="3" max="11" width="8.33203125" customWidth="1"/>
    <col min="12" max="12" width="34.6640625" customWidth="1"/>
    <col min="13" max="13" width="4" customWidth="1"/>
    <col min="16" max="16" width="11" customWidth="1"/>
  </cols>
  <sheetData>
    <row r="1" spans="1:26" ht="16" hidden="1">
      <c r="A1" s="1611" t="s">
        <v>2182</v>
      </c>
      <c r="B1" s="1611"/>
      <c r="C1" s="1611"/>
      <c r="D1" s="1611"/>
      <c r="E1" s="1611"/>
      <c r="F1" s="1611"/>
      <c r="G1" s="1611"/>
      <c r="H1" s="1611"/>
      <c r="I1" s="1611"/>
      <c r="J1" s="1611"/>
      <c r="K1" s="1611"/>
      <c r="L1" s="1611"/>
      <c r="M1" s="1611"/>
    </row>
    <row r="2" spans="1:26" ht="16" hidden="1">
      <c r="A2" s="1551" t="s">
        <v>2183</v>
      </c>
      <c r="B2" s="1551"/>
      <c r="C2" s="1551"/>
      <c r="D2" s="1551"/>
      <c r="E2" s="1551"/>
      <c r="F2" s="1551"/>
      <c r="G2" s="1551"/>
      <c r="H2" s="1551"/>
      <c r="I2" s="1551"/>
      <c r="J2" s="1551"/>
      <c r="K2" s="1551"/>
      <c r="L2" s="1551"/>
      <c r="M2" s="1551"/>
    </row>
    <row r="3" spans="1:26" ht="16">
      <c r="A3" s="1444" t="s">
        <v>2184</v>
      </c>
      <c r="B3" s="1444"/>
      <c r="C3" s="1478"/>
      <c r="D3" s="1478"/>
      <c r="E3" s="1478"/>
      <c r="F3" s="1444"/>
      <c r="G3" s="1444"/>
      <c r="H3" s="1444"/>
      <c r="I3" s="1444"/>
      <c r="J3" s="1444"/>
      <c r="K3" s="1444"/>
      <c r="L3" s="1444"/>
      <c r="M3" s="1444"/>
    </row>
    <row r="4" spans="1:26" ht="15" customHeight="1">
      <c r="A4" s="1327" t="s">
        <v>621</v>
      </c>
      <c r="B4" s="1522" t="s">
        <v>1598</v>
      </c>
      <c r="C4" s="1511" t="s">
        <v>1487</v>
      </c>
      <c r="D4" s="1512"/>
      <c r="E4" s="1513"/>
      <c r="F4" s="1511" t="s">
        <v>1486</v>
      </c>
      <c r="G4" s="1512"/>
      <c r="H4" s="1513"/>
      <c r="I4" s="1511" t="s">
        <v>253</v>
      </c>
      <c r="J4" s="1512"/>
      <c r="K4" s="1513"/>
      <c r="L4" s="1438" t="s">
        <v>1597</v>
      </c>
      <c r="M4" s="1563" t="s">
        <v>727</v>
      </c>
    </row>
    <row r="5" spans="1:26" ht="15" customHeight="1">
      <c r="A5" s="1328"/>
      <c r="B5" s="1541"/>
      <c r="C5" s="1505" t="s">
        <v>138</v>
      </c>
      <c r="D5" s="1506"/>
      <c r="E5" s="1507"/>
      <c r="F5" s="1505" t="s">
        <v>1335</v>
      </c>
      <c r="G5" s="1506"/>
      <c r="H5" s="1507"/>
      <c r="I5" s="1505" t="s">
        <v>137</v>
      </c>
      <c r="J5" s="1506"/>
      <c r="K5" s="1507"/>
      <c r="L5" s="1439"/>
      <c r="M5" s="1564"/>
    </row>
    <row r="6" spans="1:26" ht="28">
      <c r="A6" s="1328"/>
      <c r="B6" s="1541"/>
      <c r="C6" s="1109" t="s">
        <v>278</v>
      </c>
      <c r="D6" s="1109" t="s">
        <v>1334</v>
      </c>
      <c r="E6" s="1205" t="s">
        <v>1333</v>
      </c>
      <c r="F6" s="1109" t="s">
        <v>278</v>
      </c>
      <c r="G6" s="1109" t="s">
        <v>1334</v>
      </c>
      <c r="H6" s="1205" t="s">
        <v>1333</v>
      </c>
      <c r="I6" s="1109" t="s">
        <v>278</v>
      </c>
      <c r="J6" s="1109" t="s">
        <v>1334</v>
      </c>
      <c r="K6" s="1205" t="s">
        <v>1333</v>
      </c>
      <c r="L6" s="1507"/>
      <c r="M6" s="1564"/>
      <c r="P6" s="3"/>
    </row>
    <row r="7" spans="1:26">
      <c r="A7" s="1328"/>
      <c r="B7" s="1541"/>
      <c r="C7" s="971" t="s">
        <v>673</v>
      </c>
      <c r="D7" s="971" t="s">
        <v>13</v>
      </c>
      <c r="E7" s="971" t="s">
        <v>61</v>
      </c>
      <c r="F7" s="971" t="s">
        <v>673</v>
      </c>
      <c r="G7" s="971" t="s">
        <v>13</v>
      </c>
      <c r="H7" s="971" t="s">
        <v>61</v>
      </c>
      <c r="I7" s="971" t="s">
        <v>673</v>
      </c>
      <c r="J7" s="971" t="s">
        <v>13</v>
      </c>
      <c r="K7" s="971" t="s">
        <v>61</v>
      </c>
      <c r="L7" s="1507"/>
      <c r="M7" s="1564"/>
    </row>
    <row r="8" spans="1:26">
      <c r="A8" s="1329"/>
      <c r="B8" s="1523"/>
      <c r="C8" s="1206" t="s">
        <v>162</v>
      </c>
      <c r="D8" s="1206" t="s">
        <v>163</v>
      </c>
      <c r="E8" s="971" t="s">
        <v>1332</v>
      </c>
      <c r="F8" s="1206" t="s">
        <v>162</v>
      </c>
      <c r="G8" s="1206" t="s">
        <v>163</v>
      </c>
      <c r="H8" s="971" t="s">
        <v>1332</v>
      </c>
      <c r="I8" s="1206" t="s">
        <v>162</v>
      </c>
      <c r="J8" s="1206" t="s">
        <v>163</v>
      </c>
      <c r="K8" s="971" t="s">
        <v>1332</v>
      </c>
      <c r="L8" s="1514"/>
      <c r="M8" s="1565"/>
      <c r="P8" s="3"/>
    </row>
    <row r="9" spans="1:26" ht="20" customHeight="1">
      <c r="A9" s="313"/>
      <c r="B9" s="1202" t="s">
        <v>287</v>
      </c>
      <c r="C9" s="541">
        <f>SUM(C11:C28,C36:C50,C58:C71,C79:C91,C99:C113,C121:C137,C145:C159,C167:C180,C188:C204,C212:C228)</f>
        <v>207</v>
      </c>
      <c r="D9" s="521">
        <f>SUM(D11:D28,D36:D50,D58:D71,D79:D91,D99:D113,D121:D137,D145:D159,D167:D180,D188:D204,D212:D228)</f>
        <v>6440</v>
      </c>
      <c r="E9" s="521">
        <f>C9+D9</f>
        <v>6647</v>
      </c>
      <c r="F9" s="541">
        <f>SUM(F11:F28,F36:F50,F58:F71,F79:F91,F99:F113,F121:F137,F145:F159,F167:F180,F188:F204,F212:F228)</f>
        <v>0</v>
      </c>
      <c r="G9" s="521">
        <f>SUM(G11:G28,G36:G50,G58:G71,G79:G91,G99:G113,G121:G137,G145:G159,G167:G180,G188:G204,G212:G228)</f>
        <v>15363</v>
      </c>
      <c r="H9" s="521">
        <f>G9+F9</f>
        <v>15363</v>
      </c>
      <c r="I9" s="541">
        <f>SUM(I11:I28,I36:I50,I58:I71,I79:I91,I99:I113,I121:I137,I145:I159,I167:I180,I188:I204,I212:I228)</f>
        <v>571</v>
      </c>
      <c r="J9" s="521">
        <f>SUM(J11:J28,J36:J50,J58:J71,J79:J91,J99:J113,J121:J137,J145:J159,J167:J180,J188:J204,J212:J228)</f>
        <v>78891</v>
      </c>
      <c r="K9" s="521">
        <f>SUM(K11:K28,K36:K50,K58:K71,K79:K91,K99:K113,K121:K137,K145:K159,K167:K180,K188:K204,K212:K228)</f>
        <v>79462</v>
      </c>
      <c r="L9" s="1201" t="s">
        <v>1818</v>
      </c>
      <c r="M9" s="299"/>
      <c r="P9" s="3"/>
    </row>
    <row r="10" spans="1:26" s="639" customFormat="1" ht="18.75" customHeight="1">
      <c r="A10" s="325"/>
      <c r="B10" s="271" t="s">
        <v>101</v>
      </c>
      <c r="C10" s="682"/>
      <c r="D10" s="683"/>
      <c r="E10" s="683"/>
      <c r="F10" s="1200"/>
      <c r="G10" s="1199"/>
      <c r="H10" s="1199"/>
      <c r="I10" s="682"/>
      <c r="J10" s="683"/>
      <c r="K10" s="693"/>
      <c r="L10" s="1191" t="s">
        <v>58</v>
      </c>
      <c r="M10" s="1198"/>
      <c r="N10"/>
      <c r="O10"/>
      <c r="P10" s="3"/>
      <c r="Q10"/>
      <c r="R10"/>
      <c r="S10"/>
      <c r="T10"/>
      <c r="U10"/>
      <c r="V10"/>
      <c r="W10"/>
      <c r="X10"/>
      <c r="Y10"/>
      <c r="Z10"/>
    </row>
    <row r="11" spans="1:26" ht="20.25" customHeight="1">
      <c r="A11" s="396">
        <v>1</v>
      </c>
      <c r="B11" s="241" t="s">
        <v>1485</v>
      </c>
      <c r="C11" s="164">
        <v>1</v>
      </c>
      <c r="D11" s="165">
        <f>41+135</f>
        <v>176</v>
      </c>
      <c r="E11" s="165">
        <f t="shared" ref="E11:E28" si="0">D11+C11</f>
        <v>177</v>
      </c>
      <c r="F11" s="164">
        <v>0</v>
      </c>
      <c r="G11" s="165">
        <v>304</v>
      </c>
      <c r="H11" s="165">
        <f t="shared" ref="H11:H20" si="1">G11+F11</f>
        <v>304</v>
      </c>
      <c r="I11" s="167" t="s">
        <v>56</v>
      </c>
      <c r="J11" s="168">
        <v>1455</v>
      </c>
      <c r="K11" s="202">
        <v>1455</v>
      </c>
      <c r="L11" s="1146" t="s">
        <v>1782</v>
      </c>
      <c r="M11" s="954">
        <v>1</v>
      </c>
      <c r="P11" s="3"/>
    </row>
    <row r="12" spans="1:26" s="639" customFormat="1" ht="20.25" customHeight="1">
      <c r="A12" s="325">
        <v>2</v>
      </c>
      <c r="B12" s="271" t="s">
        <v>1484</v>
      </c>
      <c r="C12" s="680">
        <v>0</v>
      </c>
      <c r="D12" s="681">
        <f>19+6</f>
        <v>25</v>
      </c>
      <c r="E12" s="681">
        <f t="shared" si="0"/>
        <v>25</v>
      </c>
      <c r="F12" s="680">
        <v>0</v>
      </c>
      <c r="G12" s="681">
        <v>23</v>
      </c>
      <c r="H12" s="681">
        <f t="shared" si="1"/>
        <v>23</v>
      </c>
      <c r="I12" s="682" t="s">
        <v>56</v>
      </c>
      <c r="J12" s="683">
        <v>244</v>
      </c>
      <c r="K12" s="693">
        <v>244</v>
      </c>
      <c r="L12" s="1147" t="s">
        <v>1783</v>
      </c>
      <c r="M12" s="1128">
        <v>2</v>
      </c>
      <c r="N12"/>
      <c r="O12"/>
      <c r="P12" s="3"/>
      <c r="Q12"/>
      <c r="R12"/>
      <c r="S12"/>
      <c r="T12"/>
      <c r="U12"/>
      <c r="V12"/>
      <c r="W12"/>
      <c r="X12"/>
      <c r="Y12"/>
      <c r="Z12"/>
    </row>
    <row r="13" spans="1:26" ht="20.25" customHeight="1">
      <c r="A13" s="396">
        <v>3</v>
      </c>
      <c r="B13" s="241" t="s">
        <v>1483</v>
      </c>
      <c r="C13" s="164">
        <v>0</v>
      </c>
      <c r="D13" s="165">
        <f>36+79</f>
        <v>115</v>
      </c>
      <c r="E13" s="165">
        <f t="shared" si="0"/>
        <v>115</v>
      </c>
      <c r="F13" s="164">
        <v>0</v>
      </c>
      <c r="G13" s="165">
        <v>254</v>
      </c>
      <c r="H13" s="165">
        <f t="shared" si="1"/>
        <v>254</v>
      </c>
      <c r="I13" s="167">
        <v>31</v>
      </c>
      <c r="J13" s="168">
        <v>1720</v>
      </c>
      <c r="K13" s="202">
        <f t="shared" ref="K13" si="2">J13+I13</f>
        <v>1751</v>
      </c>
      <c r="L13" s="1146" t="s">
        <v>1784</v>
      </c>
      <c r="M13" s="954">
        <v>3</v>
      </c>
    </row>
    <row r="14" spans="1:26" s="639" customFormat="1" ht="20.5" customHeight="1">
      <c r="A14" s="325">
        <v>4</v>
      </c>
      <c r="B14" s="271" t="s">
        <v>1482</v>
      </c>
      <c r="C14" s="680">
        <v>0</v>
      </c>
      <c r="D14" s="681">
        <v>35</v>
      </c>
      <c r="E14" s="681">
        <f t="shared" si="0"/>
        <v>35</v>
      </c>
      <c r="F14" s="680">
        <v>0</v>
      </c>
      <c r="G14" s="681">
        <v>335</v>
      </c>
      <c r="H14" s="681">
        <f t="shared" si="1"/>
        <v>335</v>
      </c>
      <c r="I14" s="682" t="s">
        <v>56</v>
      </c>
      <c r="J14" s="683">
        <v>1321</v>
      </c>
      <c r="K14" s="693">
        <f>J14</f>
        <v>1321</v>
      </c>
      <c r="L14" s="1147" t="s">
        <v>1785</v>
      </c>
      <c r="M14" s="1128">
        <v>4</v>
      </c>
      <c r="N14"/>
      <c r="O14"/>
      <c r="P14" s="450"/>
      <c r="Q14"/>
      <c r="R14"/>
      <c r="S14"/>
      <c r="T14"/>
      <c r="U14"/>
      <c r="V14"/>
      <c r="W14"/>
      <c r="X14"/>
      <c r="Y14"/>
      <c r="Z14"/>
    </row>
    <row r="15" spans="1:26" ht="21.75" customHeight="1">
      <c r="A15" s="396">
        <v>5</v>
      </c>
      <c r="B15" s="241" t="s">
        <v>1481</v>
      </c>
      <c r="C15" s="164">
        <v>0</v>
      </c>
      <c r="D15" s="165">
        <f>45+11</f>
        <v>56</v>
      </c>
      <c r="E15" s="165">
        <f t="shared" si="0"/>
        <v>56</v>
      </c>
      <c r="F15" s="164">
        <v>0</v>
      </c>
      <c r="G15" s="165">
        <v>285</v>
      </c>
      <c r="H15" s="165">
        <f t="shared" si="1"/>
        <v>285</v>
      </c>
      <c r="I15" s="167" t="s">
        <v>56</v>
      </c>
      <c r="J15" s="157">
        <v>1622</v>
      </c>
      <c r="K15" s="202">
        <f t="shared" ref="K15:K28" si="3">J15</f>
        <v>1622</v>
      </c>
      <c r="L15" s="1146" t="s">
        <v>1786</v>
      </c>
      <c r="M15" s="954">
        <v>5</v>
      </c>
      <c r="P15" s="3"/>
    </row>
    <row r="16" spans="1:26" s="639" customFormat="1" ht="20.25" customHeight="1">
      <c r="A16" s="325">
        <v>6</v>
      </c>
      <c r="B16" s="271" t="s">
        <v>1480</v>
      </c>
      <c r="C16" s="680">
        <v>0</v>
      </c>
      <c r="D16" s="681">
        <f>21+72</f>
        <v>93</v>
      </c>
      <c r="E16" s="681">
        <f t="shared" si="0"/>
        <v>93</v>
      </c>
      <c r="F16" s="680">
        <v>0</v>
      </c>
      <c r="G16" s="681">
        <v>145</v>
      </c>
      <c r="H16" s="681">
        <f t="shared" si="1"/>
        <v>145</v>
      </c>
      <c r="I16" s="682" t="s">
        <v>56</v>
      </c>
      <c r="J16" s="683">
        <v>928</v>
      </c>
      <c r="K16" s="693">
        <f t="shared" si="3"/>
        <v>928</v>
      </c>
      <c r="L16" s="1147" t="s">
        <v>1787</v>
      </c>
      <c r="M16" s="1128">
        <v>6</v>
      </c>
      <c r="N16"/>
      <c r="O16"/>
      <c r="P16"/>
      <c r="Q16"/>
      <c r="R16"/>
      <c r="S16"/>
      <c r="T16"/>
      <c r="U16"/>
      <c r="V16"/>
      <c r="W16"/>
      <c r="X16"/>
      <c r="Y16"/>
      <c r="Z16"/>
    </row>
    <row r="17" spans="1:26" ht="17.25" customHeight="1">
      <c r="A17" s="396">
        <v>7</v>
      </c>
      <c r="B17" s="241" t="s">
        <v>1479</v>
      </c>
      <c r="C17" s="164">
        <v>0</v>
      </c>
      <c r="D17" s="165">
        <f>50+56</f>
        <v>106</v>
      </c>
      <c r="E17" s="165">
        <f t="shared" si="0"/>
        <v>106</v>
      </c>
      <c r="F17" s="164">
        <v>0</v>
      </c>
      <c r="G17" s="165">
        <v>413</v>
      </c>
      <c r="H17" s="165">
        <f t="shared" si="1"/>
        <v>413</v>
      </c>
      <c r="I17" s="167" t="s">
        <v>56</v>
      </c>
      <c r="J17" s="168">
        <v>945</v>
      </c>
      <c r="K17" s="202">
        <f t="shared" si="3"/>
        <v>945</v>
      </c>
      <c r="L17" s="1146" t="s">
        <v>1788</v>
      </c>
      <c r="M17" s="954">
        <v>7</v>
      </c>
    </row>
    <row r="18" spans="1:26" s="639" customFormat="1" ht="20.5" customHeight="1">
      <c r="A18" s="325">
        <v>8</v>
      </c>
      <c r="B18" s="271" t="s">
        <v>1478</v>
      </c>
      <c r="C18" s="680">
        <v>0</v>
      </c>
      <c r="D18" s="681">
        <f>22+37</f>
        <v>59</v>
      </c>
      <c r="E18" s="681">
        <f t="shared" si="0"/>
        <v>59</v>
      </c>
      <c r="F18" s="680">
        <v>0</v>
      </c>
      <c r="G18" s="681">
        <v>219</v>
      </c>
      <c r="H18" s="681">
        <f t="shared" si="1"/>
        <v>219</v>
      </c>
      <c r="I18" s="682" t="s">
        <v>56</v>
      </c>
      <c r="J18" s="683">
        <v>465</v>
      </c>
      <c r="K18" s="693">
        <f t="shared" si="3"/>
        <v>465</v>
      </c>
      <c r="L18" s="1147" t="s">
        <v>1789</v>
      </c>
      <c r="M18" s="1128">
        <v>8</v>
      </c>
      <c r="N18"/>
      <c r="O18"/>
      <c r="P18"/>
      <c r="Q18"/>
      <c r="R18"/>
      <c r="S18"/>
      <c r="T18"/>
      <c r="U18"/>
      <c r="V18"/>
      <c r="W18"/>
      <c r="X18"/>
      <c r="Y18"/>
      <c r="Z18"/>
    </row>
    <row r="19" spans="1:26" ht="18" customHeight="1">
      <c r="A19" s="396">
        <v>9</v>
      </c>
      <c r="B19" s="241" t="s">
        <v>1477</v>
      </c>
      <c r="C19" s="164">
        <v>8</v>
      </c>
      <c r="D19" s="165">
        <f>21+16</f>
        <v>37</v>
      </c>
      <c r="E19" s="165">
        <f t="shared" si="0"/>
        <v>45</v>
      </c>
      <c r="F19" s="164">
        <v>0</v>
      </c>
      <c r="G19" s="165">
        <v>124</v>
      </c>
      <c r="H19" s="165">
        <f t="shared" si="1"/>
        <v>124</v>
      </c>
      <c r="I19" s="167" t="s">
        <v>56</v>
      </c>
      <c r="J19" s="168">
        <v>736</v>
      </c>
      <c r="K19" s="202">
        <f t="shared" si="3"/>
        <v>736</v>
      </c>
      <c r="L19" s="1146" t="s">
        <v>1790</v>
      </c>
      <c r="M19" s="954">
        <v>9</v>
      </c>
      <c r="Q19" s="4"/>
    </row>
    <row r="20" spans="1:26" s="639" customFormat="1" ht="20.5" customHeight="1">
      <c r="A20" s="325">
        <v>10</v>
      </c>
      <c r="B20" s="271" t="s">
        <v>1476</v>
      </c>
      <c r="C20" s="680">
        <v>0</v>
      </c>
      <c r="D20" s="681">
        <f>19+56</f>
        <v>75</v>
      </c>
      <c r="E20" s="681">
        <f t="shared" si="0"/>
        <v>75</v>
      </c>
      <c r="F20" s="680">
        <v>0</v>
      </c>
      <c r="G20" s="681">
        <v>72</v>
      </c>
      <c r="H20" s="681">
        <f t="shared" si="1"/>
        <v>72</v>
      </c>
      <c r="I20" s="682" t="s">
        <v>56</v>
      </c>
      <c r="J20" s="683">
        <v>375</v>
      </c>
      <c r="K20" s="693">
        <f t="shared" si="3"/>
        <v>375</v>
      </c>
      <c r="L20" s="1147" t="s">
        <v>1791</v>
      </c>
      <c r="M20" s="1128">
        <v>10</v>
      </c>
      <c r="N20"/>
      <c r="O20"/>
      <c r="P20"/>
      <c r="Q20"/>
      <c r="R20"/>
      <c r="S20"/>
      <c r="T20"/>
      <c r="U20"/>
      <c r="V20"/>
      <c r="W20"/>
      <c r="X20"/>
      <c r="Y20"/>
      <c r="Z20"/>
    </row>
    <row r="21" spans="1:26" ht="20.5" customHeight="1">
      <c r="A21" s="396">
        <v>11</v>
      </c>
      <c r="B21" s="240" t="s">
        <v>1475</v>
      </c>
      <c r="C21" s="164">
        <v>0</v>
      </c>
      <c r="D21" s="165">
        <f>44+39</f>
        <v>83</v>
      </c>
      <c r="E21" s="165">
        <f t="shared" si="0"/>
        <v>83</v>
      </c>
      <c r="F21" s="164">
        <v>0</v>
      </c>
      <c r="G21" s="165" t="s">
        <v>56</v>
      </c>
      <c r="H21" s="165" t="s">
        <v>56</v>
      </c>
      <c r="I21" s="167" t="s">
        <v>56</v>
      </c>
      <c r="J21" s="168">
        <v>16</v>
      </c>
      <c r="K21" s="202">
        <f t="shared" si="3"/>
        <v>16</v>
      </c>
      <c r="L21" s="1146" t="s">
        <v>1792</v>
      </c>
      <c r="M21" s="954">
        <v>11</v>
      </c>
    </row>
    <row r="22" spans="1:26" s="639" customFormat="1" ht="24.75" customHeight="1">
      <c r="A22" s="325">
        <v>12</v>
      </c>
      <c r="B22" s="271" t="s">
        <v>1474</v>
      </c>
      <c r="C22" s="680">
        <v>0</v>
      </c>
      <c r="D22" s="681">
        <f>13+30</f>
        <v>43</v>
      </c>
      <c r="E22" s="681">
        <f t="shared" si="0"/>
        <v>43</v>
      </c>
      <c r="F22" s="680">
        <v>0</v>
      </c>
      <c r="G22" s="681">
        <v>535</v>
      </c>
      <c r="H22" s="681">
        <f>G22+F22</f>
        <v>535</v>
      </c>
      <c r="I22" s="682" t="s">
        <v>56</v>
      </c>
      <c r="J22" s="683">
        <v>730</v>
      </c>
      <c r="K22" s="693">
        <f t="shared" si="3"/>
        <v>730</v>
      </c>
      <c r="L22" s="1147" t="s">
        <v>1793</v>
      </c>
      <c r="M22" s="1128">
        <v>12</v>
      </c>
      <c r="N22"/>
      <c r="O22"/>
      <c r="P22"/>
      <c r="Q22"/>
      <c r="R22"/>
      <c r="S22"/>
      <c r="T22"/>
      <c r="U22"/>
      <c r="V22"/>
      <c r="W22"/>
      <c r="X22"/>
      <c r="Y22"/>
      <c r="Z22"/>
    </row>
    <row r="23" spans="1:26" ht="19.5" customHeight="1">
      <c r="A23" s="396">
        <v>13</v>
      </c>
      <c r="B23" s="241" t="s">
        <v>1473</v>
      </c>
      <c r="C23" s="164">
        <v>0</v>
      </c>
      <c r="D23" s="165">
        <f>8+82</f>
        <v>90</v>
      </c>
      <c r="E23" s="165">
        <f t="shared" si="0"/>
        <v>90</v>
      </c>
      <c r="F23" s="164">
        <v>0</v>
      </c>
      <c r="G23" s="165">
        <v>830</v>
      </c>
      <c r="H23" s="165">
        <f>G23+F23</f>
        <v>830</v>
      </c>
      <c r="I23" s="167" t="s">
        <v>56</v>
      </c>
      <c r="J23" s="168">
        <v>1086</v>
      </c>
      <c r="K23" s="202">
        <f t="shared" si="3"/>
        <v>1086</v>
      </c>
      <c r="L23" s="1146" t="s">
        <v>1794</v>
      </c>
      <c r="M23" s="954">
        <v>13</v>
      </c>
    </row>
    <row r="24" spans="1:26" s="639" customFormat="1" ht="27" customHeight="1">
      <c r="A24" s="325">
        <v>14</v>
      </c>
      <c r="B24" s="271" t="s">
        <v>1472</v>
      </c>
      <c r="C24" s="680">
        <v>4</v>
      </c>
      <c r="D24" s="681">
        <f>27+79</f>
        <v>106</v>
      </c>
      <c r="E24" s="681">
        <f t="shared" si="0"/>
        <v>110</v>
      </c>
      <c r="F24" s="680">
        <v>0</v>
      </c>
      <c r="G24" s="681" t="s">
        <v>56</v>
      </c>
      <c r="H24" s="681" t="s">
        <v>56</v>
      </c>
      <c r="I24" s="682" t="s">
        <v>56</v>
      </c>
      <c r="J24" s="683">
        <v>364</v>
      </c>
      <c r="K24" s="693">
        <f t="shared" si="3"/>
        <v>364</v>
      </c>
      <c r="L24" s="1147" t="s">
        <v>1795</v>
      </c>
      <c r="M24" s="1128">
        <v>14</v>
      </c>
      <c r="N24"/>
      <c r="O24"/>
      <c r="P24"/>
      <c r="Q24"/>
      <c r="R24"/>
      <c r="S24"/>
      <c r="T24"/>
      <c r="U24"/>
      <c r="V24"/>
      <c r="W24"/>
      <c r="X24"/>
      <c r="Y24"/>
      <c r="Z24"/>
    </row>
    <row r="25" spans="1:26" ht="21.75" customHeight="1">
      <c r="A25" s="396">
        <v>15</v>
      </c>
      <c r="B25" s="241" t="s">
        <v>1471</v>
      </c>
      <c r="C25" s="164">
        <v>0</v>
      </c>
      <c r="D25" s="165">
        <f>19+17</f>
        <v>36</v>
      </c>
      <c r="E25" s="165">
        <f t="shared" si="0"/>
        <v>36</v>
      </c>
      <c r="F25" s="164">
        <v>0</v>
      </c>
      <c r="G25" s="165">
        <v>667</v>
      </c>
      <c r="H25" s="165">
        <f>G25+F25</f>
        <v>667</v>
      </c>
      <c r="I25" s="167" t="s">
        <v>56</v>
      </c>
      <c r="J25" s="168">
        <v>924</v>
      </c>
      <c r="K25" s="202">
        <f t="shared" si="3"/>
        <v>924</v>
      </c>
      <c r="L25" s="1146" t="s">
        <v>1796</v>
      </c>
      <c r="M25" s="954">
        <v>15</v>
      </c>
    </row>
    <row r="26" spans="1:26" s="639" customFormat="1" ht="26.25" customHeight="1">
      <c r="A26" s="325">
        <v>16</v>
      </c>
      <c r="B26" s="271" t="s">
        <v>1470</v>
      </c>
      <c r="C26" s="680">
        <v>0</v>
      </c>
      <c r="D26" s="681">
        <f>33+22</f>
        <v>55</v>
      </c>
      <c r="E26" s="681">
        <f t="shared" si="0"/>
        <v>55</v>
      </c>
      <c r="F26" s="680">
        <v>0</v>
      </c>
      <c r="G26" s="681">
        <v>69</v>
      </c>
      <c r="H26" s="681">
        <f>G26+F26</f>
        <v>69</v>
      </c>
      <c r="I26" s="682" t="s">
        <v>56</v>
      </c>
      <c r="J26" s="683">
        <v>374</v>
      </c>
      <c r="K26" s="693">
        <f t="shared" si="3"/>
        <v>374</v>
      </c>
      <c r="L26" s="1147" t="s">
        <v>1797</v>
      </c>
      <c r="M26" s="1128">
        <v>16</v>
      </c>
      <c r="N26"/>
      <c r="O26"/>
      <c r="P26"/>
      <c r="Q26"/>
      <c r="R26"/>
      <c r="S26"/>
      <c r="T26"/>
      <c r="U26"/>
      <c r="V26"/>
      <c r="W26"/>
      <c r="X26"/>
      <c r="Y26"/>
      <c r="Z26"/>
    </row>
    <row r="27" spans="1:26" ht="20.5" customHeight="1">
      <c r="A27" s="396">
        <v>17</v>
      </c>
      <c r="B27" s="241" t="s">
        <v>1469</v>
      </c>
      <c r="C27" s="164">
        <v>0</v>
      </c>
      <c r="D27" s="165">
        <f>20+103</f>
        <v>123</v>
      </c>
      <c r="E27" s="165">
        <f t="shared" si="0"/>
        <v>123</v>
      </c>
      <c r="F27" s="164">
        <v>0</v>
      </c>
      <c r="G27" s="165">
        <v>202</v>
      </c>
      <c r="H27" s="165">
        <f>G27+F27</f>
        <v>202</v>
      </c>
      <c r="I27" s="167" t="s">
        <v>56</v>
      </c>
      <c r="J27" s="168">
        <v>582</v>
      </c>
      <c r="K27" s="202">
        <f t="shared" si="3"/>
        <v>582</v>
      </c>
      <c r="L27" s="1146" t="s">
        <v>1798</v>
      </c>
      <c r="M27" s="954">
        <v>17</v>
      </c>
    </row>
    <row r="28" spans="1:26" s="639" customFormat="1" ht="20.5" customHeight="1">
      <c r="A28" s="664">
        <v>18</v>
      </c>
      <c r="B28" s="801" t="s">
        <v>1468</v>
      </c>
      <c r="C28" s="1173">
        <v>0</v>
      </c>
      <c r="D28" s="1172">
        <f>17+8</f>
        <v>25</v>
      </c>
      <c r="E28" s="685">
        <f t="shared" si="0"/>
        <v>25</v>
      </c>
      <c r="F28" s="684">
        <v>0</v>
      </c>
      <c r="G28" s="685">
        <v>29</v>
      </c>
      <c r="H28" s="1171">
        <f>G28+F28</f>
        <v>29</v>
      </c>
      <c r="I28" s="1169" t="s">
        <v>56</v>
      </c>
      <c r="J28" s="1169">
        <v>260</v>
      </c>
      <c r="K28" s="1116">
        <f t="shared" si="3"/>
        <v>260</v>
      </c>
      <c r="L28" s="1197" t="s">
        <v>1799</v>
      </c>
      <c r="M28" s="1114">
        <v>18</v>
      </c>
      <c r="N28"/>
      <c r="O28"/>
      <c r="P28"/>
      <c r="Q28"/>
      <c r="R28"/>
      <c r="S28"/>
      <c r="T28"/>
      <c r="U28"/>
      <c r="V28"/>
      <c r="W28"/>
      <c r="X28"/>
      <c r="Y28"/>
      <c r="Z28"/>
    </row>
    <row r="29" spans="1:26" ht="18" hidden="1" customHeight="1">
      <c r="A29" s="1419" t="s">
        <v>1339</v>
      </c>
      <c r="B29" s="1419"/>
      <c r="C29" s="523"/>
      <c r="D29" s="524"/>
      <c r="E29" s="524"/>
      <c r="F29" s="524"/>
      <c r="G29" s="524"/>
      <c r="H29" s="524"/>
      <c r="I29" s="524"/>
      <c r="J29" s="1477" t="s">
        <v>1338</v>
      </c>
      <c r="K29" s="1477"/>
      <c r="L29" s="1477"/>
      <c r="M29" s="1477"/>
    </row>
    <row r="30" spans="1:26" ht="15" hidden="1" customHeight="1">
      <c r="A30" s="1419"/>
      <c r="B30" s="1419"/>
      <c r="C30" s="523"/>
      <c r="D30" s="524"/>
      <c r="E30" s="524"/>
      <c r="F30" s="524"/>
      <c r="G30" s="524"/>
      <c r="H30" s="524"/>
      <c r="I30" s="524"/>
      <c r="J30" s="328"/>
      <c r="K30" s="328"/>
      <c r="L30" s="1477" t="s">
        <v>1490</v>
      </c>
      <c r="M30" s="1477"/>
    </row>
    <row r="31" spans="1:26" ht="18" hidden="1" customHeight="1">
      <c r="A31" s="1327" t="s">
        <v>621</v>
      </c>
      <c r="B31" s="1343" t="s">
        <v>1598</v>
      </c>
      <c r="C31" s="1511" t="s">
        <v>1487</v>
      </c>
      <c r="D31" s="1512"/>
      <c r="E31" s="1513"/>
      <c r="F31" s="1511" t="s">
        <v>1336</v>
      </c>
      <c r="G31" s="1512"/>
      <c r="H31" s="1513"/>
      <c r="I31" s="1511" t="s">
        <v>253</v>
      </c>
      <c r="J31" s="1512"/>
      <c r="K31" s="1513"/>
      <c r="L31" s="1438" t="s">
        <v>1597</v>
      </c>
      <c r="M31" s="1563" t="s">
        <v>727</v>
      </c>
    </row>
    <row r="32" spans="1:26" ht="18" hidden="1" customHeight="1">
      <c r="A32" s="1328"/>
      <c r="B32" s="1266"/>
      <c r="C32" s="1505" t="s">
        <v>138</v>
      </c>
      <c r="D32" s="1506"/>
      <c r="E32" s="1507"/>
      <c r="F32" s="1505" t="s">
        <v>1335</v>
      </c>
      <c r="G32" s="1506"/>
      <c r="H32" s="1507"/>
      <c r="I32" s="1505" t="s">
        <v>137</v>
      </c>
      <c r="J32" s="1506"/>
      <c r="K32" s="1507"/>
      <c r="L32" s="1439"/>
      <c r="M32" s="1564"/>
    </row>
    <row r="33" spans="1:26" ht="21.75" hidden="1" customHeight="1">
      <c r="A33" s="1328"/>
      <c r="B33" s="1266"/>
      <c r="C33" s="1109" t="s">
        <v>278</v>
      </c>
      <c r="D33" s="1109" t="s">
        <v>1334</v>
      </c>
      <c r="E33" s="1205" t="s">
        <v>1333</v>
      </c>
      <c r="F33" s="1109" t="s">
        <v>278</v>
      </c>
      <c r="G33" s="1109" t="s">
        <v>1334</v>
      </c>
      <c r="H33" s="1205" t="s">
        <v>1333</v>
      </c>
      <c r="I33" s="1109" t="s">
        <v>278</v>
      </c>
      <c r="J33" s="1109" t="s">
        <v>1334</v>
      </c>
      <c r="K33" s="1205" t="s">
        <v>1333</v>
      </c>
      <c r="L33" s="1439"/>
      <c r="M33" s="1564"/>
    </row>
    <row r="34" spans="1:26" ht="18" hidden="1" customHeight="1">
      <c r="A34" s="1328"/>
      <c r="B34" s="1266"/>
      <c r="C34" s="971" t="s">
        <v>673</v>
      </c>
      <c r="D34" s="971" t="s">
        <v>13</v>
      </c>
      <c r="E34" s="971" t="s">
        <v>61</v>
      </c>
      <c r="F34" s="971" t="s">
        <v>673</v>
      </c>
      <c r="G34" s="971" t="s">
        <v>13</v>
      </c>
      <c r="H34" s="971" t="s">
        <v>61</v>
      </c>
      <c r="I34" s="971" t="s">
        <v>673</v>
      </c>
      <c r="J34" s="971" t="s">
        <v>13</v>
      </c>
      <c r="K34" s="971" t="s">
        <v>61</v>
      </c>
      <c r="L34" s="1439"/>
      <c r="M34" s="1564"/>
    </row>
    <row r="35" spans="1:26" ht="18" hidden="1" customHeight="1">
      <c r="A35" s="1329"/>
      <c r="B35" s="1267"/>
      <c r="C35" s="1206" t="s">
        <v>162</v>
      </c>
      <c r="D35" s="1206" t="s">
        <v>163</v>
      </c>
      <c r="E35" s="971" t="s">
        <v>1332</v>
      </c>
      <c r="F35" s="1206" t="s">
        <v>162</v>
      </c>
      <c r="G35" s="1206" t="s">
        <v>163</v>
      </c>
      <c r="H35" s="971" t="s">
        <v>1332</v>
      </c>
      <c r="I35" s="1206" t="s">
        <v>162</v>
      </c>
      <c r="J35" s="1206" t="s">
        <v>163</v>
      </c>
      <c r="K35" s="971" t="s">
        <v>1332</v>
      </c>
      <c r="L35" s="1462"/>
      <c r="M35" s="1565"/>
    </row>
    <row r="36" spans="1:26" s="639" customFormat="1" ht="28" customHeight="1">
      <c r="A36" s="325">
        <v>19</v>
      </c>
      <c r="B36" s="814" t="s">
        <v>1467</v>
      </c>
      <c r="C36" s="1166">
        <v>0</v>
      </c>
      <c r="D36" s="1130">
        <f>39+33</f>
        <v>72</v>
      </c>
      <c r="E36" s="681">
        <f t="shared" ref="E36:E50" si="4">D36+C36</f>
        <v>72</v>
      </c>
      <c r="F36" s="680">
        <v>0</v>
      </c>
      <c r="G36" s="681">
        <v>404</v>
      </c>
      <c r="H36" s="690">
        <f>G36+F36</f>
        <v>404</v>
      </c>
      <c r="I36" s="683">
        <v>23</v>
      </c>
      <c r="J36" s="683">
        <v>1990</v>
      </c>
      <c r="K36" s="693">
        <f t="shared" ref="K36:K42" si="5">J36+I36</f>
        <v>2013</v>
      </c>
      <c r="L36" s="1147" t="s">
        <v>1466</v>
      </c>
      <c r="M36" s="1128">
        <v>19</v>
      </c>
    </row>
    <row r="37" spans="1:26" ht="28" customHeight="1">
      <c r="A37" s="396">
        <v>20</v>
      </c>
      <c r="B37" s="241" t="s">
        <v>1465</v>
      </c>
      <c r="C37" s="164">
        <v>0</v>
      </c>
      <c r="D37" s="165">
        <v>67</v>
      </c>
      <c r="E37" s="165">
        <f t="shared" si="4"/>
        <v>67</v>
      </c>
      <c r="F37" s="164">
        <v>0</v>
      </c>
      <c r="G37" s="165">
        <v>52</v>
      </c>
      <c r="H37" s="165">
        <f>G37+F37</f>
        <v>52</v>
      </c>
      <c r="I37" s="167" t="s">
        <v>56</v>
      </c>
      <c r="J37" s="168">
        <v>406</v>
      </c>
      <c r="K37" s="202">
        <f>J37</f>
        <v>406</v>
      </c>
      <c r="L37" s="1146" t="s">
        <v>1688</v>
      </c>
      <c r="M37" s="954">
        <v>20</v>
      </c>
    </row>
    <row r="38" spans="1:26" s="639" customFormat="1" ht="28" customHeight="1">
      <c r="A38" s="325">
        <v>21</v>
      </c>
      <c r="B38" s="271" t="s">
        <v>1464</v>
      </c>
      <c r="C38" s="680">
        <v>1</v>
      </c>
      <c r="D38" s="681">
        <f>49</f>
        <v>49</v>
      </c>
      <c r="E38" s="681">
        <f t="shared" si="4"/>
        <v>50</v>
      </c>
      <c r="F38" s="680">
        <v>0</v>
      </c>
      <c r="G38" s="681">
        <v>168</v>
      </c>
      <c r="H38" s="681">
        <f>G38+F38</f>
        <v>168</v>
      </c>
      <c r="I38" s="682" t="s">
        <v>56</v>
      </c>
      <c r="J38" s="683">
        <v>389</v>
      </c>
      <c r="K38" s="693">
        <f>J38</f>
        <v>389</v>
      </c>
      <c r="L38" s="1147" t="s">
        <v>1689</v>
      </c>
      <c r="M38" s="1128">
        <v>21</v>
      </c>
    </row>
    <row r="39" spans="1:26" ht="28" customHeight="1">
      <c r="A39" s="396">
        <v>22</v>
      </c>
      <c r="B39" s="241" t="s">
        <v>1463</v>
      </c>
      <c r="C39" s="164">
        <v>0</v>
      </c>
      <c r="D39" s="165" t="s">
        <v>56</v>
      </c>
      <c r="E39" s="165" t="s">
        <v>56</v>
      </c>
      <c r="F39" s="164">
        <v>0</v>
      </c>
      <c r="G39" s="165" t="s">
        <v>56</v>
      </c>
      <c r="H39" s="165" t="s">
        <v>56</v>
      </c>
      <c r="I39" s="167" t="s">
        <v>56</v>
      </c>
      <c r="J39" s="168" t="s">
        <v>56</v>
      </c>
      <c r="K39" s="202" t="s">
        <v>56</v>
      </c>
      <c r="L39" s="1146" t="s">
        <v>1690</v>
      </c>
      <c r="M39" s="954">
        <v>22</v>
      </c>
    </row>
    <row r="40" spans="1:26" s="639" customFormat="1" ht="28" customHeight="1">
      <c r="A40" s="325">
        <v>23</v>
      </c>
      <c r="B40" s="271" t="s">
        <v>1462</v>
      </c>
      <c r="C40" s="680">
        <v>0</v>
      </c>
      <c r="D40" s="681">
        <f>32+8</f>
        <v>40</v>
      </c>
      <c r="E40" s="690">
        <f t="shared" si="4"/>
        <v>40</v>
      </c>
      <c r="F40" s="683">
        <v>0</v>
      </c>
      <c r="G40" s="683">
        <v>35</v>
      </c>
      <c r="H40" s="690">
        <f t="shared" ref="H40:H50" si="6">G40+F40</f>
        <v>35</v>
      </c>
      <c r="I40" s="683" t="s">
        <v>56</v>
      </c>
      <c r="J40" s="683">
        <v>271</v>
      </c>
      <c r="K40" s="693">
        <f t="shared" ref="K40:K41" si="7">J40</f>
        <v>271</v>
      </c>
      <c r="L40" s="1147" t="s">
        <v>1691</v>
      </c>
      <c r="M40" s="1128">
        <v>23</v>
      </c>
    </row>
    <row r="41" spans="1:26" ht="28" customHeight="1">
      <c r="A41" s="396">
        <v>24</v>
      </c>
      <c r="B41" s="241" t="s">
        <v>1461</v>
      </c>
      <c r="C41" s="164">
        <v>0</v>
      </c>
      <c r="D41" s="165">
        <f>18+2</f>
        <v>20</v>
      </c>
      <c r="E41" s="165">
        <f t="shared" si="4"/>
        <v>20</v>
      </c>
      <c r="F41" s="164">
        <v>0</v>
      </c>
      <c r="G41" s="165">
        <v>157</v>
      </c>
      <c r="H41" s="165">
        <f t="shared" si="6"/>
        <v>157</v>
      </c>
      <c r="I41" s="167" t="s">
        <v>56</v>
      </c>
      <c r="J41" s="168">
        <v>435</v>
      </c>
      <c r="K41" s="202">
        <f t="shared" si="7"/>
        <v>435</v>
      </c>
      <c r="L41" s="1133" t="s">
        <v>1692</v>
      </c>
      <c r="M41" s="954">
        <v>24</v>
      </c>
    </row>
    <row r="42" spans="1:26" s="639" customFormat="1" ht="28" customHeight="1">
      <c r="A42" s="325">
        <v>25</v>
      </c>
      <c r="B42" s="271" t="s">
        <v>1460</v>
      </c>
      <c r="C42" s="680">
        <v>0</v>
      </c>
      <c r="D42" s="681">
        <f>40+58</f>
        <v>98</v>
      </c>
      <c r="E42" s="681">
        <f t="shared" si="4"/>
        <v>98</v>
      </c>
      <c r="F42" s="680">
        <v>0</v>
      </c>
      <c r="G42" s="681">
        <v>160</v>
      </c>
      <c r="H42" s="681">
        <f t="shared" si="6"/>
        <v>160</v>
      </c>
      <c r="I42" s="682">
        <v>67</v>
      </c>
      <c r="J42" s="683">
        <v>968</v>
      </c>
      <c r="K42" s="693">
        <f t="shared" si="5"/>
        <v>1035</v>
      </c>
      <c r="L42" s="1129" t="s">
        <v>1693</v>
      </c>
      <c r="M42" s="1128">
        <v>25</v>
      </c>
    </row>
    <row r="43" spans="1:26" s="639" customFormat="1" ht="28" customHeight="1">
      <c r="A43" s="396">
        <v>26</v>
      </c>
      <c r="B43" s="240" t="s">
        <v>1459</v>
      </c>
      <c r="C43" s="164">
        <v>0</v>
      </c>
      <c r="D43" s="165">
        <f>17+64</f>
        <v>81</v>
      </c>
      <c r="E43" s="165">
        <f t="shared" si="4"/>
        <v>81</v>
      </c>
      <c r="F43" s="167">
        <v>0</v>
      </c>
      <c r="G43" s="168">
        <v>119</v>
      </c>
      <c r="H43" s="165">
        <f t="shared" si="6"/>
        <v>119</v>
      </c>
      <c r="I43" s="167" t="s">
        <v>56</v>
      </c>
      <c r="J43" s="168">
        <v>689</v>
      </c>
      <c r="K43" s="202">
        <f>J43</f>
        <v>689</v>
      </c>
      <c r="L43" s="1133" t="s">
        <v>1694</v>
      </c>
      <c r="M43" s="954">
        <v>26</v>
      </c>
      <c r="N43"/>
      <c r="O43"/>
      <c r="P43"/>
      <c r="Q43"/>
      <c r="R43"/>
      <c r="S43"/>
      <c r="T43"/>
      <c r="U43"/>
      <c r="V43"/>
      <c r="W43"/>
      <c r="X43"/>
      <c r="Y43"/>
      <c r="Z43"/>
    </row>
    <row r="44" spans="1:26" s="639" customFormat="1" ht="28" customHeight="1">
      <c r="A44" s="325">
        <v>27</v>
      </c>
      <c r="B44" s="271" t="s">
        <v>1458</v>
      </c>
      <c r="C44" s="680">
        <v>1</v>
      </c>
      <c r="D44" s="681">
        <f>8+31</f>
        <v>39</v>
      </c>
      <c r="E44" s="681">
        <f t="shared" si="4"/>
        <v>40</v>
      </c>
      <c r="F44" s="680">
        <v>0</v>
      </c>
      <c r="G44" s="681">
        <v>68</v>
      </c>
      <c r="H44" s="681">
        <f t="shared" si="6"/>
        <v>68</v>
      </c>
      <c r="I44" s="682" t="s">
        <v>56</v>
      </c>
      <c r="J44" s="683">
        <v>336</v>
      </c>
      <c r="K44" s="693">
        <f t="shared" ref="K44:K49" si="8">J44</f>
        <v>336</v>
      </c>
      <c r="L44" s="1129" t="s">
        <v>1695</v>
      </c>
      <c r="M44" s="1128">
        <v>27</v>
      </c>
    </row>
    <row r="45" spans="1:26" s="639" customFormat="1" ht="28" customHeight="1">
      <c r="A45" s="396">
        <v>28</v>
      </c>
      <c r="B45" s="241" t="s">
        <v>1457</v>
      </c>
      <c r="C45" s="164">
        <v>0</v>
      </c>
      <c r="D45" s="165">
        <f>24+23</f>
        <v>47</v>
      </c>
      <c r="E45" s="165">
        <f t="shared" si="4"/>
        <v>47</v>
      </c>
      <c r="F45" s="164">
        <v>0</v>
      </c>
      <c r="G45" s="165">
        <v>10</v>
      </c>
      <c r="H45" s="165">
        <f t="shared" si="6"/>
        <v>10</v>
      </c>
      <c r="I45" s="167" t="s">
        <v>56</v>
      </c>
      <c r="J45" s="168">
        <v>159</v>
      </c>
      <c r="K45" s="202">
        <f t="shared" si="8"/>
        <v>159</v>
      </c>
      <c r="L45" s="1133" t="s">
        <v>1696</v>
      </c>
      <c r="M45" s="954">
        <v>28</v>
      </c>
      <c r="N45"/>
      <c r="O45"/>
      <c r="P45"/>
      <c r="Q45"/>
      <c r="R45"/>
      <c r="S45"/>
      <c r="T45"/>
      <c r="U45"/>
      <c r="V45"/>
      <c r="W45"/>
      <c r="X45"/>
      <c r="Y45"/>
      <c r="Z45"/>
    </row>
    <row r="46" spans="1:26" s="639" customFormat="1" ht="28" customHeight="1">
      <c r="A46" s="325">
        <v>29</v>
      </c>
      <c r="B46" s="271" t="s">
        <v>1456</v>
      </c>
      <c r="C46" s="680">
        <v>0</v>
      </c>
      <c r="D46" s="681">
        <f>35+135</f>
        <v>170</v>
      </c>
      <c r="E46" s="681">
        <f t="shared" si="4"/>
        <v>170</v>
      </c>
      <c r="F46" s="680">
        <v>0</v>
      </c>
      <c r="G46" s="681">
        <v>654</v>
      </c>
      <c r="H46" s="681">
        <f t="shared" si="6"/>
        <v>654</v>
      </c>
      <c r="I46" s="682" t="s">
        <v>56</v>
      </c>
      <c r="J46" s="683">
        <v>3679</v>
      </c>
      <c r="K46" s="693">
        <f t="shared" si="8"/>
        <v>3679</v>
      </c>
      <c r="L46" s="1129" t="s">
        <v>1697</v>
      </c>
      <c r="M46" s="1128">
        <v>29</v>
      </c>
    </row>
    <row r="47" spans="1:26" s="639" customFormat="1" ht="28" customHeight="1">
      <c r="A47" s="396">
        <v>30</v>
      </c>
      <c r="B47" s="241" t="s">
        <v>1455</v>
      </c>
      <c r="C47" s="164">
        <v>0</v>
      </c>
      <c r="D47" s="165">
        <f>6+7</f>
        <v>13</v>
      </c>
      <c r="E47" s="165">
        <f t="shared" si="4"/>
        <v>13</v>
      </c>
      <c r="F47" s="164">
        <v>0</v>
      </c>
      <c r="G47" s="165">
        <v>14</v>
      </c>
      <c r="H47" s="165">
        <f t="shared" si="6"/>
        <v>14</v>
      </c>
      <c r="I47" s="167" t="s">
        <v>56</v>
      </c>
      <c r="J47" s="168">
        <v>88</v>
      </c>
      <c r="K47" s="202">
        <f t="shared" si="8"/>
        <v>88</v>
      </c>
      <c r="L47" s="1146" t="s">
        <v>1698</v>
      </c>
      <c r="M47" s="954">
        <v>30</v>
      </c>
      <c r="N47"/>
      <c r="O47"/>
      <c r="P47"/>
      <c r="Q47"/>
      <c r="R47"/>
      <c r="S47"/>
      <c r="T47"/>
      <c r="U47"/>
      <c r="V47"/>
      <c r="W47"/>
      <c r="X47"/>
      <c r="Y47"/>
      <c r="Z47"/>
    </row>
    <row r="48" spans="1:26" s="639" customFormat="1" ht="28" customHeight="1">
      <c r="A48" s="325">
        <v>31</v>
      </c>
      <c r="B48" s="271" t="s">
        <v>1454</v>
      </c>
      <c r="C48" s="680">
        <v>0</v>
      </c>
      <c r="D48" s="681">
        <f>8+23</f>
        <v>31</v>
      </c>
      <c r="E48" s="681">
        <f t="shared" si="4"/>
        <v>31</v>
      </c>
      <c r="F48" s="680">
        <v>0</v>
      </c>
      <c r="G48" s="681">
        <v>61</v>
      </c>
      <c r="H48" s="690">
        <f t="shared" si="6"/>
        <v>61</v>
      </c>
      <c r="I48" s="682" t="s">
        <v>56</v>
      </c>
      <c r="J48" s="683">
        <v>256</v>
      </c>
      <c r="K48" s="693">
        <f t="shared" si="8"/>
        <v>256</v>
      </c>
      <c r="L48" s="1129" t="s">
        <v>1699</v>
      </c>
      <c r="M48" s="878">
        <v>31</v>
      </c>
    </row>
    <row r="49" spans="1:26" s="639" customFormat="1" ht="28" customHeight="1">
      <c r="A49" s="396">
        <v>32</v>
      </c>
      <c r="B49" s="240" t="s">
        <v>1453</v>
      </c>
      <c r="C49" s="164">
        <v>0</v>
      </c>
      <c r="D49" s="165">
        <f>18+4</f>
        <v>22</v>
      </c>
      <c r="E49" s="169">
        <f t="shared" si="4"/>
        <v>22</v>
      </c>
      <c r="F49" s="164">
        <v>0</v>
      </c>
      <c r="G49" s="165">
        <v>98</v>
      </c>
      <c r="H49" s="169">
        <f t="shared" si="6"/>
        <v>98</v>
      </c>
      <c r="I49" s="167" t="s">
        <v>56</v>
      </c>
      <c r="J49" s="168">
        <v>858</v>
      </c>
      <c r="K49" s="202">
        <f t="shared" si="8"/>
        <v>858</v>
      </c>
      <c r="L49" s="1146" t="s">
        <v>1700</v>
      </c>
      <c r="M49" s="879">
        <v>32</v>
      </c>
    </row>
    <row r="50" spans="1:26" s="639" customFormat="1" ht="28" customHeight="1">
      <c r="A50" s="664">
        <v>33</v>
      </c>
      <c r="B50" s="275" t="s">
        <v>1452</v>
      </c>
      <c r="C50" s="684">
        <v>0</v>
      </c>
      <c r="D50" s="685">
        <f>21+20</f>
        <v>41</v>
      </c>
      <c r="E50" s="1171">
        <f t="shared" si="4"/>
        <v>41</v>
      </c>
      <c r="F50" s="684">
        <v>0</v>
      </c>
      <c r="G50" s="685">
        <v>32</v>
      </c>
      <c r="H50" s="685">
        <f t="shared" si="6"/>
        <v>32</v>
      </c>
      <c r="I50" s="1170" t="s">
        <v>56</v>
      </c>
      <c r="J50" s="1169">
        <v>278</v>
      </c>
      <c r="K50" s="1116">
        <f>J50</f>
        <v>278</v>
      </c>
      <c r="L50" s="1197" t="s">
        <v>1701</v>
      </c>
      <c r="M50" s="1114">
        <v>33</v>
      </c>
    </row>
    <row r="51" spans="1:26" ht="18" hidden="1" customHeight="1">
      <c r="A51" s="1419" t="s">
        <v>1339</v>
      </c>
      <c r="B51" s="1419"/>
      <c r="C51" s="523"/>
      <c r="D51" s="524"/>
      <c r="E51" s="524"/>
      <c r="F51" s="524"/>
      <c r="G51" s="524"/>
      <c r="H51" s="524"/>
      <c r="I51" s="524"/>
      <c r="J51" s="1477" t="s">
        <v>1338</v>
      </c>
      <c r="K51" s="1477"/>
      <c r="L51" s="1477"/>
      <c r="M51" s="1477"/>
    </row>
    <row r="52" spans="1:26" ht="15" hidden="1" customHeight="1">
      <c r="A52" s="1419"/>
      <c r="B52" s="1419"/>
      <c r="C52" s="523"/>
      <c r="D52" s="524"/>
      <c r="E52" s="524"/>
      <c r="F52" s="524"/>
      <c r="G52" s="524"/>
      <c r="H52" s="524"/>
      <c r="I52" s="524"/>
      <c r="J52" s="328"/>
      <c r="K52" s="328"/>
      <c r="L52" s="1477" t="s">
        <v>1490</v>
      </c>
      <c r="M52" s="1477"/>
    </row>
    <row r="53" spans="1:26" ht="18" hidden="1" customHeight="1">
      <c r="A53" s="1327" t="s">
        <v>621</v>
      </c>
      <c r="B53" s="1343" t="s">
        <v>1598</v>
      </c>
      <c r="C53" s="1511" t="s">
        <v>1487</v>
      </c>
      <c r="D53" s="1512"/>
      <c r="E53" s="1513"/>
      <c r="F53" s="1511" t="s">
        <v>1336</v>
      </c>
      <c r="G53" s="1512"/>
      <c r="H53" s="1513"/>
      <c r="I53" s="1511" t="s">
        <v>253</v>
      </c>
      <c r="J53" s="1512"/>
      <c r="K53" s="1513"/>
      <c r="L53" s="1438" t="s">
        <v>1597</v>
      </c>
      <c r="M53" s="1563" t="s">
        <v>727</v>
      </c>
    </row>
    <row r="54" spans="1:26" ht="18" hidden="1" customHeight="1">
      <c r="A54" s="1328"/>
      <c r="B54" s="1266"/>
      <c r="C54" s="1505" t="s">
        <v>138</v>
      </c>
      <c r="D54" s="1506"/>
      <c r="E54" s="1507"/>
      <c r="F54" s="1505" t="s">
        <v>1335</v>
      </c>
      <c r="G54" s="1506"/>
      <c r="H54" s="1507"/>
      <c r="I54" s="1505" t="s">
        <v>137</v>
      </c>
      <c r="J54" s="1506"/>
      <c r="K54" s="1507"/>
      <c r="L54" s="1439"/>
      <c r="M54" s="1564"/>
    </row>
    <row r="55" spans="1:26" ht="18" hidden="1" customHeight="1">
      <c r="A55" s="1328"/>
      <c r="B55" s="1266"/>
      <c r="C55" s="1109" t="s">
        <v>278</v>
      </c>
      <c r="D55" s="1109" t="s">
        <v>1334</v>
      </c>
      <c r="E55" s="1205" t="s">
        <v>1333</v>
      </c>
      <c r="F55" s="1109" t="s">
        <v>278</v>
      </c>
      <c r="G55" s="1109" t="s">
        <v>1334</v>
      </c>
      <c r="H55" s="1205" t="s">
        <v>1333</v>
      </c>
      <c r="I55" s="1109" t="s">
        <v>278</v>
      </c>
      <c r="J55" s="1109" t="s">
        <v>1334</v>
      </c>
      <c r="K55" s="1205" t="s">
        <v>1333</v>
      </c>
      <c r="L55" s="1439"/>
      <c r="M55" s="1564"/>
    </row>
    <row r="56" spans="1:26" ht="18" hidden="1" customHeight="1">
      <c r="A56" s="1328"/>
      <c r="B56" s="1266"/>
      <c r="C56" s="971" t="s">
        <v>673</v>
      </c>
      <c r="D56" s="971" t="s">
        <v>13</v>
      </c>
      <c r="E56" s="971" t="s">
        <v>61</v>
      </c>
      <c r="F56" s="971" t="s">
        <v>673</v>
      </c>
      <c r="G56" s="971" t="s">
        <v>13</v>
      </c>
      <c r="H56" s="971" t="s">
        <v>61</v>
      </c>
      <c r="I56" s="971" t="s">
        <v>673</v>
      </c>
      <c r="J56" s="971" t="s">
        <v>13</v>
      </c>
      <c r="K56" s="971" t="s">
        <v>61</v>
      </c>
      <c r="L56" s="1439"/>
      <c r="M56" s="1564"/>
    </row>
    <row r="57" spans="1:26" ht="18" hidden="1" customHeight="1">
      <c r="A57" s="1329"/>
      <c r="B57" s="1267"/>
      <c r="C57" s="1206" t="s">
        <v>162</v>
      </c>
      <c r="D57" s="1206" t="s">
        <v>163</v>
      </c>
      <c r="E57" s="971" t="s">
        <v>1332</v>
      </c>
      <c r="F57" s="1206" t="s">
        <v>162</v>
      </c>
      <c r="G57" s="1206" t="s">
        <v>163</v>
      </c>
      <c r="H57" s="971" t="s">
        <v>1332</v>
      </c>
      <c r="I57" s="1206" t="s">
        <v>162</v>
      </c>
      <c r="J57" s="1206" t="s">
        <v>163</v>
      </c>
      <c r="K57" s="971" t="s">
        <v>1332</v>
      </c>
      <c r="L57" s="1462"/>
      <c r="M57" s="1565"/>
    </row>
    <row r="58" spans="1:26" s="639" customFormat="1" ht="32.25" customHeight="1">
      <c r="A58" s="325">
        <v>34</v>
      </c>
      <c r="B58" s="271" t="s">
        <v>1451</v>
      </c>
      <c r="C58" s="680">
        <v>0</v>
      </c>
      <c r="D58" s="681">
        <f>57+58</f>
        <v>115</v>
      </c>
      <c r="E58" s="681">
        <f t="shared" ref="E58:E71" si="9">D58+C58</f>
        <v>115</v>
      </c>
      <c r="F58" s="680">
        <v>0</v>
      </c>
      <c r="G58" s="681" t="s">
        <v>56</v>
      </c>
      <c r="H58" s="690" t="s">
        <v>56</v>
      </c>
      <c r="I58" s="682" t="s">
        <v>56</v>
      </c>
      <c r="J58" s="683">
        <v>209</v>
      </c>
      <c r="K58" s="693">
        <f>J58</f>
        <v>209</v>
      </c>
      <c r="L58" s="1129" t="s">
        <v>1702</v>
      </c>
      <c r="M58" s="1128">
        <v>34</v>
      </c>
    </row>
    <row r="59" spans="1:26" s="639" customFormat="1" ht="31.5" customHeight="1">
      <c r="A59" s="396">
        <v>35</v>
      </c>
      <c r="B59" s="241" t="s">
        <v>1450</v>
      </c>
      <c r="C59" s="164">
        <v>0</v>
      </c>
      <c r="D59" s="165">
        <f>10+26</f>
        <v>36</v>
      </c>
      <c r="E59" s="165">
        <f t="shared" si="9"/>
        <v>36</v>
      </c>
      <c r="F59" s="164">
        <v>0</v>
      </c>
      <c r="G59" s="165">
        <v>79</v>
      </c>
      <c r="H59" s="165">
        <f t="shared" ref="H59:H71" si="10">G59+F59</f>
        <v>79</v>
      </c>
      <c r="I59" s="167" t="s">
        <v>56</v>
      </c>
      <c r="J59" s="168">
        <v>498</v>
      </c>
      <c r="K59" s="202">
        <f t="shared" ref="K59:K64" si="11">J59</f>
        <v>498</v>
      </c>
      <c r="L59" s="1133" t="s">
        <v>1703</v>
      </c>
      <c r="M59" s="954">
        <v>35</v>
      </c>
      <c r="N59"/>
      <c r="O59"/>
      <c r="P59"/>
      <c r="Q59"/>
      <c r="R59"/>
      <c r="S59"/>
      <c r="T59"/>
      <c r="U59"/>
      <c r="V59"/>
      <c r="W59"/>
      <c r="X59"/>
      <c r="Y59"/>
      <c r="Z59"/>
    </row>
    <row r="60" spans="1:26" s="639" customFormat="1" ht="29" customHeight="1">
      <c r="A60" s="325">
        <v>36</v>
      </c>
      <c r="B60" s="271" t="s">
        <v>1449</v>
      </c>
      <c r="C60" s="680">
        <v>1</v>
      </c>
      <c r="D60" s="681">
        <f>8+34</f>
        <v>42</v>
      </c>
      <c r="E60" s="681">
        <f t="shared" si="9"/>
        <v>43</v>
      </c>
      <c r="F60" s="680">
        <v>0</v>
      </c>
      <c r="G60" s="681">
        <v>48</v>
      </c>
      <c r="H60" s="690">
        <f t="shared" si="10"/>
        <v>48</v>
      </c>
      <c r="I60" s="682" t="s">
        <v>56</v>
      </c>
      <c r="J60" s="683">
        <v>136</v>
      </c>
      <c r="K60" s="693">
        <f t="shared" si="11"/>
        <v>136</v>
      </c>
      <c r="L60" s="1129" t="s">
        <v>1704</v>
      </c>
      <c r="M60" s="1128">
        <v>36</v>
      </c>
      <c r="P60" s="639" t="s">
        <v>57</v>
      </c>
    </row>
    <row r="61" spans="1:26" s="639" customFormat="1" ht="29" customHeight="1">
      <c r="A61" s="396">
        <v>37</v>
      </c>
      <c r="B61" s="241" t="s">
        <v>1448</v>
      </c>
      <c r="C61" s="164">
        <v>4</v>
      </c>
      <c r="D61" s="165">
        <f>9+43</f>
        <v>52</v>
      </c>
      <c r="E61" s="165">
        <f t="shared" si="9"/>
        <v>56</v>
      </c>
      <c r="F61" s="164">
        <v>0</v>
      </c>
      <c r="G61" s="165">
        <v>161</v>
      </c>
      <c r="H61" s="169">
        <f t="shared" si="10"/>
        <v>161</v>
      </c>
      <c r="I61" s="167" t="s">
        <v>56</v>
      </c>
      <c r="J61" s="168">
        <v>919</v>
      </c>
      <c r="K61" s="202">
        <f t="shared" si="11"/>
        <v>919</v>
      </c>
      <c r="L61" s="1133" t="s">
        <v>1705</v>
      </c>
      <c r="M61" s="954">
        <v>37</v>
      </c>
      <c r="N61"/>
      <c r="O61"/>
      <c r="P61"/>
      <c r="Q61"/>
      <c r="R61"/>
      <c r="S61"/>
      <c r="T61"/>
      <c r="U61"/>
      <c r="V61"/>
      <c r="W61"/>
      <c r="X61"/>
      <c r="Y61"/>
      <c r="Z61"/>
    </row>
    <row r="62" spans="1:26" s="639" customFormat="1" ht="29" customHeight="1">
      <c r="A62" s="325">
        <v>38</v>
      </c>
      <c r="B62" s="271" t="s">
        <v>1447</v>
      </c>
      <c r="C62" s="680">
        <v>0</v>
      </c>
      <c r="D62" s="681">
        <f>8+18</f>
        <v>26</v>
      </c>
      <c r="E62" s="681">
        <f t="shared" si="9"/>
        <v>26</v>
      </c>
      <c r="F62" s="680">
        <v>0</v>
      </c>
      <c r="G62" s="681">
        <v>62</v>
      </c>
      <c r="H62" s="681">
        <f t="shared" si="10"/>
        <v>62</v>
      </c>
      <c r="I62" s="682" t="s">
        <v>56</v>
      </c>
      <c r="J62" s="683">
        <v>258</v>
      </c>
      <c r="K62" s="693">
        <f t="shared" si="11"/>
        <v>258</v>
      </c>
      <c r="L62" s="1129" t="s">
        <v>1706</v>
      </c>
      <c r="M62" s="1128">
        <v>38</v>
      </c>
    </row>
    <row r="63" spans="1:26" ht="30.75" customHeight="1">
      <c r="A63" s="396">
        <v>39</v>
      </c>
      <c r="B63" s="241" t="s">
        <v>1446</v>
      </c>
      <c r="C63" s="164">
        <f>4+1</f>
        <v>5</v>
      </c>
      <c r="D63" s="165">
        <f>14+28</f>
        <v>42</v>
      </c>
      <c r="E63" s="165">
        <f t="shared" si="9"/>
        <v>47</v>
      </c>
      <c r="F63" s="164">
        <v>0</v>
      </c>
      <c r="G63" s="165">
        <v>153</v>
      </c>
      <c r="H63" s="169">
        <f t="shared" si="10"/>
        <v>153</v>
      </c>
      <c r="I63" s="167" t="s">
        <v>56</v>
      </c>
      <c r="J63" s="168">
        <v>982</v>
      </c>
      <c r="K63" s="202">
        <f t="shared" si="11"/>
        <v>982</v>
      </c>
      <c r="L63" s="1133" t="s">
        <v>1707</v>
      </c>
      <c r="M63" s="954">
        <v>39</v>
      </c>
    </row>
    <row r="64" spans="1:26" s="639" customFormat="1" ht="33" customHeight="1">
      <c r="A64" s="325">
        <v>40</v>
      </c>
      <c r="B64" s="271" t="s">
        <v>1445</v>
      </c>
      <c r="C64" s="680">
        <v>6</v>
      </c>
      <c r="D64" s="681">
        <f>6+29</f>
        <v>35</v>
      </c>
      <c r="E64" s="681">
        <f t="shared" si="9"/>
        <v>41</v>
      </c>
      <c r="F64" s="680">
        <v>0</v>
      </c>
      <c r="G64" s="681">
        <v>56</v>
      </c>
      <c r="H64" s="681">
        <f t="shared" si="10"/>
        <v>56</v>
      </c>
      <c r="I64" s="682" t="s">
        <v>56</v>
      </c>
      <c r="J64" s="683">
        <v>197</v>
      </c>
      <c r="K64" s="693">
        <f t="shared" si="11"/>
        <v>197</v>
      </c>
      <c r="L64" s="1129" t="s">
        <v>1708</v>
      </c>
      <c r="M64" s="1128">
        <v>40</v>
      </c>
    </row>
    <row r="65" spans="1:26" ht="29" customHeight="1">
      <c r="A65" s="396">
        <v>41</v>
      </c>
      <c r="B65" s="241" t="s">
        <v>1444</v>
      </c>
      <c r="C65" s="164">
        <f>4+11</f>
        <v>15</v>
      </c>
      <c r="D65" s="165">
        <f>4+40</f>
        <v>44</v>
      </c>
      <c r="E65" s="165">
        <f t="shared" si="9"/>
        <v>59</v>
      </c>
      <c r="F65" s="164">
        <v>0</v>
      </c>
      <c r="G65" s="165">
        <v>21</v>
      </c>
      <c r="H65" s="169">
        <f t="shared" si="10"/>
        <v>21</v>
      </c>
      <c r="I65" s="167">
        <v>32</v>
      </c>
      <c r="J65" s="168">
        <v>519</v>
      </c>
      <c r="K65" s="202">
        <f t="shared" ref="K65" si="12">J65+I65</f>
        <v>551</v>
      </c>
      <c r="L65" s="1133" t="s">
        <v>1709</v>
      </c>
      <c r="M65" s="954">
        <v>41</v>
      </c>
    </row>
    <row r="66" spans="1:26" s="639" customFormat="1" ht="30.75" customHeight="1">
      <c r="A66" s="325">
        <v>42</v>
      </c>
      <c r="B66" s="271" t="s">
        <v>1443</v>
      </c>
      <c r="C66" s="680">
        <v>0</v>
      </c>
      <c r="D66" s="681">
        <v>27</v>
      </c>
      <c r="E66" s="681">
        <f t="shared" si="9"/>
        <v>27</v>
      </c>
      <c r="F66" s="680">
        <v>0</v>
      </c>
      <c r="G66" s="681">
        <v>38</v>
      </c>
      <c r="H66" s="681">
        <f t="shared" si="10"/>
        <v>38</v>
      </c>
      <c r="I66" s="682" t="s">
        <v>56</v>
      </c>
      <c r="J66" s="683">
        <v>194</v>
      </c>
      <c r="K66" s="693">
        <f>J66</f>
        <v>194</v>
      </c>
      <c r="L66" s="1129" t="s">
        <v>1710</v>
      </c>
      <c r="M66" s="1128">
        <v>42</v>
      </c>
    </row>
    <row r="67" spans="1:26" ht="29" customHeight="1">
      <c r="A67" s="396">
        <v>43</v>
      </c>
      <c r="B67" s="241" t="s">
        <v>1442</v>
      </c>
      <c r="C67" s="164">
        <v>0</v>
      </c>
      <c r="D67" s="165">
        <f>23+43</f>
        <v>66</v>
      </c>
      <c r="E67" s="165">
        <f t="shared" si="9"/>
        <v>66</v>
      </c>
      <c r="F67" s="164">
        <v>0</v>
      </c>
      <c r="G67" s="165">
        <v>297</v>
      </c>
      <c r="H67" s="169">
        <f t="shared" si="10"/>
        <v>297</v>
      </c>
      <c r="I67" s="167" t="s">
        <v>56</v>
      </c>
      <c r="J67" s="168">
        <v>1275</v>
      </c>
      <c r="K67" s="202">
        <f t="shared" ref="K67:K71" si="13">J67</f>
        <v>1275</v>
      </c>
      <c r="L67" s="1133" t="s">
        <v>1711</v>
      </c>
      <c r="M67" s="954">
        <v>43</v>
      </c>
    </row>
    <row r="68" spans="1:26" s="639" customFormat="1" ht="31.5" customHeight="1">
      <c r="A68" s="325">
        <v>44</v>
      </c>
      <c r="B68" s="271" t="s">
        <v>1441</v>
      </c>
      <c r="C68" s="680">
        <v>0</v>
      </c>
      <c r="D68" s="681">
        <f>2+30</f>
        <v>32</v>
      </c>
      <c r="E68" s="681">
        <f t="shared" si="9"/>
        <v>32</v>
      </c>
      <c r="F68" s="680">
        <v>0</v>
      </c>
      <c r="G68" s="681">
        <v>14</v>
      </c>
      <c r="H68" s="681">
        <f t="shared" si="10"/>
        <v>14</v>
      </c>
      <c r="I68" s="682" t="s">
        <v>56</v>
      </c>
      <c r="J68" s="683">
        <v>706</v>
      </c>
      <c r="K68" s="693">
        <f t="shared" si="13"/>
        <v>706</v>
      </c>
      <c r="L68" s="1129" t="s">
        <v>1712</v>
      </c>
      <c r="M68" s="1128">
        <v>44</v>
      </c>
    </row>
    <row r="69" spans="1:26" ht="29" customHeight="1">
      <c r="A69" s="396">
        <v>45</v>
      </c>
      <c r="B69" s="240" t="s">
        <v>1440</v>
      </c>
      <c r="C69" s="164">
        <v>0</v>
      </c>
      <c r="D69" s="165">
        <f>9+40</f>
        <v>49</v>
      </c>
      <c r="E69" s="169">
        <f t="shared" si="9"/>
        <v>49</v>
      </c>
      <c r="F69" s="164">
        <v>0</v>
      </c>
      <c r="G69" s="165" t="s">
        <v>56</v>
      </c>
      <c r="H69" s="169" t="s">
        <v>56</v>
      </c>
      <c r="I69" s="167" t="s">
        <v>56</v>
      </c>
      <c r="J69" s="168">
        <v>164</v>
      </c>
      <c r="K69" s="202">
        <f t="shared" si="13"/>
        <v>164</v>
      </c>
      <c r="L69" s="1133" t="s">
        <v>1713</v>
      </c>
      <c r="M69" s="879">
        <v>45</v>
      </c>
    </row>
    <row r="70" spans="1:26" s="639" customFormat="1" ht="36.75" customHeight="1">
      <c r="A70" s="325">
        <v>46</v>
      </c>
      <c r="B70" s="271" t="s">
        <v>1439</v>
      </c>
      <c r="C70" s="680">
        <v>0</v>
      </c>
      <c r="D70" s="681">
        <v>7</v>
      </c>
      <c r="E70" s="681">
        <f t="shared" si="9"/>
        <v>7</v>
      </c>
      <c r="F70" s="680">
        <v>0</v>
      </c>
      <c r="G70" s="681" t="s">
        <v>56</v>
      </c>
      <c r="H70" s="681" t="s">
        <v>56</v>
      </c>
      <c r="I70" s="682" t="s">
        <v>56</v>
      </c>
      <c r="J70" s="683">
        <v>35</v>
      </c>
      <c r="K70" s="693">
        <f t="shared" si="13"/>
        <v>35</v>
      </c>
      <c r="L70" s="1147" t="s">
        <v>1714</v>
      </c>
      <c r="M70" s="878">
        <v>46</v>
      </c>
    </row>
    <row r="71" spans="1:26" ht="29" customHeight="1">
      <c r="A71" s="397">
        <v>47</v>
      </c>
      <c r="B71" s="297" t="s">
        <v>1438</v>
      </c>
      <c r="C71" s="203">
        <v>8</v>
      </c>
      <c r="D71" s="204">
        <f>44+16</f>
        <v>60</v>
      </c>
      <c r="E71" s="204">
        <f t="shared" si="9"/>
        <v>68</v>
      </c>
      <c r="F71" s="203">
        <v>0</v>
      </c>
      <c r="G71" s="204">
        <v>53</v>
      </c>
      <c r="H71" s="234">
        <f t="shared" si="10"/>
        <v>53</v>
      </c>
      <c r="I71" s="171" t="s">
        <v>56</v>
      </c>
      <c r="J71" s="172">
        <v>677</v>
      </c>
      <c r="K71" s="372">
        <f t="shared" si="13"/>
        <v>677</v>
      </c>
      <c r="L71" s="1155" t="s">
        <v>1715</v>
      </c>
      <c r="M71" s="880">
        <v>47</v>
      </c>
    </row>
    <row r="72" spans="1:26" ht="18" hidden="1" customHeight="1">
      <c r="A72" s="1419" t="s">
        <v>1339</v>
      </c>
      <c r="B72" s="1419"/>
      <c r="C72" s="523"/>
      <c r="D72" s="524"/>
      <c r="E72" s="524"/>
      <c r="F72" s="524"/>
      <c r="G72" s="524"/>
      <c r="H72" s="524"/>
      <c r="I72" s="524"/>
      <c r="J72" s="1477" t="s">
        <v>1338</v>
      </c>
      <c r="K72" s="1477"/>
      <c r="L72" s="1477"/>
      <c r="M72" s="1477"/>
    </row>
    <row r="73" spans="1:26" ht="15" hidden="1" customHeight="1">
      <c r="A73" s="1419"/>
      <c r="B73" s="1419"/>
      <c r="C73" s="523"/>
      <c r="D73" s="524"/>
      <c r="E73" s="524"/>
      <c r="F73" s="524"/>
      <c r="G73" s="524"/>
      <c r="H73" s="524"/>
      <c r="I73" s="524"/>
      <c r="J73" s="328"/>
      <c r="K73" s="328"/>
      <c r="L73" s="1477" t="s">
        <v>1490</v>
      </c>
      <c r="M73" s="1477"/>
    </row>
    <row r="74" spans="1:26" ht="22" hidden="1" customHeight="1">
      <c r="A74" s="1327" t="s">
        <v>621</v>
      </c>
      <c r="B74" s="1343" t="s">
        <v>1598</v>
      </c>
      <c r="C74" s="1511" t="s">
        <v>1337</v>
      </c>
      <c r="D74" s="1512"/>
      <c r="E74" s="1513"/>
      <c r="F74" s="1511" t="s">
        <v>1336</v>
      </c>
      <c r="G74" s="1512"/>
      <c r="H74" s="1513"/>
      <c r="I74" s="1511" t="s">
        <v>253</v>
      </c>
      <c r="J74" s="1512"/>
      <c r="K74" s="1513"/>
      <c r="L74" s="1438" t="s">
        <v>1597</v>
      </c>
      <c r="M74" s="1563" t="s">
        <v>727</v>
      </c>
    </row>
    <row r="75" spans="1:26" ht="22" hidden="1" customHeight="1">
      <c r="A75" s="1328"/>
      <c r="B75" s="1266"/>
      <c r="C75" s="1505" t="s">
        <v>138</v>
      </c>
      <c r="D75" s="1506"/>
      <c r="E75" s="1507"/>
      <c r="F75" s="1505" t="s">
        <v>1335</v>
      </c>
      <c r="G75" s="1506"/>
      <c r="H75" s="1507"/>
      <c r="I75" s="1505" t="s">
        <v>137</v>
      </c>
      <c r="J75" s="1506"/>
      <c r="K75" s="1507"/>
      <c r="L75" s="1439"/>
      <c r="M75" s="1564"/>
    </row>
    <row r="76" spans="1:26" ht="22" hidden="1" customHeight="1">
      <c r="A76" s="1328"/>
      <c r="B76" s="1266"/>
      <c r="C76" s="1109" t="s">
        <v>278</v>
      </c>
      <c r="D76" s="1109" t="s">
        <v>1334</v>
      </c>
      <c r="E76" s="1205" t="s">
        <v>1333</v>
      </c>
      <c r="F76" s="1109" t="s">
        <v>278</v>
      </c>
      <c r="G76" s="1109" t="s">
        <v>1334</v>
      </c>
      <c r="H76" s="1205" t="s">
        <v>1333</v>
      </c>
      <c r="I76" s="1109" t="s">
        <v>278</v>
      </c>
      <c r="J76" s="1109" t="s">
        <v>1334</v>
      </c>
      <c r="K76" s="1205" t="s">
        <v>1333</v>
      </c>
      <c r="L76" s="1439"/>
      <c r="M76" s="1564"/>
    </row>
    <row r="77" spans="1:26" ht="22" hidden="1" customHeight="1">
      <c r="A77" s="1328"/>
      <c r="B77" s="1266"/>
      <c r="C77" s="971" t="s">
        <v>673</v>
      </c>
      <c r="D77" s="971" t="s">
        <v>13</v>
      </c>
      <c r="E77" s="971" t="s">
        <v>61</v>
      </c>
      <c r="F77" s="971" t="s">
        <v>673</v>
      </c>
      <c r="G77" s="971" t="s">
        <v>13</v>
      </c>
      <c r="H77" s="971" t="s">
        <v>61</v>
      </c>
      <c r="I77" s="971" t="s">
        <v>673</v>
      </c>
      <c r="J77" s="971" t="s">
        <v>13</v>
      </c>
      <c r="K77" s="971" t="s">
        <v>61</v>
      </c>
      <c r="L77" s="1439"/>
      <c r="M77" s="1564"/>
    </row>
    <row r="78" spans="1:26" ht="22" hidden="1" customHeight="1">
      <c r="A78" s="1329"/>
      <c r="B78" s="1267"/>
      <c r="C78" s="1206" t="s">
        <v>162</v>
      </c>
      <c r="D78" s="1206" t="s">
        <v>163</v>
      </c>
      <c r="E78" s="971" t="s">
        <v>1332</v>
      </c>
      <c r="F78" s="1206" t="s">
        <v>162</v>
      </c>
      <c r="G78" s="1206" t="s">
        <v>163</v>
      </c>
      <c r="H78" s="971" t="s">
        <v>1332</v>
      </c>
      <c r="I78" s="1206" t="s">
        <v>162</v>
      </c>
      <c r="J78" s="1206" t="s">
        <v>163</v>
      </c>
      <c r="K78" s="971" t="s">
        <v>1332</v>
      </c>
      <c r="L78" s="1462"/>
      <c r="M78" s="1565"/>
    </row>
    <row r="79" spans="1:26" s="639" customFormat="1" ht="30" customHeight="1">
      <c r="A79" s="325">
        <v>48</v>
      </c>
      <c r="B79" s="271" t="s">
        <v>1437</v>
      </c>
      <c r="C79" s="680">
        <v>0</v>
      </c>
      <c r="D79" s="681">
        <f>8+74</f>
        <v>82</v>
      </c>
      <c r="E79" s="681">
        <f t="shared" ref="E79:E90" si="14">D79+C79</f>
        <v>82</v>
      </c>
      <c r="F79" s="680">
        <v>0</v>
      </c>
      <c r="G79" s="681">
        <v>156</v>
      </c>
      <c r="H79" s="681">
        <f>G79+F79</f>
        <v>156</v>
      </c>
      <c r="I79" s="682">
        <v>22</v>
      </c>
      <c r="J79" s="683">
        <v>1229</v>
      </c>
      <c r="K79" s="693">
        <f>J79+I79</f>
        <v>1251</v>
      </c>
      <c r="L79" s="1129" t="s">
        <v>1716</v>
      </c>
      <c r="M79" s="878">
        <v>48</v>
      </c>
      <c r="N79"/>
      <c r="O79"/>
      <c r="P79"/>
      <c r="Q79"/>
      <c r="R79"/>
      <c r="S79"/>
      <c r="T79"/>
      <c r="U79"/>
      <c r="V79"/>
      <c r="W79"/>
      <c r="X79"/>
      <c r="Y79"/>
      <c r="Z79"/>
    </row>
    <row r="80" spans="1:26" ht="30" customHeight="1">
      <c r="A80" s="396">
        <v>49</v>
      </c>
      <c r="B80" s="241" t="s">
        <v>1436</v>
      </c>
      <c r="C80" s="164">
        <v>0</v>
      </c>
      <c r="D80" s="165">
        <f>8+4</f>
        <v>12</v>
      </c>
      <c r="E80" s="165">
        <f t="shared" si="14"/>
        <v>12</v>
      </c>
      <c r="F80" s="164">
        <v>0</v>
      </c>
      <c r="G80" s="165">
        <v>9</v>
      </c>
      <c r="H80" s="169">
        <f>G80+F80</f>
        <v>9</v>
      </c>
      <c r="I80" s="167" t="s">
        <v>56</v>
      </c>
      <c r="J80" s="168">
        <v>69</v>
      </c>
      <c r="K80" s="202">
        <f>J80</f>
        <v>69</v>
      </c>
      <c r="L80" s="1133" t="s">
        <v>1717</v>
      </c>
      <c r="M80" s="879">
        <v>49</v>
      </c>
    </row>
    <row r="81" spans="1:26" s="639" customFormat="1" ht="30" customHeight="1">
      <c r="A81" s="325">
        <v>50</v>
      </c>
      <c r="B81" s="271" t="s">
        <v>1435</v>
      </c>
      <c r="C81" s="680">
        <v>0</v>
      </c>
      <c r="D81" s="681">
        <v>33</v>
      </c>
      <c r="E81" s="681">
        <f t="shared" si="14"/>
        <v>33</v>
      </c>
      <c r="F81" s="680">
        <v>0</v>
      </c>
      <c r="G81" s="681">
        <v>83</v>
      </c>
      <c r="H81" s="681">
        <f>G81+F81</f>
        <v>83</v>
      </c>
      <c r="I81" s="682" t="s">
        <v>56</v>
      </c>
      <c r="J81" s="683">
        <v>355</v>
      </c>
      <c r="K81" s="693">
        <f t="shared" ref="K81:K90" si="15">J81</f>
        <v>355</v>
      </c>
      <c r="L81" s="1129" t="s">
        <v>1718</v>
      </c>
      <c r="M81" s="878">
        <v>50</v>
      </c>
      <c r="N81"/>
      <c r="O81"/>
      <c r="P81"/>
      <c r="Q81"/>
      <c r="R81"/>
      <c r="S81"/>
      <c r="T81"/>
      <c r="U81"/>
      <c r="V81"/>
      <c r="W81"/>
      <c r="X81"/>
      <c r="Y81"/>
      <c r="Z81"/>
    </row>
    <row r="82" spans="1:26" ht="30" customHeight="1">
      <c r="A82" s="396">
        <v>51</v>
      </c>
      <c r="B82" s="240" t="s">
        <v>1434</v>
      </c>
      <c r="C82" s="164">
        <v>0</v>
      </c>
      <c r="D82" s="165">
        <f>15+6</f>
        <v>21</v>
      </c>
      <c r="E82" s="165">
        <f t="shared" si="14"/>
        <v>21</v>
      </c>
      <c r="F82" s="164">
        <v>0</v>
      </c>
      <c r="G82" s="165">
        <v>35</v>
      </c>
      <c r="H82" s="169">
        <f>G82+F82</f>
        <v>35</v>
      </c>
      <c r="I82" s="167" t="s">
        <v>56</v>
      </c>
      <c r="J82" s="168">
        <v>564</v>
      </c>
      <c r="K82" s="202">
        <f t="shared" si="15"/>
        <v>564</v>
      </c>
      <c r="L82" s="1133" t="s">
        <v>1719</v>
      </c>
      <c r="M82" s="879">
        <v>51</v>
      </c>
    </row>
    <row r="83" spans="1:26" s="639" customFormat="1" ht="30" customHeight="1">
      <c r="A83" s="325">
        <v>52</v>
      </c>
      <c r="B83" s="271" t="s">
        <v>1433</v>
      </c>
      <c r="C83" s="680">
        <v>0</v>
      </c>
      <c r="D83" s="681">
        <f>19+8</f>
        <v>27</v>
      </c>
      <c r="E83" s="681">
        <f t="shared" si="14"/>
        <v>27</v>
      </c>
      <c r="F83" s="680">
        <v>0</v>
      </c>
      <c r="G83" s="681">
        <v>48</v>
      </c>
      <c r="H83" s="681">
        <f>G83+F83</f>
        <v>48</v>
      </c>
      <c r="I83" s="682" t="s">
        <v>56</v>
      </c>
      <c r="J83" s="683">
        <v>349</v>
      </c>
      <c r="K83" s="693">
        <f t="shared" si="15"/>
        <v>349</v>
      </c>
      <c r="L83" s="1129" t="s">
        <v>1720</v>
      </c>
      <c r="M83" s="878">
        <v>52</v>
      </c>
      <c r="N83"/>
      <c r="O83"/>
      <c r="P83"/>
      <c r="Q83"/>
      <c r="R83"/>
      <c r="S83"/>
      <c r="T83"/>
      <c r="U83"/>
      <c r="V83"/>
      <c r="W83"/>
      <c r="X83"/>
      <c r="Y83"/>
      <c r="Z83"/>
    </row>
    <row r="84" spans="1:26" ht="30" customHeight="1">
      <c r="A84" s="396">
        <v>53</v>
      </c>
      <c r="B84" s="241" t="s">
        <v>1432</v>
      </c>
      <c r="C84" s="164">
        <v>18</v>
      </c>
      <c r="D84" s="165">
        <f>40</f>
        <v>40</v>
      </c>
      <c r="E84" s="165">
        <f t="shared" si="14"/>
        <v>58</v>
      </c>
      <c r="F84" s="164">
        <v>0</v>
      </c>
      <c r="G84" s="165" t="s">
        <v>56</v>
      </c>
      <c r="H84" s="165" t="s">
        <v>56</v>
      </c>
      <c r="I84" s="164" t="s">
        <v>56</v>
      </c>
      <c r="J84" s="165" t="s">
        <v>56</v>
      </c>
      <c r="K84" s="202" t="s">
        <v>56</v>
      </c>
      <c r="L84" s="1133" t="s">
        <v>1721</v>
      </c>
      <c r="M84" s="879">
        <v>53</v>
      </c>
    </row>
    <row r="85" spans="1:26" s="639" customFormat="1" ht="30" customHeight="1">
      <c r="A85" s="325">
        <v>54</v>
      </c>
      <c r="B85" s="271" t="s">
        <v>1431</v>
      </c>
      <c r="C85" s="680">
        <v>0</v>
      </c>
      <c r="D85" s="681">
        <f>26+10</f>
        <v>36</v>
      </c>
      <c r="E85" s="681">
        <f t="shared" si="14"/>
        <v>36</v>
      </c>
      <c r="F85" s="680">
        <v>0</v>
      </c>
      <c r="G85" s="681">
        <v>154</v>
      </c>
      <c r="H85" s="681">
        <f t="shared" ref="H85:H90" si="16">G85+F85</f>
        <v>154</v>
      </c>
      <c r="I85" s="682" t="s">
        <v>56</v>
      </c>
      <c r="J85" s="683">
        <v>654</v>
      </c>
      <c r="K85" s="693">
        <f t="shared" si="15"/>
        <v>654</v>
      </c>
      <c r="L85" s="1129" t="s">
        <v>1722</v>
      </c>
      <c r="M85" s="878">
        <v>54</v>
      </c>
      <c r="N85"/>
      <c r="O85"/>
      <c r="P85"/>
      <c r="Q85"/>
      <c r="R85"/>
      <c r="S85"/>
      <c r="T85"/>
      <c r="U85"/>
      <c r="V85"/>
      <c r="W85"/>
      <c r="X85"/>
      <c r="Y85"/>
      <c r="Z85"/>
    </row>
    <row r="86" spans="1:26" ht="30" customHeight="1">
      <c r="A86" s="396">
        <v>55</v>
      </c>
      <c r="B86" s="241" t="s">
        <v>1430</v>
      </c>
      <c r="C86" s="164">
        <v>0</v>
      </c>
      <c r="D86" s="165">
        <v>31</v>
      </c>
      <c r="E86" s="165">
        <f t="shared" si="14"/>
        <v>31</v>
      </c>
      <c r="F86" s="164">
        <v>0</v>
      </c>
      <c r="G86" s="165">
        <v>54</v>
      </c>
      <c r="H86" s="169">
        <f t="shared" si="16"/>
        <v>54</v>
      </c>
      <c r="I86" s="167" t="s">
        <v>56</v>
      </c>
      <c r="J86" s="168">
        <v>179</v>
      </c>
      <c r="K86" s="202">
        <f t="shared" si="15"/>
        <v>179</v>
      </c>
      <c r="L86" s="1133" t="s">
        <v>1723</v>
      </c>
      <c r="M86" s="879">
        <v>55</v>
      </c>
    </row>
    <row r="87" spans="1:26" s="639" customFormat="1" ht="30" customHeight="1">
      <c r="A87" s="325">
        <v>56</v>
      </c>
      <c r="B87" s="271" t="s">
        <v>1429</v>
      </c>
      <c r="C87" s="680">
        <v>0</v>
      </c>
      <c r="D87" s="681">
        <v>10</v>
      </c>
      <c r="E87" s="681">
        <f t="shared" si="14"/>
        <v>10</v>
      </c>
      <c r="F87" s="680">
        <v>0</v>
      </c>
      <c r="G87" s="681" t="s">
        <v>56</v>
      </c>
      <c r="H87" s="681" t="s">
        <v>43</v>
      </c>
      <c r="I87" s="682" t="s">
        <v>56</v>
      </c>
      <c r="J87" s="683">
        <v>101</v>
      </c>
      <c r="K87" s="693">
        <f t="shared" si="15"/>
        <v>101</v>
      </c>
      <c r="L87" s="1129" t="s">
        <v>1724</v>
      </c>
      <c r="M87" s="878">
        <v>56</v>
      </c>
      <c r="N87"/>
      <c r="O87"/>
      <c r="P87"/>
      <c r="Q87"/>
      <c r="R87"/>
      <c r="S87"/>
      <c r="T87"/>
      <c r="U87"/>
      <c r="V87"/>
      <c r="W87"/>
      <c r="X87"/>
      <c r="Y87"/>
      <c r="Z87"/>
    </row>
    <row r="88" spans="1:26" s="100" customFormat="1" ht="30" customHeight="1">
      <c r="A88" s="396">
        <v>57</v>
      </c>
      <c r="B88" s="241" t="s">
        <v>1428</v>
      </c>
      <c r="C88" s="164">
        <v>0</v>
      </c>
      <c r="D88" s="165">
        <f>17+12</f>
        <v>29</v>
      </c>
      <c r="E88" s="165">
        <f t="shared" si="14"/>
        <v>29</v>
      </c>
      <c r="F88" s="164">
        <v>0</v>
      </c>
      <c r="G88" s="165">
        <v>27</v>
      </c>
      <c r="H88" s="169">
        <f t="shared" si="16"/>
        <v>27</v>
      </c>
      <c r="I88" s="167" t="s">
        <v>56</v>
      </c>
      <c r="J88" s="168">
        <v>195</v>
      </c>
      <c r="K88" s="202">
        <f t="shared" si="15"/>
        <v>195</v>
      </c>
      <c r="L88" s="1133" t="s">
        <v>1725</v>
      </c>
      <c r="M88" s="879">
        <v>57</v>
      </c>
      <c r="N88"/>
      <c r="O88"/>
      <c r="P88"/>
      <c r="Q88"/>
      <c r="R88"/>
      <c r="S88"/>
      <c r="T88"/>
      <c r="U88"/>
      <c r="V88"/>
      <c r="W88"/>
      <c r="X88"/>
      <c r="Y88"/>
      <c r="Z88"/>
    </row>
    <row r="89" spans="1:26" s="639" customFormat="1" ht="37.5" customHeight="1">
      <c r="A89" s="325">
        <v>58</v>
      </c>
      <c r="B89" s="239" t="s">
        <v>1427</v>
      </c>
      <c r="C89" s="680">
        <v>0</v>
      </c>
      <c r="D89" s="681">
        <f>31+21</f>
        <v>52</v>
      </c>
      <c r="E89" s="690">
        <f t="shared" si="14"/>
        <v>52</v>
      </c>
      <c r="F89" s="680">
        <v>0</v>
      </c>
      <c r="G89" s="681">
        <v>5</v>
      </c>
      <c r="H89" s="690">
        <f t="shared" si="16"/>
        <v>5</v>
      </c>
      <c r="I89" s="682">
        <v>36</v>
      </c>
      <c r="J89" s="683">
        <v>1169</v>
      </c>
      <c r="K89" s="693">
        <f>J89+I89</f>
        <v>1205</v>
      </c>
      <c r="L89" s="1147" t="s">
        <v>1817</v>
      </c>
      <c r="M89" s="878">
        <v>58</v>
      </c>
      <c r="N89"/>
      <c r="O89"/>
      <c r="P89"/>
      <c r="Q89"/>
      <c r="R89"/>
      <c r="S89"/>
      <c r="T89"/>
      <c r="U89"/>
      <c r="V89"/>
      <c r="W89"/>
      <c r="X89"/>
      <c r="Y89"/>
      <c r="Z89"/>
    </row>
    <row r="90" spans="1:26" s="639" customFormat="1" ht="44.25" customHeight="1">
      <c r="A90" s="396">
        <v>59</v>
      </c>
      <c r="B90" s="241" t="s">
        <v>1426</v>
      </c>
      <c r="C90" s="164">
        <v>0</v>
      </c>
      <c r="D90" s="165">
        <f>24+38</f>
        <v>62</v>
      </c>
      <c r="E90" s="165">
        <f t="shared" si="14"/>
        <v>62</v>
      </c>
      <c r="F90" s="164">
        <v>0</v>
      </c>
      <c r="G90" s="165">
        <v>161</v>
      </c>
      <c r="H90" s="165">
        <f t="shared" si="16"/>
        <v>161</v>
      </c>
      <c r="I90" s="167" t="s">
        <v>56</v>
      </c>
      <c r="J90" s="168">
        <v>1223</v>
      </c>
      <c r="K90" s="202">
        <f t="shared" si="15"/>
        <v>1223</v>
      </c>
      <c r="L90" s="1133" t="s">
        <v>1816</v>
      </c>
      <c r="M90" s="954">
        <v>59</v>
      </c>
      <c r="N90"/>
      <c r="O90"/>
      <c r="P90"/>
      <c r="Q90"/>
      <c r="R90"/>
      <c r="S90"/>
      <c r="T90"/>
      <c r="U90"/>
      <c r="V90"/>
      <c r="W90"/>
      <c r="X90"/>
      <c r="Y90"/>
      <c r="Z90"/>
    </row>
    <row r="91" spans="1:26" ht="30" customHeight="1">
      <c r="A91" s="664">
        <v>60</v>
      </c>
      <c r="B91" s="801" t="s">
        <v>1425</v>
      </c>
      <c r="C91" s="684">
        <v>0</v>
      </c>
      <c r="D91" s="685" t="s">
        <v>56</v>
      </c>
      <c r="E91" s="685" t="s">
        <v>43</v>
      </c>
      <c r="F91" s="1196">
        <v>0</v>
      </c>
      <c r="G91" s="1195" t="s">
        <v>56</v>
      </c>
      <c r="H91" s="685" t="s">
        <v>56</v>
      </c>
      <c r="I91" s="1194" t="s">
        <v>56</v>
      </c>
      <c r="J91" s="1193" t="s">
        <v>56</v>
      </c>
      <c r="K91" s="1116" t="s">
        <v>56</v>
      </c>
      <c r="L91" s="1115" t="s">
        <v>1726</v>
      </c>
      <c r="M91" s="1114">
        <v>60</v>
      </c>
    </row>
    <row r="92" spans="1:26" ht="18" hidden="1" customHeight="1">
      <c r="A92" s="1419" t="s">
        <v>1339</v>
      </c>
      <c r="B92" s="1419"/>
      <c r="C92" s="523"/>
      <c r="D92" s="524"/>
      <c r="E92" s="524"/>
      <c r="F92" s="524"/>
      <c r="G92" s="524"/>
      <c r="H92" s="524"/>
      <c r="I92" s="524"/>
      <c r="J92" s="1477" t="s">
        <v>1338</v>
      </c>
      <c r="K92" s="1477"/>
      <c r="L92" s="1477"/>
      <c r="M92" s="1477"/>
    </row>
    <row r="93" spans="1:26" ht="15" hidden="1" customHeight="1">
      <c r="A93" s="1419"/>
      <c r="B93" s="1419"/>
      <c r="C93" s="523"/>
      <c r="D93" s="524"/>
      <c r="E93" s="524"/>
      <c r="F93" s="524"/>
      <c r="G93" s="524"/>
      <c r="H93" s="524"/>
      <c r="I93" s="524"/>
      <c r="J93" s="328"/>
      <c r="K93" s="328"/>
      <c r="L93" s="1477" t="s">
        <v>1490</v>
      </c>
      <c r="M93" s="1477"/>
    </row>
    <row r="94" spans="1:26" ht="18" hidden="1" customHeight="1">
      <c r="A94" s="1327" t="s">
        <v>621</v>
      </c>
      <c r="B94" s="1343" t="s">
        <v>1598</v>
      </c>
      <c r="C94" s="1511" t="s">
        <v>1337</v>
      </c>
      <c r="D94" s="1512"/>
      <c r="E94" s="1513"/>
      <c r="F94" s="1511" t="s">
        <v>1336</v>
      </c>
      <c r="G94" s="1512"/>
      <c r="H94" s="1513"/>
      <c r="I94" s="1511" t="s">
        <v>253</v>
      </c>
      <c r="J94" s="1512"/>
      <c r="K94" s="1513"/>
      <c r="L94" s="1438" t="s">
        <v>1597</v>
      </c>
      <c r="M94" s="1563" t="s">
        <v>727</v>
      </c>
    </row>
    <row r="95" spans="1:26" ht="18" hidden="1" customHeight="1">
      <c r="A95" s="1328"/>
      <c r="B95" s="1266"/>
      <c r="C95" s="1505" t="s">
        <v>138</v>
      </c>
      <c r="D95" s="1506"/>
      <c r="E95" s="1507"/>
      <c r="F95" s="1505" t="s">
        <v>1335</v>
      </c>
      <c r="G95" s="1506"/>
      <c r="H95" s="1507"/>
      <c r="I95" s="1505" t="s">
        <v>137</v>
      </c>
      <c r="J95" s="1506"/>
      <c r="K95" s="1507"/>
      <c r="L95" s="1439"/>
      <c r="M95" s="1564"/>
    </row>
    <row r="96" spans="1:26" ht="18" hidden="1" customHeight="1">
      <c r="A96" s="1328"/>
      <c r="B96" s="1266"/>
      <c r="C96" s="1109" t="s">
        <v>278</v>
      </c>
      <c r="D96" s="1109" t="s">
        <v>1334</v>
      </c>
      <c r="E96" s="1205" t="s">
        <v>1333</v>
      </c>
      <c r="F96" s="1109" t="s">
        <v>278</v>
      </c>
      <c r="G96" s="1109" t="s">
        <v>1334</v>
      </c>
      <c r="H96" s="1205" t="s">
        <v>1333</v>
      </c>
      <c r="I96" s="1109" t="s">
        <v>278</v>
      </c>
      <c r="J96" s="1109" t="s">
        <v>1334</v>
      </c>
      <c r="K96" s="1205" t="s">
        <v>1333</v>
      </c>
      <c r="L96" s="1439"/>
      <c r="M96" s="1564"/>
    </row>
    <row r="97" spans="1:26" ht="18" hidden="1" customHeight="1">
      <c r="A97" s="1328"/>
      <c r="B97" s="1266"/>
      <c r="C97" s="971" t="s">
        <v>673</v>
      </c>
      <c r="D97" s="971" t="s">
        <v>13</v>
      </c>
      <c r="E97" s="971" t="s">
        <v>61</v>
      </c>
      <c r="F97" s="971" t="s">
        <v>673</v>
      </c>
      <c r="G97" s="971" t="s">
        <v>13</v>
      </c>
      <c r="H97" s="971" t="s">
        <v>61</v>
      </c>
      <c r="I97" s="971" t="s">
        <v>673</v>
      </c>
      <c r="J97" s="971" t="s">
        <v>13</v>
      </c>
      <c r="K97" s="971" t="s">
        <v>61</v>
      </c>
      <c r="L97" s="1439"/>
      <c r="M97" s="1564"/>
    </row>
    <row r="98" spans="1:26" ht="18" hidden="1" customHeight="1">
      <c r="A98" s="1329"/>
      <c r="B98" s="1267"/>
      <c r="C98" s="1206" t="s">
        <v>162</v>
      </c>
      <c r="D98" s="1206" t="s">
        <v>163</v>
      </c>
      <c r="E98" s="971" t="s">
        <v>1332</v>
      </c>
      <c r="F98" s="1206" t="s">
        <v>162</v>
      </c>
      <c r="G98" s="1206" t="s">
        <v>163</v>
      </c>
      <c r="H98" s="971" t="s">
        <v>1332</v>
      </c>
      <c r="I98" s="1206" t="s">
        <v>162</v>
      </c>
      <c r="J98" s="1206" t="s">
        <v>163</v>
      </c>
      <c r="K98" s="971" t="s">
        <v>1332</v>
      </c>
      <c r="L98" s="1462"/>
      <c r="M98" s="1565"/>
    </row>
    <row r="99" spans="1:26" ht="28" customHeight="1">
      <c r="A99" s="848"/>
      <c r="B99" s="843" t="s">
        <v>1424</v>
      </c>
      <c r="C99" s="1184"/>
      <c r="D99" s="1183"/>
      <c r="E99" s="1183"/>
      <c r="F99" s="1184"/>
      <c r="G99" s="1183"/>
      <c r="H99" s="1182"/>
      <c r="I99" s="844"/>
      <c r="J99" s="845"/>
      <c r="K99" s="846"/>
      <c r="L99" s="1138" t="s">
        <v>1423</v>
      </c>
      <c r="M99" s="1137"/>
    </row>
    <row r="100" spans="1:26" s="639" customFormat="1" ht="28" customHeight="1">
      <c r="A100" s="396">
        <v>61</v>
      </c>
      <c r="B100" s="241" t="s">
        <v>1422</v>
      </c>
      <c r="C100" s="164">
        <v>0</v>
      </c>
      <c r="D100" s="165">
        <f>19+17</f>
        <v>36</v>
      </c>
      <c r="E100" s="165">
        <f>D100+C100</f>
        <v>36</v>
      </c>
      <c r="F100" s="164">
        <v>0</v>
      </c>
      <c r="G100" s="165" t="s">
        <v>56</v>
      </c>
      <c r="H100" s="165" t="s">
        <v>56</v>
      </c>
      <c r="I100" s="167">
        <v>16</v>
      </c>
      <c r="J100" s="168">
        <v>269</v>
      </c>
      <c r="K100" s="202">
        <f>J100+I100</f>
        <v>285</v>
      </c>
      <c r="L100" s="1133" t="s">
        <v>1727</v>
      </c>
      <c r="M100" s="954">
        <v>61</v>
      </c>
      <c r="N100"/>
      <c r="O100"/>
      <c r="P100"/>
      <c r="Q100"/>
      <c r="R100"/>
      <c r="S100"/>
      <c r="T100"/>
      <c r="U100"/>
      <c r="V100"/>
      <c r="W100"/>
      <c r="X100"/>
      <c r="Y100"/>
      <c r="Z100"/>
    </row>
    <row r="101" spans="1:26" s="100" customFormat="1" ht="28" customHeight="1">
      <c r="A101" s="848"/>
      <c r="B101" s="843" t="s">
        <v>1421</v>
      </c>
      <c r="C101" s="1184"/>
      <c r="D101" s="1183"/>
      <c r="E101" s="1183"/>
      <c r="F101" s="1184"/>
      <c r="G101" s="1183"/>
      <c r="H101" s="1182"/>
      <c r="I101" s="844"/>
      <c r="J101" s="845"/>
      <c r="K101" s="846"/>
      <c r="L101" s="1138" t="s">
        <v>1420</v>
      </c>
      <c r="M101" s="1137"/>
      <c r="N101"/>
      <c r="O101"/>
      <c r="P101"/>
      <c r="Q101"/>
      <c r="R101"/>
      <c r="S101"/>
      <c r="T101"/>
      <c r="U101"/>
      <c r="V101"/>
      <c r="W101"/>
      <c r="X101"/>
      <c r="Y101"/>
      <c r="Z101"/>
    </row>
    <row r="102" spans="1:26" s="639" customFormat="1" ht="28" customHeight="1">
      <c r="A102" s="396">
        <v>62</v>
      </c>
      <c r="B102" s="241" t="s">
        <v>1419</v>
      </c>
      <c r="C102" s="164">
        <v>0</v>
      </c>
      <c r="D102" s="165">
        <f>12+31</f>
        <v>43</v>
      </c>
      <c r="E102" s="165">
        <f>D102+C102</f>
        <v>43</v>
      </c>
      <c r="F102" s="164">
        <v>0</v>
      </c>
      <c r="G102" s="165">
        <v>70</v>
      </c>
      <c r="H102" s="165">
        <f>G102+F102</f>
        <v>70</v>
      </c>
      <c r="I102" s="167" t="s">
        <v>56</v>
      </c>
      <c r="J102" s="168">
        <v>187</v>
      </c>
      <c r="K102" s="202">
        <f>J102</f>
        <v>187</v>
      </c>
      <c r="L102" s="1133" t="s">
        <v>1815</v>
      </c>
      <c r="M102" s="954">
        <v>62</v>
      </c>
      <c r="N102"/>
      <c r="O102"/>
      <c r="P102"/>
      <c r="Q102"/>
      <c r="R102"/>
      <c r="S102"/>
      <c r="T102"/>
      <c r="U102"/>
      <c r="V102"/>
      <c r="W102"/>
      <c r="X102"/>
      <c r="Y102"/>
      <c r="Z102"/>
    </row>
    <row r="103" spans="1:26" ht="28" customHeight="1">
      <c r="A103" s="848"/>
      <c r="B103" s="843" t="s">
        <v>105</v>
      </c>
      <c r="C103" s="1184"/>
      <c r="D103" s="1183"/>
      <c r="E103" s="1183"/>
      <c r="F103" s="1184"/>
      <c r="G103" s="1183"/>
      <c r="H103" s="1182"/>
      <c r="I103" s="844"/>
      <c r="J103" s="845"/>
      <c r="K103" s="846"/>
      <c r="L103" s="1138" t="s">
        <v>1418</v>
      </c>
      <c r="M103" s="1137"/>
    </row>
    <row r="104" spans="1:26" s="639" customFormat="1" ht="28" customHeight="1">
      <c r="A104" s="396">
        <v>63</v>
      </c>
      <c r="B104" s="241" t="s">
        <v>1417</v>
      </c>
      <c r="C104" s="164">
        <v>0</v>
      </c>
      <c r="D104" s="165">
        <v>38</v>
      </c>
      <c r="E104" s="165">
        <f t="shared" ref="E104:E109" si="17">D104+C104</f>
        <v>38</v>
      </c>
      <c r="F104" s="164">
        <v>0</v>
      </c>
      <c r="G104" s="165">
        <v>215</v>
      </c>
      <c r="H104" s="165">
        <f t="shared" ref="H104:H109" si="18">G104+F104</f>
        <v>215</v>
      </c>
      <c r="I104" s="167" t="s">
        <v>56</v>
      </c>
      <c r="J104" s="168">
        <v>1100</v>
      </c>
      <c r="K104" s="202">
        <f t="shared" ref="K104:K105" si="19">J104</f>
        <v>1100</v>
      </c>
      <c r="L104" s="1133" t="s">
        <v>1800</v>
      </c>
      <c r="M104" s="954">
        <v>63</v>
      </c>
      <c r="N104"/>
      <c r="O104"/>
      <c r="P104"/>
      <c r="Q104"/>
      <c r="R104"/>
      <c r="S104"/>
      <c r="T104"/>
      <c r="U104"/>
      <c r="V104"/>
      <c r="W104"/>
      <c r="X104"/>
      <c r="Y104"/>
      <c r="Z104"/>
    </row>
    <row r="105" spans="1:26" ht="28" customHeight="1">
      <c r="A105" s="325">
        <v>64</v>
      </c>
      <c r="B105" s="271" t="s">
        <v>1416</v>
      </c>
      <c r="C105" s="680">
        <v>0</v>
      </c>
      <c r="D105" s="681">
        <f>53+5</f>
        <v>58</v>
      </c>
      <c r="E105" s="681">
        <f t="shared" si="17"/>
        <v>58</v>
      </c>
      <c r="F105" s="680">
        <v>0</v>
      </c>
      <c r="G105" s="681">
        <v>221</v>
      </c>
      <c r="H105" s="690">
        <f t="shared" si="18"/>
        <v>221</v>
      </c>
      <c r="I105" s="682" t="s">
        <v>56</v>
      </c>
      <c r="J105" s="683">
        <v>1275</v>
      </c>
      <c r="K105" s="693">
        <f t="shared" si="19"/>
        <v>1275</v>
      </c>
      <c r="L105" s="1129" t="s">
        <v>1801</v>
      </c>
      <c r="M105" s="1128">
        <v>64</v>
      </c>
    </row>
    <row r="106" spans="1:26" s="639" customFormat="1" ht="28" customHeight="1">
      <c r="A106" s="396">
        <v>65</v>
      </c>
      <c r="B106" s="241" t="s">
        <v>1415</v>
      </c>
      <c r="C106" s="164">
        <v>0</v>
      </c>
      <c r="D106" s="165">
        <f>29+32</f>
        <v>61</v>
      </c>
      <c r="E106" s="165">
        <f t="shared" si="17"/>
        <v>61</v>
      </c>
      <c r="F106" s="164">
        <v>0</v>
      </c>
      <c r="G106" s="165">
        <v>279</v>
      </c>
      <c r="H106" s="165">
        <f t="shared" si="18"/>
        <v>279</v>
      </c>
      <c r="I106" s="167">
        <v>32</v>
      </c>
      <c r="J106" s="168">
        <v>1566</v>
      </c>
      <c r="K106" s="202">
        <f t="shared" ref="K106:K108" si="20">J106+I106</f>
        <v>1598</v>
      </c>
      <c r="L106" s="1133" t="s">
        <v>1728</v>
      </c>
      <c r="M106" s="954">
        <v>65</v>
      </c>
      <c r="N106"/>
      <c r="O106"/>
      <c r="P106"/>
      <c r="Q106"/>
      <c r="R106"/>
      <c r="S106"/>
      <c r="T106"/>
      <c r="U106"/>
      <c r="V106"/>
      <c r="W106"/>
      <c r="X106"/>
      <c r="Y106"/>
      <c r="Z106"/>
    </row>
    <row r="107" spans="1:26" ht="28" customHeight="1">
      <c r="A107" s="325">
        <v>66</v>
      </c>
      <c r="B107" s="271" t="s">
        <v>1414</v>
      </c>
      <c r="C107" s="680">
        <v>0</v>
      </c>
      <c r="D107" s="681">
        <f>37+66</f>
        <v>103</v>
      </c>
      <c r="E107" s="681">
        <f t="shared" si="17"/>
        <v>103</v>
      </c>
      <c r="F107" s="680">
        <v>0</v>
      </c>
      <c r="G107" s="681">
        <v>211</v>
      </c>
      <c r="H107" s="690">
        <f t="shared" si="18"/>
        <v>211</v>
      </c>
      <c r="I107" s="682">
        <v>54</v>
      </c>
      <c r="J107" s="683">
        <v>1543</v>
      </c>
      <c r="K107" s="693">
        <f t="shared" si="20"/>
        <v>1597</v>
      </c>
      <c r="L107" s="1129" t="s">
        <v>1729</v>
      </c>
      <c r="M107" s="1128">
        <v>66</v>
      </c>
    </row>
    <row r="108" spans="1:26" s="639" customFormat="1" ht="28" customHeight="1">
      <c r="A108" s="396">
        <v>67</v>
      </c>
      <c r="B108" s="241" t="s">
        <v>1413</v>
      </c>
      <c r="C108" s="164">
        <v>0</v>
      </c>
      <c r="D108" s="165">
        <f>45+40</f>
        <v>85</v>
      </c>
      <c r="E108" s="165">
        <f t="shared" si="17"/>
        <v>85</v>
      </c>
      <c r="F108" s="164">
        <v>0</v>
      </c>
      <c r="G108" s="165">
        <v>389</v>
      </c>
      <c r="H108" s="165">
        <f t="shared" si="18"/>
        <v>389</v>
      </c>
      <c r="I108" s="167">
        <v>38</v>
      </c>
      <c r="J108" s="168">
        <v>2327</v>
      </c>
      <c r="K108" s="202">
        <f t="shared" si="20"/>
        <v>2365</v>
      </c>
      <c r="L108" s="1133" t="s">
        <v>1730</v>
      </c>
      <c r="M108" s="954">
        <v>67</v>
      </c>
      <c r="N108"/>
      <c r="O108"/>
      <c r="P108"/>
      <c r="Q108"/>
      <c r="R108"/>
      <c r="S108"/>
      <c r="T108"/>
      <c r="U108"/>
      <c r="V108"/>
      <c r="W108"/>
      <c r="X108"/>
      <c r="Y108"/>
      <c r="Z108"/>
    </row>
    <row r="109" spans="1:26" ht="28" customHeight="1">
      <c r="A109" s="325">
        <v>68</v>
      </c>
      <c r="B109" s="271" t="s">
        <v>1412</v>
      </c>
      <c r="C109" s="680">
        <v>0</v>
      </c>
      <c r="D109" s="681">
        <f>47+10</f>
        <v>57</v>
      </c>
      <c r="E109" s="690">
        <f t="shared" si="17"/>
        <v>57</v>
      </c>
      <c r="F109" s="680">
        <v>0</v>
      </c>
      <c r="G109" s="681">
        <v>565</v>
      </c>
      <c r="H109" s="690">
        <f t="shared" si="18"/>
        <v>565</v>
      </c>
      <c r="I109" s="682" t="s">
        <v>56</v>
      </c>
      <c r="J109" s="683">
        <v>1873</v>
      </c>
      <c r="K109" s="693">
        <f>J109</f>
        <v>1873</v>
      </c>
      <c r="L109" s="1129" t="s">
        <v>1731</v>
      </c>
      <c r="M109" s="1128">
        <v>68</v>
      </c>
    </row>
    <row r="110" spans="1:26" s="639" customFormat="1" ht="28" customHeight="1">
      <c r="A110" s="604"/>
      <c r="B110" s="490" t="s">
        <v>108</v>
      </c>
      <c r="C110" s="531"/>
      <c r="D110" s="623"/>
      <c r="E110" s="623"/>
      <c r="F110" s="531"/>
      <c r="G110" s="623"/>
      <c r="H110" s="1167"/>
      <c r="I110" s="624"/>
      <c r="J110" s="625"/>
      <c r="K110" s="626"/>
      <c r="L110" s="1163" t="s">
        <v>1411</v>
      </c>
      <c r="M110" s="604"/>
      <c r="N110"/>
      <c r="O110"/>
      <c r="P110"/>
      <c r="Q110"/>
      <c r="R110"/>
      <c r="S110"/>
      <c r="T110"/>
      <c r="U110"/>
      <c r="V110"/>
      <c r="W110"/>
      <c r="X110"/>
      <c r="Y110"/>
      <c r="Z110"/>
    </row>
    <row r="111" spans="1:26" ht="28" customHeight="1">
      <c r="A111" s="325">
        <v>69</v>
      </c>
      <c r="B111" s="271" t="s">
        <v>1410</v>
      </c>
      <c r="C111" s="680">
        <v>0</v>
      </c>
      <c r="D111" s="681">
        <f>49+29</f>
        <v>78</v>
      </c>
      <c r="E111" s="681">
        <f>D111+C111</f>
        <v>78</v>
      </c>
      <c r="F111" s="680">
        <v>0</v>
      </c>
      <c r="G111" s="681">
        <v>40</v>
      </c>
      <c r="H111" s="690">
        <f>G111+F111</f>
        <v>40</v>
      </c>
      <c r="I111" s="682" t="s">
        <v>56</v>
      </c>
      <c r="J111" s="683">
        <v>629</v>
      </c>
      <c r="K111" s="693">
        <f>J111</f>
        <v>629</v>
      </c>
      <c r="L111" s="1129" t="s">
        <v>1802</v>
      </c>
      <c r="M111" s="1128">
        <v>69</v>
      </c>
    </row>
    <row r="112" spans="1:26" ht="28" customHeight="1">
      <c r="A112" s="396">
        <v>70</v>
      </c>
      <c r="B112" s="241" t="s">
        <v>1409</v>
      </c>
      <c r="C112" s="164">
        <v>0</v>
      </c>
      <c r="D112" s="165">
        <f>30+37</f>
        <v>67</v>
      </c>
      <c r="E112" s="165">
        <f>D112+C112</f>
        <v>67</v>
      </c>
      <c r="F112" s="164">
        <v>0</v>
      </c>
      <c r="G112" s="165">
        <v>61</v>
      </c>
      <c r="H112" s="165">
        <f>G112+F112</f>
        <v>61</v>
      </c>
      <c r="I112" s="167" t="s">
        <v>56</v>
      </c>
      <c r="J112" s="168">
        <v>348</v>
      </c>
      <c r="K112" s="202">
        <f t="shared" ref="K112:K113" si="21">J112</f>
        <v>348</v>
      </c>
      <c r="L112" s="1133" t="s">
        <v>1732</v>
      </c>
      <c r="M112" s="954">
        <v>70</v>
      </c>
    </row>
    <row r="113" spans="1:26" s="639" customFormat="1" ht="28" customHeight="1">
      <c r="A113" s="664">
        <v>71</v>
      </c>
      <c r="B113" s="801" t="s">
        <v>1408</v>
      </c>
      <c r="C113" s="684">
        <f>12+10</f>
        <v>22</v>
      </c>
      <c r="D113" s="685">
        <f>27+18</f>
        <v>45</v>
      </c>
      <c r="E113" s="685">
        <f>D113+C113</f>
        <v>67</v>
      </c>
      <c r="F113" s="684">
        <v>0</v>
      </c>
      <c r="G113" s="685">
        <v>22</v>
      </c>
      <c r="H113" s="1171">
        <f>G113+F113</f>
        <v>22</v>
      </c>
      <c r="I113" s="1170" t="s">
        <v>56</v>
      </c>
      <c r="J113" s="1169">
        <v>360</v>
      </c>
      <c r="K113" s="1116">
        <f t="shared" si="21"/>
        <v>360</v>
      </c>
      <c r="L113" s="1115" t="s">
        <v>1733</v>
      </c>
      <c r="M113" s="1114">
        <v>71</v>
      </c>
      <c r="N113"/>
      <c r="O113"/>
      <c r="P113"/>
      <c r="Q113"/>
      <c r="R113"/>
      <c r="S113"/>
      <c r="T113"/>
      <c r="U113"/>
      <c r="V113"/>
      <c r="W113"/>
      <c r="X113"/>
      <c r="Y113"/>
      <c r="Z113"/>
    </row>
    <row r="114" spans="1:26" ht="18" hidden="1" customHeight="1">
      <c r="A114" s="1419" t="s">
        <v>1339</v>
      </c>
      <c r="B114" s="1419"/>
      <c r="C114" s="523"/>
      <c r="D114" s="524"/>
      <c r="E114" s="524"/>
      <c r="F114" s="524"/>
      <c r="G114" s="524"/>
      <c r="H114" s="524"/>
      <c r="I114" s="524"/>
      <c r="J114" s="1477" t="s">
        <v>1338</v>
      </c>
      <c r="K114" s="1477"/>
      <c r="L114" s="1477"/>
      <c r="M114" s="1477"/>
    </row>
    <row r="115" spans="1:26" ht="15" hidden="1" customHeight="1">
      <c r="A115" s="1419"/>
      <c r="B115" s="1419"/>
      <c r="C115" s="523"/>
      <c r="D115" s="524"/>
      <c r="E115" s="524"/>
      <c r="F115" s="524"/>
      <c r="G115" s="524"/>
      <c r="H115" s="524"/>
      <c r="I115" s="524"/>
      <c r="J115" s="328"/>
      <c r="K115" s="328"/>
      <c r="L115" s="1477" t="s">
        <v>1490</v>
      </c>
      <c r="M115" s="1477"/>
    </row>
    <row r="116" spans="1:26" ht="15" hidden="1" customHeight="1">
      <c r="A116" s="1327" t="s">
        <v>621</v>
      </c>
      <c r="B116" s="1343" t="s">
        <v>1598</v>
      </c>
      <c r="C116" s="1511" t="s">
        <v>1337</v>
      </c>
      <c r="D116" s="1512"/>
      <c r="E116" s="1513"/>
      <c r="F116" s="1511" t="s">
        <v>1336</v>
      </c>
      <c r="G116" s="1512"/>
      <c r="H116" s="1513"/>
      <c r="I116" s="1511" t="s">
        <v>253</v>
      </c>
      <c r="J116" s="1512"/>
      <c r="K116" s="1513"/>
      <c r="L116" s="1438" t="s">
        <v>1597</v>
      </c>
      <c r="M116" s="1563" t="s">
        <v>727</v>
      </c>
    </row>
    <row r="117" spans="1:26" ht="15" hidden="1" customHeight="1">
      <c r="A117" s="1328"/>
      <c r="B117" s="1266"/>
      <c r="C117" s="1505" t="s">
        <v>138</v>
      </c>
      <c r="D117" s="1506"/>
      <c r="E117" s="1507"/>
      <c r="F117" s="1505" t="s">
        <v>1335</v>
      </c>
      <c r="G117" s="1506"/>
      <c r="H117" s="1507"/>
      <c r="I117" s="1505" t="s">
        <v>137</v>
      </c>
      <c r="J117" s="1506"/>
      <c r="K117" s="1507"/>
      <c r="L117" s="1439"/>
      <c r="M117" s="1564"/>
    </row>
    <row r="118" spans="1:26" ht="15" hidden="1" customHeight="1">
      <c r="A118" s="1328"/>
      <c r="B118" s="1266"/>
      <c r="C118" s="1109" t="s">
        <v>278</v>
      </c>
      <c r="D118" s="1109" t="s">
        <v>1334</v>
      </c>
      <c r="E118" s="1205" t="s">
        <v>1333</v>
      </c>
      <c r="F118" s="1109" t="s">
        <v>278</v>
      </c>
      <c r="G118" s="1109" t="s">
        <v>1334</v>
      </c>
      <c r="H118" s="1205" t="s">
        <v>1333</v>
      </c>
      <c r="I118" s="1109" t="s">
        <v>278</v>
      </c>
      <c r="J118" s="1109" t="s">
        <v>1334</v>
      </c>
      <c r="K118" s="1205" t="s">
        <v>1333</v>
      </c>
      <c r="L118" s="1439"/>
      <c r="M118" s="1564"/>
    </row>
    <row r="119" spans="1:26" ht="15" hidden="1" customHeight="1">
      <c r="A119" s="1328"/>
      <c r="B119" s="1266"/>
      <c r="C119" s="971" t="s">
        <v>673</v>
      </c>
      <c r="D119" s="971" t="s">
        <v>13</v>
      </c>
      <c r="E119" s="971" t="s">
        <v>61</v>
      </c>
      <c r="F119" s="971" t="s">
        <v>673</v>
      </c>
      <c r="G119" s="971" t="s">
        <v>13</v>
      </c>
      <c r="H119" s="971" t="s">
        <v>61</v>
      </c>
      <c r="I119" s="971" t="s">
        <v>673</v>
      </c>
      <c r="J119" s="971" t="s">
        <v>13</v>
      </c>
      <c r="K119" s="971" t="s">
        <v>61</v>
      </c>
      <c r="L119" s="1439"/>
      <c r="M119" s="1564"/>
    </row>
    <row r="120" spans="1:26" ht="15" hidden="1" customHeight="1">
      <c r="A120" s="1329"/>
      <c r="B120" s="1267"/>
      <c r="C120" s="1206" t="s">
        <v>162</v>
      </c>
      <c r="D120" s="1206" t="s">
        <v>163</v>
      </c>
      <c r="E120" s="971" t="s">
        <v>1332</v>
      </c>
      <c r="F120" s="1206" t="s">
        <v>162</v>
      </c>
      <c r="G120" s="1206" t="s">
        <v>163</v>
      </c>
      <c r="H120" s="971" t="s">
        <v>1332</v>
      </c>
      <c r="I120" s="1206" t="s">
        <v>162</v>
      </c>
      <c r="J120" s="1206" t="s">
        <v>163</v>
      </c>
      <c r="K120" s="971" t="s">
        <v>1332</v>
      </c>
      <c r="L120" s="1462"/>
      <c r="M120" s="1565"/>
    </row>
    <row r="121" spans="1:26" ht="23" customHeight="1">
      <c r="A121" s="604"/>
      <c r="B121" s="622" t="s">
        <v>1407</v>
      </c>
      <c r="C121" s="531"/>
      <c r="D121" s="623"/>
      <c r="E121" s="623"/>
      <c r="F121" s="531"/>
      <c r="G121" s="623"/>
      <c r="H121" s="623"/>
      <c r="I121" s="624"/>
      <c r="J121" s="625"/>
      <c r="K121" s="626"/>
      <c r="L121" s="1121" t="s">
        <v>1406</v>
      </c>
      <c r="M121" s="1120"/>
    </row>
    <row r="122" spans="1:26" s="639" customFormat="1" ht="28" customHeight="1">
      <c r="A122" s="325">
        <v>72</v>
      </c>
      <c r="B122" s="271" t="s">
        <v>1405</v>
      </c>
      <c r="C122" s="680">
        <v>0</v>
      </c>
      <c r="D122" s="681">
        <f>11+6</f>
        <v>17</v>
      </c>
      <c r="E122" s="681">
        <f>D122+C122</f>
        <v>17</v>
      </c>
      <c r="F122" s="680">
        <v>0</v>
      </c>
      <c r="G122" s="681">
        <v>34</v>
      </c>
      <c r="H122" s="690">
        <f>G122+F122</f>
        <v>34</v>
      </c>
      <c r="I122" s="682" t="s">
        <v>56</v>
      </c>
      <c r="J122" s="683">
        <v>165</v>
      </c>
      <c r="K122" s="693">
        <f>J122</f>
        <v>165</v>
      </c>
      <c r="L122" s="1129" t="s">
        <v>1734</v>
      </c>
      <c r="M122" s="1128">
        <v>72</v>
      </c>
      <c r="N122"/>
      <c r="O122"/>
      <c r="P122"/>
      <c r="Q122"/>
      <c r="R122"/>
      <c r="S122"/>
      <c r="T122"/>
      <c r="U122"/>
      <c r="V122"/>
      <c r="W122"/>
      <c r="X122"/>
      <c r="Y122"/>
      <c r="Z122"/>
    </row>
    <row r="123" spans="1:26" ht="23" customHeight="1">
      <c r="A123" s="604"/>
      <c r="B123" s="622" t="s">
        <v>1404</v>
      </c>
      <c r="C123" s="531"/>
      <c r="D123" s="623"/>
      <c r="E123" s="623"/>
      <c r="F123" s="531"/>
      <c r="G123" s="623"/>
      <c r="H123" s="623"/>
      <c r="I123" s="624"/>
      <c r="J123" s="625"/>
      <c r="K123" s="626"/>
      <c r="L123" s="1121" t="s">
        <v>1403</v>
      </c>
      <c r="M123" s="1120"/>
    </row>
    <row r="124" spans="1:26" s="639" customFormat="1" ht="28" customHeight="1">
      <c r="A124" s="325">
        <v>73</v>
      </c>
      <c r="B124" s="271" t="s">
        <v>1402</v>
      </c>
      <c r="C124" s="680">
        <v>2</v>
      </c>
      <c r="D124" s="681">
        <f>18+38</f>
        <v>56</v>
      </c>
      <c r="E124" s="681">
        <f>D124+C124</f>
        <v>58</v>
      </c>
      <c r="F124" s="680">
        <v>0</v>
      </c>
      <c r="G124" s="681">
        <v>67</v>
      </c>
      <c r="H124" s="690">
        <f>G124+F124</f>
        <v>67</v>
      </c>
      <c r="I124" s="682">
        <v>12</v>
      </c>
      <c r="J124" s="683">
        <v>599</v>
      </c>
      <c r="K124" s="693">
        <f>J124+I124</f>
        <v>611</v>
      </c>
      <c r="L124" s="1129" t="s">
        <v>1814</v>
      </c>
      <c r="M124" s="1128">
        <v>73</v>
      </c>
      <c r="N124"/>
      <c r="O124"/>
      <c r="P124"/>
      <c r="Q124"/>
      <c r="R124"/>
      <c r="S124"/>
      <c r="T124"/>
      <c r="U124"/>
      <c r="V124"/>
      <c r="W124"/>
      <c r="X124"/>
      <c r="Y124"/>
      <c r="Z124"/>
    </row>
    <row r="125" spans="1:26" ht="28" customHeight="1">
      <c r="A125" s="396">
        <v>74</v>
      </c>
      <c r="B125" s="241" t="s">
        <v>1401</v>
      </c>
      <c r="C125" s="164">
        <v>0</v>
      </c>
      <c r="D125" s="165">
        <f>20+72</f>
        <v>92</v>
      </c>
      <c r="E125" s="165">
        <f>D125+C125</f>
        <v>92</v>
      </c>
      <c r="F125" s="164">
        <v>0</v>
      </c>
      <c r="G125" s="165">
        <v>81</v>
      </c>
      <c r="H125" s="169">
        <f>G125+F125</f>
        <v>81</v>
      </c>
      <c r="I125" s="167" t="s">
        <v>56</v>
      </c>
      <c r="J125" s="168">
        <v>505</v>
      </c>
      <c r="K125" s="202">
        <f t="shared" ref="K125:K128" si="22">J125</f>
        <v>505</v>
      </c>
      <c r="L125" s="1133" t="s">
        <v>1735</v>
      </c>
      <c r="M125" s="954">
        <v>74</v>
      </c>
    </row>
    <row r="126" spans="1:26" s="639" customFormat="1" ht="28" customHeight="1">
      <c r="A126" s="325">
        <v>75</v>
      </c>
      <c r="B126" s="271" t="s">
        <v>1400</v>
      </c>
      <c r="C126" s="680">
        <v>4</v>
      </c>
      <c r="D126" s="681">
        <f>11+14</f>
        <v>25</v>
      </c>
      <c r="E126" s="681">
        <f>D126+C126</f>
        <v>29</v>
      </c>
      <c r="F126" s="680">
        <v>0</v>
      </c>
      <c r="G126" s="681">
        <v>79</v>
      </c>
      <c r="H126" s="681">
        <f>G126+F126</f>
        <v>79</v>
      </c>
      <c r="I126" s="682" t="s">
        <v>56</v>
      </c>
      <c r="J126" s="683">
        <v>458</v>
      </c>
      <c r="K126" s="693">
        <f t="shared" si="22"/>
        <v>458</v>
      </c>
      <c r="L126" s="1129" t="s">
        <v>1736</v>
      </c>
      <c r="M126" s="1128">
        <v>75</v>
      </c>
      <c r="N126"/>
      <c r="O126"/>
      <c r="P126"/>
      <c r="Q126"/>
      <c r="R126"/>
      <c r="S126"/>
      <c r="T126"/>
      <c r="U126"/>
      <c r="V126"/>
      <c r="W126"/>
      <c r="X126"/>
      <c r="Y126"/>
      <c r="Z126"/>
    </row>
    <row r="127" spans="1:26" ht="23" customHeight="1">
      <c r="A127" s="604"/>
      <c r="B127" s="622" t="s">
        <v>1399</v>
      </c>
      <c r="C127" s="531"/>
      <c r="D127" s="623"/>
      <c r="E127" s="623"/>
      <c r="F127" s="531"/>
      <c r="G127" s="623"/>
      <c r="H127" s="1167"/>
      <c r="I127" s="624"/>
      <c r="J127" s="625"/>
      <c r="K127" s="626"/>
      <c r="L127" s="1121" t="s">
        <v>1398</v>
      </c>
      <c r="M127" s="1120"/>
    </row>
    <row r="128" spans="1:26" s="639" customFormat="1" ht="28" customHeight="1">
      <c r="A128" s="325">
        <v>76</v>
      </c>
      <c r="B128" s="239" t="s">
        <v>1397</v>
      </c>
      <c r="C128" s="680">
        <v>0</v>
      </c>
      <c r="D128" s="681">
        <f>23+3</f>
        <v>26</v>
      </c>
      <c r="E128" s="690">
        <f>D128+C128</f>
        <v>26</v>
      </c>
      <c r="F128" s="680">
        <v>0</v>
      </c>
      <c r="G128" s="681">
        <v>94</v>
      </c>
      <c r="H128" s="681">
        <f>G128+F128</f>
        <v>94</v>
      </c>
      <c r="I128" s="682" t="s">
        <v>56</v>
      </c>
      <c r="J128" s="683">
        <v>388</v>
      </c>
      <c r="K128" s="693">
        <f t="shared" si="22"/>
        <v>388</v>
      </c>
      <c r="L128" s="1129" t="s">
        <v>1737</v>
      </c>
      <c r="M128" s="1128">
        <v>76</v>
      </c>
      <c r="N128"/>
      <c r="O128"/>
      <c r="P128"/>
      <c r="Q128"/>
      <c r="R128"/>
      <c r="S128"/>
      <c r="T128"/>
      <c r="U128"/>
      <c r="V128"/>
      <c r="W128"/>
      <c r="X128"/>
      <c r="Y128"/>
      <c r="Z128"/>
    </row>
    <row r="129" spans="1:26" s="100" customFormat="1" ht="23" customHeight="1">
      <c r="A129" s="604"/>
      <c r="B129" s="622" t="s">
        <v>1396</v>
      </c>
      <c r="C129" s="531"/>
      <c r="D129" s="623"/>
      <c r="E129" s="623"/>
      <c r="F129" s="531"/>
      <c r="G129" s="623"/>
      <c r="H129" s="1167"/>
      <c r="I129" s="624"/>
      <c r="J129" s="625"/>
      <c r="K129" s="626"/>
      <c r="L129" s="1163" t="s">
        <v>1395</v>
      </c>
      <c r="M129" s="1148"/>
      <c r="N129"/>
      <c r="O129"/>
      <c r="P129"/>
      <c r="Q129"/>
      <c r="R129"/>
      <c r="S129"/>
      <c r="T129"/>
      <c r="U129"/>
      <c r="V129"/>
      <c r="W129"/>
      <c r="X129"/>
      <c r="Y129"/>
      <c r="Z129"/>
    </row>
    <row r="130" spans="1:26" s="639" customFormat="1" ht="28" customHeight="1">
      <c r="A130" s="325">
        <v>77</v>
      </c>
      <c r="B130" s="271" t="s">
        <v>1394</v>
      </c>
      <c r="C130" s="680">
        <v>0</v>
      </c>
      <c r="D130" s="681">
        <f>8+11</f>
        <v>19</v>
      </c>
      <c r="E130" s="681">
        <f>D130+C130</f>
        <v>19</v>
      </c>
      <c r="F130" s="680">
        <v>0</v>
      </c>
      <c r="G130" s="681">
        <v>11</v>
      </c>
      <c r="H130" s="681">
        <f>G130+F130</f>
        <v>11</v>
      </c>
      <c r="I130" s="682" t="s">
        <v>56</v>
      </c>
      <c r="J130" s="683">
        <v>119</v>
      </c>
      <c r="K130" s="693">
        <f>J130</f>
        <v>119</v>
      </c>
      <c r="L130" s="1129" t="s">
        <v>1813</v>
      </c>
      <c r="M130" s="1128">
        <v>77</v>
      </c>
      <c r="N130"/>
      <c r="O130"/>
      <c r="P130"/>
      <c r="Q130"/>
      <c r="R130"/>
      <c r="S130"/>
      <c r="T130"/>
      <c r="U130"/>
      <c r="V130"/>
      <c r="W130"/>
      <c r="X130"/>
      <c r="Y130"/>
      <c r="Z130"/>
    </row>
    <row r="131" spans="1:26" ht="28" customHeight="1">
      <c r="A131" s="396">
        <v>78</v>
      </c>
      <c r="B131" s="241" t="s">
        <v>1393</v>
      </c>
      <c r="C131" s="164">
        <v>0</v>
      </c>
      <c r="D131" s="165">
        <f>9+16</f>
        <v>25</v>
      </c>
      <c r="E131" s="165">
        <f>D131+C131</f>
        <v>25</v>
      </c>
      <c r="F131" s="164">
        <v>0</v>
      </c>
      <c r="G131" s="165">
        <v>36</v>
      </c>
      <c r="H131" s="169">
        <f>G131+F131</f>
        <v>36</v>
      </c>
      <c r="I131" s="167" t="s">
        <v>56</v>
      </c>
      <c r="J131" s="168">
        <v>319</v>
      </c>
      <c r="K131" s="202">
        <f t="shared" ref="K131:K132" si="23">J131</f>
        <v>319</v>
      </c>
      <c r="L131" s="1133" t="s">
        <v>1488</v>
      </c>
      <c r="M131" s="954">
        <v>78</v>
      </c>
    </row>
    <row r="132" spans="1:26" s="639" customFormat="1" ht="28" customHeight="1">
      <c r="A132" s="325">
        <v>79</v>
      </c>
      <c r="B132" s="271" t="s">
        <v>1392</v>
      </c>
      <c r="C132" s="680">
        <v>0</v>
      </c>
      <c r="D132" s="681">
        <f>20+30</f>
        <v>50</v>
      </c>
      <c r="E132" s="681">
        <f>D132+C132</f>
        <v>50</v>
      </c>
      <c r="F132" s="680">
        <v>0</v>
      </c>
      <c r="G132" s="681">
        <v>113</v>
      </c>
      <c r="H132" s="681">
        <f>G132+F132</f>
        <v>113</v>
      </c>
      <c r="I132" s="682" t="s">
        <v>56</v>
      </c>
      <c r="J132" s="683">
        <v>745</v>
      </c>
      <c r="K132" s="693">
        <f t="shared" si="23"/>
        <v>745</v>
      </c>
      <c r="L132" s="1129" t="s">
        <v>1738</v>
      </c>
      <c r="M132" s="1128">
        <v>79</v>
      </c>
      <c r="N132"/>
      <c r="O132"/>
      <c r="P132"/>
      <c r="Q132"/>
      <c r="R132"/>
      <c r="S132"/>
      <c r="T132"/>
      <c r="U132"/>
      <c r="V132"/>
      <c r="W132"/>
      <c r="X132"/>
      <c r="Y132"/>
      <c r="Z132"/>
    </row>
    <row r="133" spans="1:26" ht="28" customHeight="1">
      <c r="A133" s="396">
        <v>80</v>
      </c>
      <c r="B133" s="240" t="s">
        <v>1391</v>
      </c>
      <c r="C133" s="164">
        <v>0</v>
      </c>
      <c r="D133" s="165">
        <f>10+23</f>
        <v>33</v>
      </c>
      <c r="E133" s="165">
        <f>D133+C133</f>
        <v>33</v>
      </c>
      <c r="F133" s="164">
        <v>0</v>
      </c>
      <c r="G133" s="165">
        <v>122</v>
      </c>
      <c r="H133" s="169">
        <f>G133+F133</f>
        <v>122</v>
      </c>
      <c r="I133" s="167">
        <v>61</v>
      </c>
      <c r="J133" s="168">
        <v>1126</v>
      </c>
      <c r="K133" s="202">
        <f>J133+I133</f>
        <v>1187</v>
      </c>
      <c r="L133" s="1146" t="s">
        <v>1739</v>
      </c>
      <c r="M133" s="954">
        <v>80</v>
      </c>
    </row>
    <row r="134" spans="1:26" s="639" customFormat="1" ht="23" customHeight="1">
      <c r="A134" s="848"/>
      <c r="B134" s="843" t="s">
        <v>763</v>
      </c>
      <c r="C134" s="1184"/>
      <c r="D134" s="1183"/>
      <c r="E134" s="1182"/>
      <c r="F134" s="1184"/>
      <c r="G134" s="1183"/>
      <c r="H134" s="1182"/>
      <c r="I134" s="844"/>
      <c r="J134" s="845"/>
      <c r="K134" s="846"/>
      <c r="L134" s="1138" t="s">
        <v>729</v>
      </c>
      <c r="M134" s="848"/>
      <c r="N134"/>
      <c r="O134"/>
      <c r="P134"/>
      <c r="Q134"/>
      <c r="R134"/>
      <c r="S134"/>
      <c r="T134"/>
      <c r="U134"/>
      <c r="V134"/>
      <c r="W134"/>
      <c r="X134"/>
      <c r="Y134"/>
      <c r="Z134"/>
    </row>
    <row r="135" spans="1:26" ht="28" customHeight="1">
      <c r="A135" s="396">
        <v>81</v>
      </c>
      <c r="B135" s="240" t="s">
        <v>1390</v>
      </c>
      <c r="C135" s="164">
        <v>0</v>
      </c>
      <c r="D135" s="165">
        <f>12</f>
        <v>12</v>
      </c>
      <c r="E135" s="165">
        <f>D135+C135</f>
        <v>12</v>
      </c>
      <c r="F135" s="164">
        <v>0</v>
      </c>
      <c r="G135" s="165">
        <v>65</v>
      </c>
      <c r="H135" s="169">
        <f>G135+F135</f>
        <v>65</v>
      </c>
      <c r="I135" s="167" t="s">
        <v>56</v>
      </c>
      <c r="J135" s="168">
        <v>220</v>
      </c>
      <c r="K135" s="202">
        <f t="shared" ref="K135:K137" si="24">J135</f>
        <v>220</v>
      </c>
      <c r="L135" s="1133" t="s">
        <v>1740</v>
      </c>
      <c r="M135" s="954">
        <v>81</v>
      </c>
    </row>
    <row r="136" spans="1:26" s="639" customFormat="1" ht="23" customHeight="1">
      <c r="A136" s="848"/>
      <c r="B136" s="1186" t="s">
        <v>115</v>
      </c>
      <c r="C136" s="1185"/>
      <c r="D136" s="1143"/>
      <c r="E136" s="1192"/>
      <c r="F136" s="1184"/>
      <c r="G136" s="1183"/>
      <c r="H136" s="1182"/>
      <c r="I136" s="844"/>
      <c r="J136" s="845"/>
      <c r="K136" s="846"/>
      <c r="L136" s="1191" t="s">
        <v>1389</v>
      </c>
      <c r="M136" s="1190"/>
      <c r="N136"/>
      <c r="O136"/>
      <c r="P136"/>
      <c r="Q136"/>
      <c r="R136"/>
      <c r="S136"/>
      <c r="T136"/>
      <c r="U136"/>
      <c r="V136"/>
      <c r="W136"/>
      <c r="X136"/>
      <c r="Y136"/>
      <c r="Z136"/>
    </row>
    <row r="137" spans="1:26" ht="28" customHeight="1">
      <c r="A137" s="397">
        <v>82</v>
      </c>
      <c r="B137" s="1189" t="s">
        <v>1388</v>
      </c>
      <c r="C137" s="1188">
        <v>0</v>
      </c>
      <c r="D137" s="1187">
        <f>15+4</f>
        <v>19</v>
      </c>
      <c r="E137" s="1187">
        <f>D137+C137</f>
        <v>19</v>
      </c>
      <c r="F137" s="171">
        <v>0</v>
      </c>
      <c r="G137" s="172">
        <v>66</v>
      </c>
      <c r="H137" s="172">
        <f>G137+F137</f>
        <v>66</v>
      </c>
      <c r="I137" s="171" t="s">
        <v>56</v>
      </c>
      <c r="J137" s="172">
        <v>483</v>
      </c>
      <c r="K137" s="372">
        <f t="shared" si="24"/>
        <v>483</v>
      </c>
      <c r="L137" s="1155" t="s">
        <v>1741</v>
      </c>
      <c r="M137" s="955">
        <v>82</v>
      </c>
    </row>
    <row r="138" spans="1:26" ht="18" hidden="1" customHeight="1">
      <c r="A138" s="1419" t="s">
        <v>1339</v>
      </c>
      <c r="B138" s="1419"/>
      <c r="C138" s="523"/>
      <c r="D138" s="524"/>
      <c r="E138" s="524"/>
      <c r="F138" s="524"/>
      <c r="G138" s="524"/>
      <c r="H138" s="524"/>
      <c r="I138" s="524"/>
      <c r="J138" s="1477" t="s">
        <v>1338</v>
      </c>
      <c r="K138" s="1477"/>
      <c r="L138" s="1477"/>
      <c r="M138" s="1477"/>
    </row>
    <row r="139" spans="1:26" ht="15" hidden="1" customHeight="1">
      <c r="A139" s="1419"/>
      <c r="B139" s="1419"/>
      <c r="C139" s="523"/>
      <c r="D139" s="524"/>
      <c r="E139" s="524"/>
      <c r="F139" s="524"/>
      <c r="G139" s="524"/>
      <c r="H139" s="524"/>
      <c r="I139" s="524"/>
      <c r="J139" s="328"/>
      <c r="K139" s="328"/>
      <c r="L139" s="1477" t="s">
        <v>1490</v>
      </c>
      <c r="M139" s="1477"/>
    </row>
    <row r="140" spans="1:26" ht="18" hidden="1" customHeight="1">
      <c r="A140" s="1327" t="s">
        <v>621</v>
      </c>
      <c r="B140" s="1343" t="s">
        <v>1598</v>
      </c>
      <c r="C140" s="1511" t="s">
        <v>1337</v>
      </c>
      <c r="D140" s="1512"/>
      <c r="E140" s="1513"/>
      <c r="F140" s="1511" t="s">
        <v>1336</v>
      </c>
      <c r="G140" s="1512"/>
      <c r="H140" s="1513"/>
      <c r="I140" s="1511" t="s">
        <v>253</v>
      </c>
      <c r="J140" s="1512"/>
      <c r="K140" s="1513"/>
      <c r="L140" s="1438" t="s">
        <v>1597</v>
      </c>
      <c r="M140" s="1563" t="s">
        <v>727</v>
      </c>
    </row>
    <row r="141" spans="1:26" s="639" customFormat="1" ht="18" hidden="1" customHeight="1">
      <c r="A141" s="1328"/>
      <c r="B141" s="1266"/>
      <c r="C141" s="1505" t="s">
        <v>138</v>
      </c>
      <c r="D141" s="1506"/>
      <c r="E141" s="1507"/>
      <c r="F141" s="1505" t="s">
        <v>1335</v>
      </c>
      <c r="G141" s="1506"/>
      <c r="H141" s="1507"/>
      <c r="I141" s="1505" t="s">
        <v>137</v>
      </c>
      <c r="J141" s="1506"/>
      <c r="K141" s="1507"/>
      <c r="L141" s="1439"/>
      <c r="M141" s="1564"/>
      <c r="N141"/>
      <c r="O141"/>
      <c r="P141"/>
      <c r="Q141"/>
      <c r="R141"/>
      <c r="S141"/>
      <c r="T141"/>
      <c r="U141"/>
      <c r="V141"/>
      <c r="W141"/>
      <c r="X141"/>
      <c r="Y141"/>
      <c r="Z141"/>
    </row>
    <row r="142" spans="1:26" ht="18" hidden="1" customHeight="1">
      <c r="A142" s="1328"/>
      <c r="B142" s="1266"/>
      <c r="C142" s="1109" t="s">
        <v>278</v>
      </c>
      <c r="D142" s="1109" t="s">
        <v>1334</v>
      </c>
      <c r="E142" s="1205" t="s">
        <v>1333</v>
      </c>
      <c r="F142" s="1109" t="s">
        <v>278</v>
      </c>
      <c r="G142" s="1109" t="s">
        <v>1334</v>
      </c>
      <c r="H142" s="1205" t="s">
        <v>1333</v>
      </c>
      <c r="I142" s="1109" t="s">
        <v>278</v>
      </c>
      <c r="J142" s="1109" t="s">
        <v>1334</v>
      </c>
      <c r="K142" s="1205" t="s">
        <v>1333</v>
      </c>
      <c r="L142" s="1439"/>
      <c r="M142" s="1564"/>
    </row>
    <row r="143" spans="1:26" s="639" customFormat="1" ht="18" hidden="1" customHeight="1">
      <c r="A143" s="1328"/>
      <c r="B143" s="1266"/>
      <c r="C143" s="971" t="s">
        <v>673</v>
      </c>
      <c r="D143" s="971" t="s">
        <v>13</v>
      </c>
      <c r="E143" s="971" t="s">
        <v>61</v>
      </c>
      <c r="F143" s="971" t="s">
        <v>673</v>
      </c>
      <c r="G143" s="971" t="s">
        <v>13</v>
      </c>
      <c r="H143" s="971" t="s">
        <v>61</v>
      </c>
      <c r="I143" s="971" t="s">
        <v>673</v>
      </c>
      <c r="J143" s="971" t="s">
        <v>13</v>
      </c>
      <c r="K143" s="971" t="s">
        <v>61</v>
      </c>
      <c r="L143" s="1439"/>
      <c r="M143" s="1564"/>
      <c r="N143"/>
      <c r="O143"/>
      <c r="P143"/>
      <c r="Q143"/>
      <c r="R143"/>
      <c r="S143"/>
      <c r="T143"/>
      <c r="U143"/>
      <c r="V143"/>
      <c r="W143"/>
      <c r="X143"/>
      <c r="Y143"/>
      <c r="Z143"/>
    </row>
    <row r="144" spans="1:26" ht="18" hidden="1" customHeight="1">
      <c r="A144" s="1329"/>
      <c r="B144" s="1267"/>
      <c r="C144" s="1206" t="s">
        <v>162</v>
      </c>
      <c r="D144" s="1206" t="s">
        <v>163</v>
      </c>
      <c r="E144" s="971" t="s">
        <v>1332</v>
      </c>
      <c r="F144" s="1206" t="s">
        <v>162</v>
      </c>
      <c r="G144" s="1206" t="s">
        <v>163</v>
      </c>
      <c r="H144" s="971" t="s">
        <v>1332</v>
      </c>
      <c r="I144" s="1206" t="s">
        <v>162</v>
      </c>
      <c r="J144" s="1206" t="s">
        <v>163</v>
      </c>
      <c r="K144" s="971" t="s">
        <v>1332</v>
      </c>
      <c r="L144" s="1462"/>
      <c r="M144" s="1565"/>
    </row>
    <row r="145" spans="1:26" ht="22" customHeight="1">
      <c r="A145" s="848"/>
      <c r="B145" s="1186" t="s">
        <v>116</v>
      </c>
      <c r="C145" s="1185"/>
      <c r="D145" s="1143"/>
      <c r="E145" s="1143"/>
      <c r="F145" s="1184"/>
      <c r="G145" s="1183"/>
      <c r="H145" s="1182"/>
      <c r="I145" s="844"/>
      <c r="J145" s="845"/>
      <c r="K145" s="846"/>
      <c r="L145" s="1138" t="s">
        <v>1387</v>
      </c>
      <c r="M145" s="1137"/>
    </row>
    <row r="146" spans="1:26" s="639" customFormat="1" ht="29" customHeight="1">
      <c r="A146" s="396">
        <v>83</v>
      </c>
      <c r="B146" s="1180" t="s">
        <v>1386</v>
      </c>
      <c r="C146" s="1162">
        <v>4</v>
      </c>
      <c r="D146" s="1134">
        <f>13+20</f>
        <v>33</v>
      </c>
      <c r="E146" s="1134">
        <f>D146+C146</f>
        <v>37</v>
      </c>
      <c r="F146" s="164">
        <v>0</v>
      </c>
      <c r="G146" s="165">
        <v>41</v>
      </c>
      <c r="H146" s="165">
        <f>G146+F146</f>
        <v>41</v>
      </c>
      <c r="I146" s="167" t="s">
        <v>56</v>
      </c>
      <c r="J146" s="168">
        <v>270</v>
      </c>
      <c r="K146" s="202">
        <f t="shared" ref="K146:K149" si="25">J146</f>
        <v>270</v>
      </c>
      <c r="L146" s="1133" t="s">
        <v>1742</v>
      </c>
      <c r="M146" s="954">
        <v>83</v>
      </c>
      <c r="N146"/>
      <c r="O146"/>
      <c r="P146"/>
      <c r="Q146"/>
      <c r="R146"/>
      <c r="S146"/>
      <c r="T146"/>
      <c r="U146"/>
      <c r="V146"/>
      <c r="W146"/>
      <c r="X146"/>
      <c r="Y146"/>
      <c r="Z146"/>
    </row>
    <row r="147" spans="1:26" ht="29" customHeight="1">
      <c r="A147" s="325">
        <v>84</v>
      </c>
      <c r="B147" s="1177" t="s">
        <v>1385</v>
      </c>
      <c r="C147" s="1166">
        <v>1</v>
      </c>
      <c r="D147" s="1130">
        <f>9+31</f>
        <v>40</v>
      </c>
      <c r="E147" s="1130">
        <f>D147+C147</f>
        <v>41</v>
      </c>
      <c r="F147" s="680">
        <v>0</v>
      </c>
      <c r="G147" s="681">
        <v>26</v>
      </c>
      <c r="H147" s="690">
        <f>G147+F147</f>
        <v>26</v>
      </c>
      <c r="I147" s="682" t="s">
        <v>56</v>
      </c>
      <c r="J147" s="683">
        <v>222</v>
      </c>
      <c r="K147" s="693">
        <f t="shared" si="25"/>
        <v>222</v>
      </c>
      <c r="L147" s="1129" t="s">
        <v>1743</v>
      </c>
      <c r="M147" s="1128">
        <v>84</v>
      </c>
    </row>
    <row r="148" spans="1:26" s="639" customFormat="1" ht="29" customHeight="1">
      <c r="A148" s="396">
        <v>85</v>
      </c>
      <c r="B148" s="1180" t="s">
        <v>1384</v>
      </c>
      <c r="C148" s="1162">
        <v>0</v>
      </c>
      <c r="D148" s="1134">
        <f>5+36</f>
        <v>41</v>
      </c>
      <c r="E148" s="1134">
        <f>D148+C148</f>
        <v>41</v>
      </c>
      <c r="F148" s="164">
        <v>0</v>
      </c>
      <c r="G148" s="165">
        <v>6</v>
      </c>
      <c r="H148" s="165">
        <f>G148+F148</f>
        <v>6</v>
      </c>
      <c r="I148" s="167" t="s">
        <v>56</v>
      </c>
      <c r="J148" s="168">
        <v>161</v>
      </c>
      <c r="K148" s="202">
        <f t="shared" si="25"/>
        <v>161</v>
      </c>
      <c r="L148" s="1133" t="s">
        <v>1744</v>
      </c>
      <c r="M148" s="954">
        <v>85</v>
      </c>
      <c r="N148"/>
      <c r="O148"/>
      <c r="P148"/>
      <c r="Q148"/>
      <c r="R148"/>
      <c r="S148"/>
      <c r="T148"/>
      <c r="U148"/>
      <c r="V148"/>
      <c r="W148"/>
      <c r="X148"/>
      <c r="Y148"/>
      <c r="Z148"/>
    </row>
    <row r="149" spans="1:26" ht="29" customHeight="1">
      <c r="A149" s="325">
        <v>86</v>
      </c>
      <c r="B149" s="1177" t="s">
        <v>1383</v>
      </c>
      <c r="C149" s="1166">
        <v>7</v>
      </c>
      <c r="D149" s="1130">
        <f>12+48</f>
        <v>60</v>
      </c>
      <c r="E149" s="1130">
        <f>D149+C149</f>
        <v>67</v>
      </c>
      <c r="F149" s="680">
        <v>0</v>
      </c>
      <c r="G149" s="681">
        <v>56</v>
      </c>
      <c r="H149" s="690">
        <f>G149+F149</f>
        <v>56</v>
      </c>
      <c r="I149" s="682" t="s">
        <v>56</v>
      </c>
      <c r="J149" s="683">
        <v>569</v>
      </c>
      <c r="K149" s="693">
        <f t="shared" si="25"/>
        <v>569</v>
      </c>
      <c r="L149" s="1129" t="s">
        <v>1812</v>
      </c>
      <c r="M149" s="878">
        <v>86</v>
      </c>
    </row>
    <row r="150" spans="1:26" s="639" customFormat="1" ht="22" customHeight="1">
      <c r="A150" s="604"/>
      <c r="B150" s="1181" t="s">
        <v>117</v>
      </c>
      <c r="C150" s="1125"/>
      <c r="D150" s="1125"/>
      <c r="E150" s="1151"/>
      <c r="F150" s="531"/>
      <c r="G150" s="623"/>
      <c r="H150" s="1167"/>
      <c r="I150" s="624"/>
      <c r="J150" s="625"/>
      <c r="K150" s="626"/>
      <c r="L150" s="1163" t="s">
        <v>1382</v>
      </c>
      <c r="M150" s="1120"/>
      <c r="N150"/>
      <c r="O150"/>
      <c r="P150"/>
      <c r="Q150"/>
      <c r="R150"/>
      <c r="S150"/>
      <c r="T150"/>
      <c r="U150"/>
      <c r="V150"/>
      <c r="W150"/>
      <c r="X150"/>
      <c r="Y150"/>
      <c r="Z150"/>
    </row>
    <row r="151" spans="1:26" ht="29" customHeight="1">
      <c r="A151" s="325">
        <v>87</v>
      </c>
      <c r="B151" s="1177" t="s">
        <v>1381</v>
      </c>
      <c r="C151" s="1130">
        <v>0</v>
      </c>
      <c r="D151" s="1130">
        <f>25+16</f>
        <v>41</v>
      </c>
      <c r="E151" s="1130">
        <f t="shared" ref="E151:E157" si="26">D151+C151</f>
        <v>41</v>
      </c>
      <c r="F151" s="680">
        <v>0</v>
      </c>
      <c r="G151" s="681">
        <v>69</v>
      </c>
      <c r="H151" s="690">
        <f>G151+F151</f>
        <v>69</v>
      </c>
      <c r="I151" s="682" t="s">
        <v>56</v>
      </c>
      <c r="J151" s="683">
        <v>572</v>
      </c>
      <c r="K151" s="693">
        <f t="shared" ref="K151:K152" si="27">J151</f>
        <v>572</v>
      </c>
      <c r="L151" s="1129" t="s">
        <v>1811</v>
      </c>
      <c r="M151" s="1128">
        <v>87</v>
      </c>
    </row>
    <row r="152" spans="1:26" s="639" customFormat="1" ht="29" customHeight="1">
      <c r="A152" s="396">
        <v>88</v>
      </c>
      <c r="B152" s="1180" t="s">
        <v>1380</v>
      </c>
      <c r="C152" s="1162">
        <v>0</v>
      </c>
      <c r="D152" s="1134">
        <v>15</v>
      </c>
      <c r="E152" s="1134">
        <f t="shared" si="26"/>
        <v>15</v>
      </c>
      <c r="F152" s="164">
        <v>0</v>
      </c>
      <c r="G152" s="165" t="s">
        <v>56</v>
      </c>
      <c r="H152" s="165" t="s">
        <v>56</v>
      </c>
      <c r="I152" s="167" t="s">
        <v>56</v>
      </c>
      <c r="J152" s="168">
        <v>38</v>
      </c>
      <c r="K152" s="202">
        <f t="shared" si="27"/>
        <v>38</v>
      </c>
      <c r="L152" s="1133" t="s">
        <v>1745</v>
      </c>
      <c r="M152" s="954">
        <v>88</v>
      </c>
      <c r="N152"/>
      <c r="O152"/>
      <c r="P152"/>
      <c r="Q152"/>
      <c r="R152"/>
      <c r="S152"/>
      <c r="T152"/>
      <c r="U152"/>
      <c r="V152"/>
      <c r="W152"/>
      <c r="X152"/>
      <c r="Y152"/>
      <c r="Z152"/>
    </row>
    <row r="153" spans="1:26" ht="29" customHeight="1">
      <c r="A153" s="325">
        <v>89</v>
      </c>
      <c r="B153" s="1174" t="s">
        <v>1379</v>
      </c>
      <c r="C153" s="1166">
        <v>0</v>
      </c>
      <c r="D153" s="1130">
        <f>8+20</f>
        <v>28</v>
      </c>
      <c r="E153" s="1130">
        <f t="shared" si="26"/>
        <v>28</v>
      </c>
      <c r="F153" s="680">
        <v>0</v>
      </c>
      <c r="G153" s="681">
        <v>26</v>
      </c>
      <c r="H153" s="690">
        <f>G153+F153</f>
        <v>26</v>
      </c>
      <c r="I153" s="682" t="s">
        <v>56</v>
      </c>
      <c r="J153" s="683">
        <v>174</v>
      </c>
      <c r="K153" s="693">
        <f>J153</f>
        <v>174</v>
      </c>
      <c r="L153" s="1129" t="s">
        <v>1746</v>
      </c>
      <c r="M153" s="1128">
        <v>89</v>
      </c>
    </row>
    <row r="154" spans="1:26" ht="29" customHeight="1">
      <c r="A154" s="396">
        <v>90</v>
      </c>
      <c r="B154" s="1180" t="s">
        <v>1378</v>
      </c>
      <c r="C154" s="1162">
        <v>0</v>
      </c>
      <c r="D154" s="1134">
        <f>3+11</f>
        <v>14</v>
      </c>
      <c r="E154" s="1134">
        <f t="shared" si="26"/>
        <v>14</v>
      </c>
      <c r="F154" s="164">
        <v>0</v>
      </c>
      <c r="G154" s="165">
        <v>22</v>
      </c>
      <c r="H154" s="165">
        <f>G154+F154</f>
        <v>22</v>
      </c>
      <c r="I154" s="167">
        <v>10</v>
      </c>
      <c r="J154" s="168">
        <v>77</v>
      </c>
      <c r="K154" s="202">
        <f t="shared" ref="K154" si="28">J154+I154</f>
        <v>87</v>
      </c>
      <c r="L154" s="1133" t="s">
        <v>1747</v>
      </c>
      <c r="M154" s="954">
        <v>90</v>
      </c>
    </row>
    <row r="155" spans="1:26" ht="29" customHeight="1">
      <c r="A155" s="325">
        <v>91</v>
      </c>
      <c r="B155" s="1174" t="s">
        <v>1377</v>
      </c>
      <c r="C155" s="1166">
        <v>5</v>
      </c>
      <c r="D155" s="1130">
        <f>19+18</f>
        <v>37</v>
      </c>
      <c r="E155" s="1130">
        <f t="shared" si="26"/>
        <v>42</v>
      </c>
      <c r="F155" s="680">
        <v>0</v>
      </c>
      <c r="G155" s="681">
        <v>245</v>
      </c>
      <c r="H155" s="690">
        <f>G155+F155</f>
        <v>245</v>
      </c>
      <c r="I155" s="682" t="s">
        <v>56</v>
      </c>
      <c r="J155" s="683">
        <v>1214</v>
      </c>
      <c r="K155" s="693">
        <f t="shared" ref="K155:K157" si="29">J155</f>
        <v>1214</v>
      </c>
      <c r="L155" s="1129" t="s">
        <v>1748</v>
      </c>
      <c r="M155" s="1128">
        <v>91</v>
      </c>
    </row>
    <row r="156" spans="1:26" ht="29" customHeight="1">
      <c r="A156" s="396">
        <v>92</v>
      </c>
      <c r="B156" s="1180" t="s">
        <v>1376</v>
      </c>
      <c r="C156" s="1162">
        <v>0</v>
      </c>
      <c r="D156" s="1134">
        <f>27+21</f>
        <v>48</v>
      </c>
      <c r="E156" s="1134">
        <f t="shared" si="26"/>
        <v>48</v>
      </c>
      <c r="F156" s="164">
        <v>0</v>
      </c>
      <c r="G156" s="165">
        <v>44</v>
      </c>
      <c r="H156" s="165">
        <f>G156+F156</f>
        <v>44</v>
      </c>
      <c r="I156" s="167" t="s">
        <v>56</v>
      </c>
      <c r="J156" s="168">
        <v>441</v>
      </c>
      <c r="K156" s="202">
        <f t="shared" si="29"/>
        <v>441</v>
      </c>
      <c r="L156" s="1133" t="s">
        <v>1749</v>
      </c>
      <c r="M156" s="954">
        <v>92</v>
      </c>
    </row>
    <row r="157" spans="1:26" ht="29" customHeight="1">
      <c r="A157" s="325">
        <v>93</v>
      </c>
      <c r="B157" s="1177" t="s">
        <v>1375</v>
      </c>
      <c r="C157" s="1166">
        <v>0</v>
      </c>
      <c r="D157" s="1130">
        <f>19+3</f>
        <v>22</v>
      </c>
      <c r="E157" s="1176">
        <f t="shared" si="26"/>
        <v>22</v>
      </c>
      <c r="F157" s="680">
        <v>0</v>
      </c>
      <c r="G157" s="681">
        <v>57</v>
      </c>
      <c r="H157" s="690">
        <f>G157+F157</f>
        <v>57</v>
      </c>
      <c r="I157" s="682" t="s">
        <v>56</v>
      </c>
      <c r="J157" s="683">
        <v>343</v>
      </c>
      <c r="K157" s="693">
        <f t="shared" si="29"/>
        <v>343</v>
      </c>
      <c r="L157" s="1147" t="s">
        <v>1750</v>
      </c>
      <c r="M157" s="1128">
        <v>93</v>
      </c>
    </row>
    <row r="158" spans="1:26" ht="22" customHeight="1">
      <c r="A158" s="604"/>
      <c r="B158" s="1178" t="s">
        <v>1374</v>
      </c>
      <c r="C158" s="1168"/>
      <c r="D158" s="1125"/>
      <c r="E158" s="1125"/>
      <c r="F158" s="531"/>
      <c r="G158" s="623"/>
      <c r="H158" s="1167"/>
      <c r="I158" s="624"/>
      <c r="J158" s="625"/>
      <c r="K158" s="626"/>
      <c r="L158" s="1121" t="s">
        <v>1373</v>
      </c>
      <c r="M158" s="1148"/>
    </row>
    <row r="159" spans="1:26" ht="40" customHeight="1">
      <c r="A159" s="664">
        <v>94</v>
      </c>
      <c r="B159" s="1179" t="s">
        <v>1372</v>
      </c>
      <c r="C159" s="1173">
        <v>0</v>
      </c>
      <c r="D159" s="1172">
        <v>9</v>
      </c>
      <c r="E159" s="1172">
        <f>D159+C159</f>
        <v>9</v>
      </c>
      <c r="F159" s="684">
        <v>0</v>
      </c>
      <c r="G159" s="685">
        <v>10</v>
      </c>
      <c r="H159" s="1171">
        <f>G159+F159</f>
        <v>10</v>
      </c>
      <c r="I159" s="1170" t="s">
        <v>56</v>
      </c>
      <c r="J159" s="1169">
        <v>89</v>
      </c>
      <c r="K159" s="1116">
        <f>J159</f>
        <v>89</v>
      </c>
      <c r="L159" s="1115" t="s">
        <v>1810</v>
      </c>
      <c r="M159" s="1114">
        <v>94</v>
      </c>
    </row>
    <row r="160" spans="1:26" ht="18" hidden="1" customHeight="1">
      <c r="A160" s="1419" t="s">
        <v>1339</v>
      </c>
      <c r="B160" s="1419"/>
      <c r="C160" s="523"/>
      <c r="D160" s="524"/>
      <c r="E160" s="524"/>
      <c r="F160" s="524"/>
      <c r="G160" s="524"/>
      <c r="H160" s="524"/>
      <c r="I160" s="524"/>
      <c r="J160" s="1477" t="s">
        <v>1338</v>
      </c>
      <c r="K160" s="1477"/>
      <c r="L160" s="1477"/>
      <c r="M160" s="1477"/>
    </row>
    <row r="161" spans="1:26" ht="15" hidden="1" customHeight="1">
      <c r="A161" s="1419"/>
      <c r="B161" s="1419"/>
      <c r="C161" s="523"/>
      <c r="D161" s="524"/>
      <c r="E161" s="524"/>
      <c r="F161" s="524"/>
      <c r="G161" s="524"/>
      <c r="H161" s="524"/>
      <c r="I161" s="524"/>
      <c r="J161" s="328"/>
      <c r="K161" s="328"/>
      <c r="L161" s="1477" t="s">
        <v>1490</v>
      </c>
      <c r="M161" s="1477"/>
    </row>
    <row r="162" spans="1:26" ht="18" hidden="1" customHeight="1">
      <c r="A162" s="1327" t="s">
        <v>621</v>
      </c>
      <c r="B162" s="1343" t="s">
        <v>1598</v>
      </c>
      <c r="C162" s="1511" t="s">
        <v>1337</v>
      </c>
      <c r="D162" s="1512"/>
      <c r="E162" s="1513"/>
      <c r="F162" s="1511" t="s">
        <v>1336</v>
      </c>
      <c r="G162" s="1512"/>
      <c r="H162" s="1513"/>
      <c r="I162" s="1511" t="s">
        <v>253</v>
      </c>
      <c r="J162" s="1512"/>
      <c r="K162" s="1513"/>
      <c r="L162" s="1438" t="s">
        <v>1597</v>
      </c>
      <c r="M162" s="1563" t="s">
        <v>727</v>
      </c>
    </row>
    <row r="163" spans="1:26" s="639" customFormat="1" ht="18" hidden="1" customHeight="1">
      <c r="A163" s="1328"/>
      <c r="B163" s="1266"/>
      <c r="C163" s="1505" t="s">
        <v>138</v>
      </c>
      <c r="D163" s="1506"/>
      <c r="E163" s="1507"/>
      <c r="F163" s="1505" t="s">
        <v>1335</v>
      </c>
      <c r="G163" s="1506"/>
      <c r="H163" s="1507"/>
      <c r="I163" s="1505" t="s">
        <v>137</v>
      </c>
      <c r="J163" s="1506"/>
      <c r="K163" s="1507"/>
      <c r="L163" s="1439"/>
      <c r="M163" s="1564"/>
      <c r="N163"/>
      <c r="O163"/>
      <c r="P163"/>
      <c r="Q163"/>
      <c r="R163"/>
      <c r="S163"/>
      <c r="T163"/>
      <c r="U163"/>
      <c r="V163"/>
      <c r="W163"/>
      <c r="X163"/>
      <c r="Y163"/>
      <c r="Z163"/>
    </row>
    <row r="164" spans="1:26" ht="18" hidden="1" customHeight="1">
      <c r="A164" s="1328"/>
      <c r="B164" s="1266"/>
      <c r="C164" s="1109" t="s">
        <v>278</v>
      </c>
      <c r="D164" s="1109" t="s">
        <v>1334</v>
      </c>
      <c r="E164" s="1205" t="s">
        <v>1333</v>
      </c>
      <c r="F164" s="1109" t="s">
        <v>278</v>
      </c>
      <c r="G164" s="1109" t="s">
        <v>1334</v>
      </c>
      <c r="H164" s="1205" t="s">
        <v>1333</v>
      </c>
      <c r="I164" s="1109" t="s">
        <v>278</v>
      </c>
      <c r="J164" s="1109" t="s">
        <v>1334</v>
      </c>
      <c r="K164" s="1205" t="s">
        <v>1333</v>
      </c>
      <c r="L164" s="1439"/>
      <c r="M164" s="1564"/>
    </row>
    <row r="165" spans="1:26" s="639" customFormat="1" ht="18" hidden="1" customHeight="1">
      <c r="A165" s="1328"/>
      <c r="B165" s="1266"/>
      <c r="C165" s="971" t="s">
        <v>673</v>
      </c>
      <c r="D165" s="971" t="s">
        <v>13</v>
      </c>
      <c r="E165" s="971" t="s">
        <v>61</v>
      </c>
      <c r="F165" s="971" t="s">
        <v>673</v>
      </c>
      <c r="G165" s="971" t="s">
        <v>13</v>
      </c>
      <c r="H165" s="971" t="s">
        <v>61</v>
      </c>
      <c r="I165" s="971" t="s">
        <v>673</v>
      </c>
      <c r="J165" s="971" t="s">
        <v>13</v>
      </c>
      <c r="K165" s="971" t="s">
        <v>61</v>
      </c>
      <c r="L165" s="1439"/>
      <c r="M165" s="1564"/>
      <c r="N165"/>
      <c r="O165"/>
      <c r="P165"/>
      <c r="Q165"/>
      <c r="R165"/>
      <c r="S165"/>
      <c r="T165"/>
      <c r="U165"/>
      <c r="V165"/>
      <c r="W165"/>
      <c r="X165"/>
      <c r="Y165"/>
      <c r="Z165"/>
    </row>
    <row r="166" spans="1:26" ht="18" hidden="1" customHeight="1">
      <c r="A166" s="1329"/>
      <c r="B166" s="1267"/>
      <c r="C166" s="1206" t="s">
        <v>162</v>
      </c>
      <c r="D166" s="1206" t="s">
        <v>163</v>
      </c>
      <c r="E166" s="971" t="s">
        <v>1332</v>
      </c>
      <c r="F166" s="1206" t="s">
        <v>162</v>
      </c>
      <c r="G166" s="1206" t="s">
        <v>163</v>
      </c>
      <c r="H166" s="971" t="s">
        <v>1332</v>
      </c>
      <c r="I166" s="1206" t="s">
        <v>162</v>
      </c>
      <c r="J166" s="1206" t="s">
        <v>163</v>
      </c>
      <c r="K166" s="971" t="s">
        <v>1332</v>
      </c>
      <c r="L166" s="1462"/>
      <c r="M166" s="1565"/>
    </row>
    <row r="167" spans="1:26" s="639" customFormat="1" ht="30" customHeight="1">
      <c r="A167" s="604"/>
      <c r="B167" s="1178" t="s">
        <v>119</v>
      </c>
      <c r="C167" s="1168"/>
      <c r="D167" s="1125"/>
      <c r="E167" s="1125"/>
      <c r="F167" s="531"/>
      <c r="G167" s="623"/>
      <c r="H167" s="623"/>
      <c r="I167" s="624"/>
      <c r="J167" s="625"/>
      <c r="K167" s="626"/>
      <c r="L167" s="1121" t="s">
        <v>1371</v>
      </c>
      <c r="M167" s="1120"/>
      <c r="N167"/>
      <c r="O167"/>
      <c r="P167"/>
      <c r="Q167"/>
      <c r="R167"/>
      <c r="S167"/>
      <c r="T167"/>
      <c r="U167"/>
      <c r="V167"/>
      <c r="W167"/>
      <c r="X167"/>
      <c r="Y167"/>
      <c r="Z167"/>
    </row>
    <row r="168" spans="1:26" ht="30" customHeight="1">
      <c r="A168" s="325">
        <v>95</v>
      </c>
      <c r="B168" s="1174" t="s">
        <v>1370</v>
      </c>
      <c r="C168" s="1166">
        <v>17</v>
      </c>
      <c r="D168" s="1130">
        <f>48+15</f>
        <v>63</v>
      </c>
      <c r="E168" s="1130">
        <f t="shared" ref="E168:E178" si="30">D168+C168</f>
        <v>80</v>
      </c>
      <c r="F168" s="680">
        <v>0</v>
      </c>
      <c r="G168" s="681">
        <v>259</v>
      </c>
      <c r="H168" s="690">
        <f t="shared" ref="H168:H175" si="31">G168+F168</f>
        <v>259</v>
      </c>
      <c r="I168" s="682" t="s">
        <v>56</v>
      </c>
      <c r="J168" s="683">
        <v>1043</v>
      </c>
      <c r="K168" s="693">
        <f>J168</f>
        <v>1043</v>
      </c>
      <c r="L168" s="1129" t="s">
        <v>1803</v>
      </c>
      <c r="M168" s="1128">
        <v>95</v>
      </c>
    </row>
    <row r="169" spans="1:26" s="639" customFormat="1" ht="30" customHeight="1">
      <c r="A169" s="396">
        <v>96</v>
      </c>
      <c r="B169" s="241" t="s">
        <v>1369</v>
      </c>
      <c r="C169" s="1162">
        <v>0</v>
      </c>
      <c r="D169" s="1134">
        <f>35+22</f>
        <v>57</v>
      </c>
      <c r="E169" s="1134">
        <f t="shared" si="30"/>
        <v>57</v>
      </c>
      <c r="F169" s="164">
        <v>0</v>
      </c>
      <c r="G169" s="165">
        <v>76</v>
      </c>
      <c r="H169" s="165">
        <f t="shared" si="31"/>
        <v>76</v>
      </c>
      <c r="I169" s="167">
        <v>35</v>
      </c>
      <c r="J169" s="168">
        <v>829</v>
      </c>
      <c r="K169" s="202">
        <f t="shared" ref="K169" si="32">J169+I169</f>
        <v>864</v>
      </c>
      <c r="L169" s="1133" t="s">
        <v>1804</v>
      </c>
      <c r="M169" s="954">
        <v>96</v>
      </c>
      <c r="N169"/>
      <c r="O169"/>
      <c r="P169"/>
      <c r="Q169"/>
      <c r="R169"/>
      <c r="S169"/>
      <c r="T169"/>
      <c r="U169"/>
      <c r="V169"/>
      <c r="W169"/>
      <c r="X169"/>
      <c r="Y169"/>
      <c r="Z169"/>
    </row>
    <row r="170" spans="1:26" ht="30" customHeight="1">
      <c r="A170" s="325">
        <v>97</v>
      </c>
      <c r="B170" s="1174" t="s">
        <v>1368</v>
      </c>
      <c r="C170" s="1166">
        <v>0</v>
      </c>
      <c r="D170" s="1130">
        <f>16+69</f>
        <v>85</v>
      </c>
      <c r="E170" s="1130">
        <f t="shared" si="30"/>
        <v>85</v>
      </c>
      <c r="F170" s="680">
        <v>0</v>
      </c>
      <c r="G170" s="681">
        <v>114</v>
      </c>
      <c r="H170" s="690">
        <f t="shared" si="31"/>
        <v>114</v>
      </c>
      <c r="I170" s="682" t="s">
        <v>56</v>
      </c>
      <c r="J170" s="683">
        <v>904</v>
      </c>
      <c r="K170" s="693">
        <f t="shared" ref="K170:K178" si="33">J170</f>
        <v>904</v>
      </c>
      <c r="L170" s="1129" t="s">
        <v>1805</v>
      </c>
      <c r="M170" s="1128">
        <v>97</v>
      </c>
    </row>
    <row r="171" spans="1:26" s="639" customFormat="1" ht="30" customHeight="1">
      <c r="A171" s="396">
        <v>98</v>
      </c>
      <c r="B171" s="241" t="s">
        <v>1367</v>
      </c>
      <c r="C171" s="1162">
        <v>0</v>
      </c>
      <c r="D171" s="1134">
        <f>13+12</f>
        <v>25</v>
      </c>
      <c r="E171" s="1134">
        <f t="shared" si="30"/>
        <v>25</v>
      </c>
      <c r="F171" s="164">
        <v>0</v>
      </c>
      <c r="G171" s="165">
        <v>40</v>
      </c>
      <c r="H171" s="165">
        <f t="shared" si="31"/>
        <v>40</v>
      </c>
      <c r="I171" s="167" t="s">
        <v>56</v>
      </c>
      <c r="J171" s="168">
        <v>140</v>
      </c>
      <c r="K171" s="202">
        <f t="shared" si="33"/>
        <v>140</v>
      </c>
      <c r="L171" s="1146" t="s">
        <v>1809</v>
      </c>
      <c r="M171" s="954">
        <v>98</v>
      </c>
      <c r="N171"/>
      <c r="O171"/>
      <c r="P171"/>
      <c r="Q171"/>
      <c r="R171"/>
      <c r="S171"/>
      <c r="T171"/>
      <c r="U171"/>
      <c r="V171"/>
      <c r="W171"/>
      <c r="X171"/>
      <c r="Y171"/>
      <c r="Z171"/>
    </row>
    <row r="172" spans="1:26" ht="30" customHeight="1">
      <c r="A172" s="325">
        <v>99</v>
      </c>
      <c r="B172" s="1177" t="s">
        <v>1366</v>
      </c>
      <c r="C172" s="1166">
        <v>0</v>
      </c>
      <c r="D172" s="1130">
        <f>18+29</f>
        <v>47</v>
      </c>
      <c r="E172" s="1176">
        <f t="shared" si="30"/>
        <v>47</v>
      </c>
      <c r="F172" s="680">
        <v>0</v>
      </c>
      <c r="G172" s="681">
        <v>62</v>
      </c>
      <c r="H172" s="690">
        <f t="shared" si="31"/>
        <v>62</v>
      </c>
      <c r="I172" s="682" t="s">
        <v>56</v>
      </c>
      <c r="J172" s="683">
        <v>543</v>
      </c>
      <c r="K172" s="693">
        <f t="shared" si="33"/>
        <v>543</v>
      </c>
      <c r="L172" s="1129" t="s">
        <v>1751</v>
      </c>
      <c r="M172" s="1128">
        <v>99</v>
      </c>
    </row>
    <row r="173" spans="1:26" s="639" customFormat="1" ht="30" customHeight="1">
      <c r="A173" s="396">
        <v>100</v>
      </c>
      <c r="B173" s="1175" t="s">
        <v>1365</v>
      </c>
      <c r="C173" s="1162">
        <v>0</v>
      </c>
      <c r="D173" s="1134">
        <f>23+36</f>
        <v>59</v>
      </c>
      <c r="E173" s="1134">
        <f t="shared" si="30"/>
        <v>59</v>
      </c>
      <c r="F173" s="164">
        <v>0</v>
      </c>
      <c r="G173" s="165">
        <v>239</v>
      </c>
      <c r="H173" s="165">
        <f t="shared" si="31"/>
        <v>239</v>
      </c>
      <c r="I173" s="167" t="s">
        <v>56</v>
      </c>
      <c r="J173" s="168">
        <v>1420</v>
      </c>
      <c r="K173" s="202">
        <f t="shared" si="33"/>
        <v>1420</v>
      </c>
      <c r="L173" s="1133" t="s">
        <v>1752</v>
      </c>
      <c r="M173" s="954">
        <v>100</v>
      </c>
      <c r="N173"/>
      <c r="O173"/>
      <c r="P173"/>
      <c r="Q173"/>
      <c r="R173"/>
      <c r="S173"/>
      <c r="T173"/>
      <c r="U173"/>
      <c r="V173"/>
      <c r="W173"/>
      <c r="X173"/>
      <c r="Y173"/>
      <c r="Z173"/>
    </row>
    <row r="174" spans="1:26" ht="30" customHeight="1">
      <c r="A174" s="325">
        <v>101</v>
      </c>
      <c r="B174" s="1174" t="s">
        <v>1364</v>
      </c>
      <c r="C174" s="1166">
        <v>0</v>
      </c>
      <c r="D174" s="1130">
        <v>14</v>
      </c>
      <c r="E174" s="1130">
        <f t="shared" si="30"/>
        <v>14</v>
      </c>
      <c r="F174" s="680">
        <v>0</v>
      </c>
      <c r="G174" s="681" t="s">
        <v>56</v>
      </c>
      <c r="H174" s="690" t="s">
        <v>56</v>
      </c>
      <c r="I174" s="682" t="s">
        <v>56</v>
      </c>
      <c r="J174" s="683">
        <v>48</v>
      </c>
      <c r="K174" s="693">
        <f t="shared" si="33"/>
        <v>48</v>
      </c>
      <c r="L174" s="1129" t="s">
        <v>1753</v>
      </c>
      <c r="M174" s="1128">
        <v>101</v>
      </c>
    </row>
    <row r="175" spans="1:26" ht="30" customHeight="1">
      <c r="A175" s="396">
        <v>102</v>
      </c>
      <c r="B175" s="240" t="s">
        <v>1363</v>
      </c>
      <c r="C175" s="1162">
        <v>0</v>
      </c>
      <c r="D175" s="1134">
        <f>8+40</f>
        <v>48</v>
      </c>
      <c r="E175" s="1134">
        <f t="shared" si="30"/>
        <v>48</v>
      </c>
      <c r="F175" s="164">
        <v>0</v>
      </c>
      <c r="G175" s="165">
        <v>168</v>
      </c>
      <c r="H175" s="165">
        <f t="shared" si="31"/>
        <v>168</v>
      </c>
      <c r="I175" s="167" t="s">
        <v>56</v>
      </c>
      <c r="J175" s="168">
        <v>496</v>
      </c>
      <c r="K175" s="202">
        <f t="shared" si="33"/>
        <v>496</v>
      </c>
      <c r="L175" s="1133" t="s">
        <v>1754</v>
      </c>
      <c r="M175" s="954">
        <v>102</v>
      </c>
    </row>
    <row r="176" spans="1:26" ht="30" customHeight="1">
      <c r="A176" s="325">
        <v>103</v>
      </c>
      <c r="B176" s="271" t="s">
        <v>1362</v>
      </c>
      <c r="C176" s="1166">
        <v>1</v>
      </c>
      <c r="D176" s="1130">
        <f>3+3</f>
        <v>6</v>
      </c>
      <c r="E176" s="1130">
        <f t="shared" si="30"/>
        <v>7</v>
      </c>
      <c r="F176" s="680">
        <v>0</v>
      </c>
      <c r="G176" s="681" t="s">
        <v>56</v>
      </c>
      <c r="H176" s="690" t="s">
        <v>56</v>
      </c>
      <c r="I176" s="682" t="s">
        <v>56</v>
      </c>
      <c r="J176" s="683">
        <v>69</v>
      </c>
      <c r="K176" s="693">
        <f t="shared" si="33"/>
        <v>69</v>
      </c>
      <c r="L176" s="1129" t="s">
        <v>1755</v>
      </c>
      <c r="M176" s="1128">
        <v>103</v>
      </c>
    </row>
    <row r="177" spans="1:26" ht="30" customHeight="1">
      <c r="A177" s="396">
        <v>104</v>
      </c>
      <c r="B177" s="241" t="s">
        <v>1361</v>
      </c>
      <c r="C177" s="1162">
        <v>0</v>
      </c>
      <c r="D177" s="1134">
        <f>23</f>
        <v>23</v>
      </c>
      <c r="E177" s="1134">
        <f t="shared" si="30"/>
        <v>23</v>
      </c>
      <c r="F177" s="164">
        <v>0</v>
      </c>
      <c r="G177" s="165">
        <v>32</v>
      </c>
      <c r="H177" s="165">
        <f>G177+F177</f>
        <v>32</v>
      </c>
      <c r="I177" s="167" t="s">
        <v>56</v>
      </c>
      <c r="J177" s="168">
        <v>256</v>
      </c>
      <c r="K177" s="202">
        <f t="shared" si="33"/>
        <v>256</v>
      </c>
      <c r="L177" s="1133" t="s">
        <v>1756</v>
      </c>
      <c r="M177" s="954">
        <v>104</v>
      </c>
    </row>
    <row r="178" spans="1:26" ht="30" customHeight="1">
      <c r="A178" s="325">
        <v>105</v>
      </c>
      <c r="B178" s="239" t="s">
        <v>1360</v>
      </c>
      <c r="C178" s="1166">
        <v>0</v>
      </c>
      <c r="D178" s="1130">
        <f>17+31</f>
        <v>48</v>
      </c>
      <c r="E178" s="1130">
        <f t="shared" si="30"/>
        <v>48</v>
      </c>
      <c r="F178" s="680">
        <v>0</v>
      </c>
      <c r="G178" s="681">
        <v>58</v>
      </c>
      <c r="H178" s="690">
        <f>G178+F178</f>
        <v>58</v>
      </c>
      <c r="I178" s="682" t="s">
        <v>56</v>
      </c>
      <c r="J178" s="683">
        <v>628</v>
      </c>
      <c r="K178" s="693">
        <f t="shared" si="33"/>
        <v>628</v>
      </c>
      <c r="L178" s="1129" t="s">
        <v>1757</v>
      </c>
      <c r="M178" s="1128">
        <v>105</v>
      </c>
    </row>
    <row r="179" spans="1:26" ht="30" customHeight="1">
      <c r="A179" s="604"/>
      <c r="B179" s="627" t="s">
        <v>1359</v>
      </c>
      <c r="C179" s="1168"/>
      <c r="D179" s="1125"/>
      <c r="E179" s="1125"/>
      <c r="F179" s="531"/>
      <c r="G179" s="623"/>
      <c r="H179" s="623"/>
      <c r="I179" s="624"/>
      <c r="J179" s="625"/>
      <c r="K179" s="626"/>
      <c r="L179" s="1121" t="s">
        <v>1358</v>
      </c>
      <c r="M179" s="1120"/>
    </row>
    <row r="180" spans="1:26" ht="30" customHeight="1">
      <c r="A180" s="664">
        <v>106</v>
      </c>
      <c r="B180" s="801" t="s">
        <v>1357</v>
      </c>
      <c r="C180" s="1173">
        <v>4</v>
      </c>
      <c r="D180" s="1172">
        <f>59</f>
        <v>59</v>
      </c>
      <c r="E180" s="1172">
        <f>D180+C180</f>
        <v>63</v>
      </c>
      <c r="F180" s="684">
        <v>0</v>
      </c>
      <c r="G180" s="685" t="s">
        <v>56</v>
      </c>
      <c r="H180" s="1171" t="s">
        <v>56</v>
      </c>
      <c r="I180" s="1170" t="s">
        <v>56</v>
      </c>
      <c r="J180" s="1169">
        <v>95</v>
      </c>
      <c r="K180" s="1116">
        <f>J180</f>
        <v>95</v>
      </c>
      <c r="L180" s="1115" t="s">
        <v>1758</v>
      </c>
      <c r="M180" s="895">
        <v>106</v>
      </c>
    </row>
    <row r="181" spans="1:26" ht="18" hidden="1" customHeight="1">
      <c r="A181" s="1419" t="s">
        <v>1339</v>
      </c>
      <c r="B181" s="1419"/>
      <c r="C181" s="523"/>
      <c r="D181" s="524"/>
      <c r="E181" s="524"/>
      <c r="F181" s="524"/>
      <c r="G181" s="524"/>
      <c r="H181" s="524"/>
      <c r="I181" s="524"/>
      <c r="J181" s="1477" t="s">
        <v>1338</v>
      </c>
      <c r="K181" s="1477"/>
      <c r="L181" s="1477"/>
      <c r="M181" s="1477"/>
    </row>
    <row r="182" spans="1:26" ht="15" hidden="1" customHeight="1">
      <c r="A182" s="1419"/>
      <c r="B182" s="1419"/>
      <c r="C182" s="523"/>
      <c r="D182" s="524"/>
      <c r="E182" s="524"/>
      <c r="F182" s="524"/>
      <c r="G182" s="524"/>
      <c r="H182" s="524"/>
      <c r="I182" s="524"/>
      <c r="J182" s="328"/>
      <c r="K182" s="328"/>
      <c r="L182" s="1477" t="s">
        <v>1490</v>
      </c>
      <c r="M182" s="1477"/>
    </row>
    <row r="183" spans="1:26" ht="18" hidden="1" customHeight="1">
      <c r="A183" s="1327" t="s">
        <v>621</v>
      </c>
      <c r="B183" s="1343" t="s">
        <v>1598</v>
      </c>
      <c r="C183" s="1511" t="s">
        <v>1337</v>
      </c>
      <c r="D183" s="1512"/>
      <c r="E183" s="1513"/>
      <c r="F183" s="1511" t="s">
        <v>1336</v>
      </c>
      <c r="G183" s="1512"/>
      <c r="H183" s="1513"/>
      <c r="I183" s="1511" t="s">
        <v>253</v>
      </c>
      <c r="J183" s="1512"/>
      <c r="K183" s="1513"/>
      <c r="L183" s="1438" t="s">
        <v>1597</v>
      </c>
      <c r="M183" s="1563" t="s">
        <v>727</v>
      </c>
    </row>
    <row r="184" spans="1:26" s="639" customFormat="1" ht="18" hidden="1" customHeight="1">
      <c r="A184" s="1328"/>
      <c r="B184" s="1266"/>
      <c r="C184" s="1505" t="s">
        <v>138</v>
      </c>
      <c r="D184" s="1506"/>
      <c r="E184" s="1507"/>
      <c r="F184" s="1505" t="s">
        <v>1335</v>
      </c>
      <c r="G184" s="1506"/>
      <c r="H184" s="1507"/>
      <c r="I184" s="1505" t="s">
        <v>137</v>
      </c>
      <c r="J184" s="1506"/>
      <c r="K184" s="1507"/>
      <c r="L184" s="1439"/>
      <c r="M184" s="1564"/>
      <c r="N184"/>
      <c r="O184"/>
      <c r="P184"/>
      <c r="Q184"/>
      <c r="R184"/>
      <c r="S184"/>
      <c r="T184"/>
      <c r="U184"/>
      <c r="V184"/>
      <c r="W184"/>
      <c r="X184"/>
      <c r="Y184"/>
      <c r="Z184"/>
    </row>
    <row r="185" spans="1:26" ht="18" hidden="1" customHeight="1">
      <c r="A185" s="1328"/>
      <c r="B185" s="1266"/>
      <c r="C185" s="1109" t="s">
        <v>278</v>
      </c>
      <c r="D185" s="1109" t="s">
        <v>1334</v>
      </c>
      <c r="E185" s="1205" t="s">
        <v>1333</v>
      </c>
      <c r="F185" s="1109" t="s">
        <v>278</v>
      </c>
      <c r="G185" s="1109" t="s">
        <v>1334</v>
      </c>
      <c r="H185" s="1205" t="s">
        <v>1333</v>
      </c>
      <c r="I185" s="1109" t="s">
        <v>278</v>
      </c>
      <c r="J185" s="1109" t="s">
        <v>1334</v>
      </c>
      <c r="K185" s="1205" t="s">
        <v>1333</v>
      </c>
      <c r="L185" s="1439"/>
      <c r="M185" s="1564"/>
    </row>
    <row r="186" spans="1:26" s="639" customFormat="1" ht="18" hidden="1" customHeight="1">
      <c r="A186" s="1328"/>
      <c r="B186" s="1266"/>
      <c r="C186" s="971" t="s">
        <v>673</v>
      </c>
      <c r="D186" s="971" t="s">
        <v>13</v>
      </c>
      <c r="E186" s="971" t="s">
        <v>61</v>
      </c>
      <c r="F186" s="971" t="s">
        <v>673</v>
      </c>
      <c r="G186" s="971" t="s">
        <v>13</v>
      </c>
      <c r="H186" s="971" t="s">
        <v>61</v>
      </c>
      <c r="I186" s="971" t="s">
        <v>673</v>
      </c>
      <c r="J186" s="971" t="s">
        <v>13</v>
      </c>
      <c r="K186" s="971" t="s">
        <v>61</v>
      </c>
      <c r="L186" s="1439"/>
      <c r="M186" s="1564"/>
      <c r="N186"/>
      <c r="O186"/>
      <c r="P186"/>
      <c r="Q186"/>
      <c r="R186"/>
      <c r="S186"/>
      <c r="T186"/>
      <c r="U186"/>
      <c r="V186"/>
      <c r="W186"/>
      <c r="X186"/>
      <c r="Y186"/>
      <c r="Z186"/>
    </row>
    <row r="187" spans="1:26" ht="18" hidden="1" customHeight="1">
      <c r="A187" s="1329"/>
      <c r="B187" s="1267"/>
      <c r="C187" s="1206" t="s">
        <v>162</v>
      </c>
      <c r="D187" s="1206" t="s">
        <v>163</v>
      </c>
      <c r="E187" s="971" t="s">
        <v>1332</v>
      </c>
      <c r="F187" s="1206" t="s">
        <v>162</v>
      </c>
      <c r="G187" s="1206" t="s">
        <v>163</v>
      </c>
      <c r="H187" s="971" t="s">
        <v>1332</v>
      </c>
      <c r="I187" s="1206" t="s">
        <v>162</v>
      </c>
      <c r="J187" s="1206" t="s">
        <v>163</v>
      </c>
      <c r="K187" s="971" t="s">
        <v>1332</v>
      </c>
      <c r="L187" s="1462"/>
      <c r="M187" s="1565"/>
    </row>
    <row r="188" spans="1:26" s="639" customFormat="1" ht="20" customHeight="1">
      <c r="A188" s="1109"/>
      <c r="B188" s="627" t="s">
        <v>125</v>
      </c>
      <c r="C188" s="1168"/>
      <c r="D188" s="1125"/>
      <c r="E188" s="1151"/>
      <c r="F188" s="531"/>
      <c r="G188" s="623"/>
      <c r="H188" s="1167"/>
      <c r="I188" s="624"/>
      <c r="J188" s="625"/>
      <c r="K188" s="626"/>
      <c r="L188" s="1163" t="s">
        <v>1356</v>
      </c>
      <c r="M188" s="604"/>
      <c r="N188"/>
      <c r="O188"/>
      <c r="P188"/>
      <c r="Q188"/>
      <c r="R188"/>
      <c r="S188"/>
      <c r="T188"/>
      <c r="U188"/>
      <c r="V188"/>
      <c r="W188"/>
      <c r="X188"/>
      <c r="Y188"/>
      <c r="Z188"/>
    </row>
    <row r="189" spans="1:26" ht="27" customHeight="1">
      <c r="A189" s="325">
        <v>107</v>
      </c>
      <c r="B189" s="239" t="s">
        <v>1355</v>
      </c>
      <c r="C189" s="1166">
        <v>0</v>
      </c>
      <c r="D189" s="1130">
        <f>18+54</f>
        <v>72</v>
      </c>
      <c r="E189" s="1130">
        <f>D189+C189</f>
        <v>72</v>
      </c>
      <c r="F189" s="680">
        <v>0</v>
      </c>
      <c r="G189" s="681">
        <v>251</v>
      </c>
      <c r="H189" s="690">
        <f>G189+F189</f>
        <v>251</v>
      </c>
      <c r="I189" s="682">
        <v>18</v>
      </c>
      <c r="J189" s="683">
        <v>1013</v>
      </c>
      <c r="K189" s="693">
        <f>J189+I189</f>
        <v>1031</v>
      </c>
      <c r="L189" s="1129" t="s">
        <v>1759</v>
      </c>
      <c r="M189" s="1128">
        <v>107</v>
      </c>
    </row>
    <row r="190" spans="1:26" s="639" customFormat="1" ht="27" customHeight="1">
      <c r="A190" s="396">
        <v>108</v>
      </c>
      <c r="B190" s="240" t="s">
        <v>1354</v>
      </c>
      <c r="C190" s="1162">
        <v>0</v>
      </c>
      <c r="D190" s="1134">
        <f>28</f>
        <v>28</v>
      </c>
      <c r="E190" s="1134">
        <f>D190+C190</f>
        <v>28</v>
      </c>
      <c r="F190" s="164">
        <v>0</v>
      </c>
      <c r="G190" s="165">
        <v>91</v>
      </c>
      <c r="H190" s="165">
        <f>G190+F190</f>
        <v>91</v>
      </c>
      <c r="I190" s="167" t="s">
        <v>56</v>
      </c>
      <c r="J190" s="168">
        <v>298</v>
      </c>
      <c r="K190" s="202">
        <f>J190</f>
        <v>298</v>
      </c>
      <c r="L190" s="1133" t="s">
        <v>1760</v>
      </c>
      <c r="M190" s="954">
        <v>108</v>
      </c>
      <c r="N190"/>
      <c r="O190"/>
      <c r="P190"/>
      <c r="Q190"/>
      <c r="R190"/>
      <c r="S190"/>
      <c r="T190"/>
      <c r="U190"/>
      <c r="V190"/>
      <c r="W190"/>
      <c r="X190"/>
      <c r="Y190"/>
      <c r="Z190"/>
    </row>
    <row r="191" spans="1:26" ht="27" customHeight="1">
      <c r="A191" s="325">
        <v>109</v>
      </c>
      <c r="B191" s="239" t="s">
        <v>1353</v>
      </c>
      <c r="C191" s="1166">
        <v>0</v>
      </c>
      <c r="D191" s="1130">
        <f>8+30</f>
        <v>38</v>
      </c>
      <c r="E191" s="1130">
        <f>D191+C191</f>
        <v>38</v>
      </c>
      <c r="F191" s="680">
        <v>0</v>
      </c>
      <c r="G191" s="681">
        <v>70</v>
      </c>
      <c r="H191" s="690">
        <f>G191+F191</f>
        <v>70</v>
      </c>
      <c r="I191" s="682" t="s">
        <v>56</v>
      </c>
      <c r="J191" s="683">
        <v>447</v>
      </c>
      <c r="K191" s="693">
        <f t="shared" ref="K191:K193" si="34">J191</f>
        <v>447</v>
      </c>
      <c r="L191" s="1129" t="s">
        <v>1761</v>
      </c>
      <c r="M191" s="1128">
        <v>109</v>
      </c>
    </row>
    <row r="192" spans="1:26" s="639" customFormat="1" ht="27" customHeight="1">
      <c r="A192" s="396">
        <v>110</v>
      </c>
      <c r="B192" s="240" t="s">
        <v>1352</v>
      </c>
      <c r="C192" s="1136">
        <v>0</v>
      </c>
      <c r="D192" s="1135">
        <f>15+55</f>
        <v>70</v>
      </c>
      <c r="E192" s="1134">
        <f>D192+C192</f>
        <v>70</v>
      </c>
      <c r="F192" s="162">
        <v>0</v>
      </c>
      <c r="G192" s="163">
        <v>313</v>
      </c>
      <c r="H192" s="161">
        <f>G192+F192</f>
        <v>313</v>
      </c>
      <c r="I192" s="157" t="s">
        <v>56</v>
      </c>
      <c r="J192" s="157">
        <v>1525</v>
      </c>
      <c r="K192" s="202">
        <f t="shared" si="34"/>
        <v>1525</v>
      </c>
      <c r="L192" s="1133" t="s">
        <v>1762</v>
      </c>
      <c r="M192" s="954">
        <v>110</v>
      </c>
      <c r="N192"/>
      <c r="O192"/>
      <c r="P192"/>
      <c r="Q192"/>
      <c r="R192"/>
      <c r="S192"/>
      <c r="T192"/>
      <c r="U192"/>
      <c r="V192"/>
      <c r="W192"/>
      <c r="X192"/>
      <c r="Y192"/>
      <c r="Z192"/>
    </row>
    <row r="193" spans="1:26" ht="27" customHeight="1">
      <c r="A193" s="325">
        <v>111</v>
      </c>
      <c r="B193" s="271" t="s">
        <v>1351</v>
      </c>
      <c r="C193" s="680">
        <v>0</v>
      </c>
      <c r="D193" s="681">
        <f>29+6</f>
        <v>35</v>
      </c>
      <c r="E193" s="690">
        <f>D193+C193</f>
        <v>35</v>
      </c>
      <c r="F193" s="680">
        <v>0</v>
      </c>
      <c r="G193" s="681">
        <v>91</v>
      </c>
      <c r="H193" s="690">
        <f>G193+F193</f>
        <v>91</v>
      </c>
      <c r="I193" s="682" t="s">
        <v>56</v>
      </c>
      <c r="J193" s="683">
        <v>209</v>
      </c>
      <c r="K193" s="693">
        <f t="shared" si="34"/>
        <v>209</v>
      </c>
      <c r="L193" s="1129" t="s">
        <v>1763</v>
      </c>
      <c r="M193" s="1128">
        <v>111</v>
      </c>
    </row>
    <row r="194" spans="1:26" ht="20" customHeight="1">
      <c r="A194" s="604"/>
      <c r="B194" s="627" t="s">
        <v>126</v>
      </c>
      <c r="C194" s="1165"/>
      <c r="D194" s="1164"/>
      <c r="E194" s="1125"/>
      <c r="F194" s="525"/>
      <c r="G194" s="526"/>
      <c r="H194" s="628"/>
      <c r="I194" s="1122"/>
      <c r="J194" s="1122"/>
      <c r="K194" s="626"/>
      <c r="L194" s="1163" t="s">
        <v>1350</v>
      </c>
      <c r="M194" s="1148"/>
    </row>
    <row r="195" spans="1:26" ht="27" customHeight="1">
      <c r="A195" s="325">
        <v>112</v>
      </c>
      <c r="B195" s="239" t="s">
        <v>1349</v>
      </c>
      <c r="C195" s="1132">
        <f>11+11</f>
        <v>22</v>
      </c>
      <c r="D195" s="1131">
        <f>30+29</f>
        <v>59</v>
      </c>
      <c r="E195" s="1130">
        <f>D195+C195</f>
        <v>81</v>
      </c>
      <c r="F195" s="667">
        <v>0</v>
      </c>
      <c r="G195" s="668">
        <v>77</v>
      </c>
      <c r="H195" s="669">
        <f>G195+F195</f>
        <v>77</v>
      </c>
      <c r="I195" s="155" t="s">
        <v>56</v>
      </c>
      <c r="J195" s="155">
        <v>537</v>
      </c>
      <c r="K195" s="693">
        <f t="shared" ref="K195:K198" si="35">J195</f>
        <v>537</v>
      </c>
      <c r="L195" s="1129" t="s">
        <v>1764</v>
      </c>
      <c r="M195" s="1128">
        <v>112</v>
      </c>
    </row>
    <row r="196" spans="1:26" ht="27" customHeight="1">
      <c r="A196" s="396">
        <v>113</v>
      </c>
      <c r="B196" s="240" t="s">
        <v>1348</v>
      </c>
      <c r="C196" s="1136">
        <v>0</v>
      </c>
      <c r="D196" s="1135">
        <f>8+5</f>
        <v>13</v>
      </c>
      <c r="E196" s="1134">
        <f>D196+C196</f>
        <v>13</v>
      </c>
      <c r="F196" s="162">
        <v>0</v>
      </c>
      <c r="G196" s="163" t="s">
        <v>56</v>
      </c>
      <c r="H196" s="161" t="s">
        <v>56</v>
      </c>
      <c r="I196" s="157" t="s">
        <v>56</v>
      </c>
      <c r="J196" s="157">
        <v>96</v>
      </c>
      <c r="K196" s="202">
        <f t="shared" si="35"/>
        <v>96</v>
      </c>
      <c r="L196" s="1133" t="s">
        <v>1765</v>
      </c>
      <c r="M196" s="954">
        <v>113</v>
      </c>
    </row>
    <row r="197" spans="1:26" ht="27" customHeight="1">
      <c r="A197" s="325">
        <v>114</v>
      </c>
      <c r="B197" s="239" t="s">
        <v>1347</v>
      </c>
      <c r="C197" s="1132">
        <v>0</v>
      </c>
      <c r="D197" s="1131">
        <f>15+26</f>
        <v>41</v>
      </c>
      <c r="E197" s="1130">
        <f>D197+C197</f>
        <v>41</v>
      </c>
      <c r="F197" s="667">
        <v>0</v>
      </c>
      <c r="G197" s="668">
        <v>133</v>
      </c>
      <c r="H197" s="669">
        <f>G197+F197</f>
        <v>133</v>
      </c>
      <c r="I197" s="155" t="s">
        <v>56</v>
      </c>
      <c r="J197" s="155">
        <v>699</v>
      </c>
      <c r="K197" s="693">
        <f t="shared" si="35"/>
        <v>699</v>
      </c>
      <c r="L197" s="1129" t="s">
        <v>1766</v>
      </c>
      <c r="M197" s="1128">
        <v>114</v>
      </c>
    </row>
    <row r="198" spans="1:26" ht="27" customHeight="1">
      <c r="A198" s="396">
        <v>115</v>
      </c>
      <c r="B198" s="240" t="s">
        <v>1346</v>
      </c>
      <c r="C198" s="1136">
        <v>0</v>
      </c>
      <c r="D198" s="1135">
        <f>8+8</f>
        <v>16</v>
      </c>
      <c r="E198" s="1161">
        <f>D198+C198</f>
        <v>16</v>
      </c>
      <c r="F198" s="1134">
        <v>0</v>
      </c>
      <c r="G198" s="1134">
        <v>29</v>
      </c>
      <c r="H198" s="1161">
        <f>G198+F198</f>
        <v>29</v>
      </c>
      <c r="I198" s="205" t="s">
        <v>56</v>
      </c>
      <c r="J198" s="168">
        <v>338</v>
      </c>
      <c r="K198" s="202">
        <f t="shared" si="35"/>
        <v>338</v>
      </c>
      <c r="L198" s="1133" t="s">
        <v>1767</v>
      </c>
      <c r="M198" s="954">
        <v>115</v>
      </c>
    </row>
    <row r="199" spans="1:26" ht="20" customHeight="1">
      <c r="A199" s="848"/>
      <c r="B199" s="847" t="s">
        <v>127</v>
      </c>
      <c r="C199" s="1145"/>
      <c r="D199" s="1144"/>
      <c r="E199" s="1143"/>
      <c r="F199" s="1142"/>
      <c r="G199" s="1141"/>
      <c r="H199" s="1140"/>
      <c r="I199" s="1141"/>
      <c r="J199" s="1141"/>
      <c r="K199" s="846"/>
      <c r="L199" s="1138" t="s">
        <v>1345</v>
      </c>
      <c r="M199" s="1137"/>
    </row>
    <row r="200" spans="1:26" s="639" customFormat="1" ht="27" customHeight="1">
      <c r="A200" s="396">
        <v>116</v>
      </c>
      <c r="B200" s="240" t="s">
        <v>1344</v>
      </c>
      <c r="C200" s="1135">
        <v>0</v>
      </c>
      <c r="D200" s="1135">
        <f>15+14</f>
        <v>29</v>
      </c>
      <c r="E200" s="1134">
        <f>D200+C200</f>
        <v>29</v>
      </c>
      <c r="F200" s="1162">
        <v>0</v>
      </c>
      <c r="G200" s="1134">
        <v>28</v>
      </c>
      <c r="H200" s="1161">
        <f>G200+F200</f>
        <v>28</v>
      </c>
      <c r="I200" s="205" t="s">
        <v>56</v>
      </c>
      <c r="J200" s="205">
        <v>194</v>
      </c>
      <c r="K200" s="202">
        <f>J200</f>
        <v>194</v>
      </c>
      <c r="L200" s="1133" t="s">
        <v>1768</v>
      </c>
      <c r="M200" s="954">
        <v>116</v>
      </c>
      <c r="N200"/>
      <c r="O200"/>
      <c r="P200"/>
      <c r="Q200"/>
      <c r="R200"/>
      <c r="S200"/>
      <c r="T200"/>
      <c r="U200"/>
      <c r="V200"/>
      <c r="W200"/>
      <c r="X200"/>
      <c r="Y200"/>
      <c r="Z200"/>
    </row>
    <row r="201" spans="1:26" s="639" customFormat="1" ht="20" customHeight="1">
      <c r="A201" s="848"/>
      <c r="B201" s="847" t="s">
        <v>128</v>
      </c>
      <c r="C201" s="1144"/>
      <c r="D201" s="1144"/>
      <c r="E201" s="1143"/>
      <c r="F201" s="1142"/>
      <c r="G201" s="1141"/>
      <c r="H201" s="1140"/>
      <c r="I201" s="1139"/>
      <c r="J201" s="1139"/>
      <c r="K201" s="846"/>
      <c r="L201" s="1138" t="s">
        <v>1343</v>
      </c>
      <c r="M201" s="1137"/>
      <c r="N201"/>
      <c r="O201"/>
      <c r="P201"/>
      <c r="Q201"/>
      <c r="R201"/>
      <c r="S201"/>
      <c r="T201"/>
      <c r="U201"/>
      <c r="V201"/>
      <c r="W201"/>
      <c r="X201"/>
      <c r="Y201"/>
      <c r="Z201"/>
    </row>
    <row r="202" spans="1:26" s="639" customFormat="1" ht="22" customHeight="1">
      <c r="A202" s="396">
        <v>117</v>
      </c>
      <c r="B202" s="240" t="s">
        <v>1342</v>
      </c>
      <c r="C202" s="1136">
        <v>0</v>
      </c>
      <c r="D202" s="1135">
        <f>63+42</f>
        <v>105</v>
      </c>
      <c r="E202" s="1134">
        <f>D202+C202</f>
        <v>105</v>
      </c>
      <c r="F202" s="162">
        <v>0</v>
      </c>
      <c r="G202" s="163">
        <v>372</v>
      </c>
      <c r="H202" s="161">
        <f>G202+F202</f>
        <v>372</v>
      </c>
      <c r="I202" s="157" t="s">
        <v>56</v>
      </c>
      <c r="J202" s="157">
        <v>1042</v>
      </c>
      <c r="K202" s="202">
        <f t="shared" ref="K202:K204" si="36">J202</f>
        <v>1042</v>
      </c>
      <c r="L202" s="1160" t="s">
        <v>1806</v>
      </c>
      <c r="M202" s="879">
        <v>117</v>
      </c>
      <c r="N202"/>
      <c r="O202"/>
      <c r="P202"/>
      <c r="Q202"/>
      <c r="R202"/>
      <c r="S202"/>
      <c r="T202"/>
      <c r="U202"/>
      <c r="V202"/>
      <c r="W202"/>
      <c r="X202"/>
      <c r="Y202"/>
      <c r="Z202"/>
    </row>
    <row r="203" spans="1:26" s="639" customFormat="1" ht="27" customHeight="1">
      <c r="A203" s="325">
        <v>118</v>
      </c>
      <c r="B203" s="239" t="s">
        <v>1341</v>
      </c>
      <c r="C203" s="1132">
        <v>0</v>
      </c>
      <c r="D203" s="1131">
        <f>30+51</f>
        <v>81</v>
      </c>
      <c r="E203" s="1130">
        <f>D203+C203</f>
        <v>81</v>
      </c>
      <c r="F203" s="667">
        <v>0</v>
      </c>
      <c r="G203" s="668">
        <v>217</v>
      </c>
      <c r="H203" s="669">
        <f>G203+F203</f>
        <v>217</v>
      </c>
      <c r="I203" s="154" t="s">
        <v>56</v>
      </c>
      <c r="J203" s="155">
        <v>1097</v>
      </c>
      <c r="K203" s="693">
        <f t="shared" si="36"/>
        <v>1097</v>
      </c>
      <c r="L203" s="1159" t="s">
        <v>1769</v>
      </c>
      <c r="M203" s="878">
        <v>118</v>
      </c>
      <c r="N203"/>
      <c r="O203"/>
      <c r="P203"/>
      <c r="Q203"/>
      <c r="R203"/>
      <c r="S203"/>
      <c r="T203"/>
      <c r="U203"/>
      <c r="V203"/>
      <c r="W203"/>
      <c r="X203"/>
      <c r="Y203"/>
      <c r="Z203"/>
    </row>
    <row r="204" spans="1:26" s="639" customFormat="1" ht="27" customHeight="1">
      <c r="A204" s="397">
        <v>119</v>
      </c>
      <c r="B204" s="363" t="s">
        <v>1340</v>
      </c>
      <c r="C204" s="1158">
        <v>0</v>
      </c>
      <c r="D204" s="1157">
        <f>28+14</f>
        <v>42</v>
      </c>
      <c r="E204" s="1156">
        <f>D204+C204</f>
        <v>42</v>
      </c>
      <c r="F204" s="173">
        <v>0</v>
      </c>
      <c r="G204" s="174">
        <v>186</v>
      </c>
      <c r="H204" s="166">
        <f>G204+F204</f>
        <v>186</v>
      </c>
      <c r="I204" s="292" t="s">
        <v>56</v>
      </c>
      <c r="J204" s="206">
        <v>621</v>
      </c>
      <c r="K204" s="372">
        <f t="shared" si="36"/>
        <v>621</v>
      </c>
      <c r="L204" s="1155" t="s">
        <v>1770</v>
      </c>
      <c r="M204" s="955">
        <v>119</v>
      </c>
      <c r="N204"/>
      <c r="O204"/>
      <c r="P204"/>
      <c r="Q204"/>
      <c r="R204"/>
      <c r="S204"/>
      <c r="T204"/>
      <c r="U204"/>
      <c r="V204"/>
      <c r="W204"/>
      <c r="X204"/>
      <c r="Y204"/>
      <c r="Z204"/>
    </row>
    <row r="205" spans="1:26" ht="18" hidden="1" customHeight="1">
      <c r="A205" s="1419" t="s">
        <v>1339</v>
      </c>
      <c r="B205" s="1419"/>
      <c r="C205" s="523"/>
      <c r="D205" s="524"/>
      <c r="E205" s="524"/>
      <c r="F205" s="524"/>
      <c r="G205" s="524"/>
      <c r="H205" s="524"/>
      <c r="I205" s="524"/>
      <c r="J205" s="1477" t="s">
        <v>1338</v>
      </c>
      <c r="K205" s="1477"/>
      <c r="L205" s="1477"/>
      <c r="M205" s="1477"/>
    </row>
    <row r="206" spans="1:26" ht="15" hidden="1" customHeight="1">
      <c r="A206" s="1419"/>
      <c r="B206" s="1419"/>
      <c r="C206" s="523"/>
      <c r="D206" s="524"/>
      <c r="E206" s="524"/>
      <c r="F206" s="524"/>
      <c r="G206" s="524"/>
      <c r="H206" s="524"/>
      <c r="I206" s="524"/>
      <c r="J206" s="328"/>
      <c r="K206" s="328"/>
      <c r="L206" s="1477" t="s">
        <v>1490</v>
      </c>
      <c r="M206" s="1477"/>
    </row>
    <row r="207" spans="1:26" ht="17" hidden="1" customHeight="1">
      <c r="A207" s="1327" t="s">
        <v>621</v>
      </c>
      <c r="B207" s="1343" t="s">
        <v>1598</v>
      </c>
      <c r="C207" s="1511" t="s">
        <v>1337</v>
      </c>
      <c r="D207" s="1512"/>
      <c r="E207" s="1513"/>
      <c r="F207" s="1511" t="s">
        <v>1336</v>
      </c>
      <c r="G207" s="1512"/>
      <c r="H207" s="1513"/>
      <c r="I207" s="1511" t="s">
        <v>253</v>
      </c>
      <c r="J207" s="1512"/>
      <c r="K207" s="1513"/>
      <c r="L207" s="1438" t="s">
        <v>1597</v>
      </c>
      <c r="M207" s="1563" t="s">
        <v>727</v>
      </c>
    </row>
    <row r="208" spans="1:26" ht="17" hidden="1" customHeight="1">
      <c r="A208" s="1328"/>
      <c r="B208" s="1266"/>
      <c r="C208" s="1505" t="s">
        <v>138</v>
      </c>
      <c r="D208" s="1506"/>
      <c r="E208" s="1507"/>
      <c r="F208" s="1505" t="s">
        <v>1335</v>
      </c>
      <c r="G208" s="1506"/>
      <c r="H208" s="1507"/>
      <c r="I208" s="1505" t="s">
        <v>137</v>
      </c>
      <c r="J208" s="1506"/>
      <c r="K208" s="1507"/>
      <c r="L208" s="1439"/>
      <c r="M208" s="1564"/>
    </row>
    <row r="209" spans="1:26" s="639" customFormat="1" ht="17" hidden="1" customHeight="1">
      <c r="A209" s="1328"/>
      <c r="B209" s="1266"/>
      <c r="C209" s="1109" t="s">
        <v>278</v>
      </c>
      <c r="D209" s="1109" t="s">
        <v>1334</v>
      </c>
      <c r="E209" s="1205" t="s">
        <v>1333</v>
      </c>
      <c r="F209" s="1109" t="s">
        <v>278</v>
      </c>
      <c r="G209" s="1109" t="s">
        <v>1334</v>
      </c>
      <c r="H209" s="1205" t="s">
        <v>1333</v>
      </c>
      <c r="I209" s="1109" t="s">
        <v>278</v>
      </c>
      <c r="J209" s="1109" t="s">
        <v>1334</v>
      </c>
      <c r="K209" s="1205" t="s">
        <v>1333</v>
      </c>
      <c r="L209" s="1439"/>
      <c r="M209" s="1564"/>
      <c r="N209"/>
      <c r="O209"/>
      <c r="P209"/>
      <c r="Q209"/>
      <c r="R209"/>
      <c r="S209"/>
      <c r="T209"/>
      <c r="U209"/>
      <c r="V209"/>
      <c r="W209"/>
      <c r="X209"/>
      <c r="Y209"/>
      <c r="Z209"/>
    </row>
    <row r="210" spans="1:26" ht="17" hidden="1" customHeight="1">
      <c r="A210" s="1328"/>
      <c r="B210" s="1266"/>
      <c r="C210" s="971" t="s">
        <v>673</v>
      </c>
      <c r="D210" s="971" t="s">
        <v>13</v>
      </c>
      <c r="E210" s="971" t="s">
        <v>61</v>
      </c>
      <c r="F210" s="971" t="s">
        <v>673</v>
      </c>
      <c r="G210" s="971" t="s">
        <v>13</v>
      </c>
      <c r="H210" s="971" t="s">
        <v>61</v>
      </c>
      <c r="I210" s="971" t="s">
        <v>673</v>
      </c>
      <c r="J210" s="971" t="s">
        <v>13</v>
      </c>
      <c r="K210" s="971" t="s">
        <v>61</v>
      </c>
      <c r="L210" s="1439"/>
      <c r="M210" s="1564"/>
    </row>
    <row r="211" spans="1:26" s="639" customFormat="1" ht="17" hidden="1" customHeight="1">
      <c r="A211" s="1329"/>
      <c r="B211" s="1267"/>
      <c r="C211" s="1206" t="s">
        <v>162</v>
      </c>
      <c r="D211" s="1206" t="s">
        <v>163</v>
      </c>
      <c r="E211" s="971" t="s">
        <v>1332</v>
      </c>
      <c r="F211" s="1206" t="s">
        <v>162</v>
      </c>
      <c r="G211" s="1206" t="s">
        <v>163</v>
      </c>
      <c r="H211" s="971" t="s">
        <v>1332</v>
      </c>
      <c r="I211" s="1206" t="s">
        <v>162</v>
      </c>
      <c r="J211" s="1206" t="s">
        <v>163</v>
      </c>
      <c r="K211" s="971" t="s">
        <v>1332</v>
      </c>
      <c r="L211" s="1462"/>
      <c r="M211" s="1565"/>
      <c r="N211"/>
      <c r="O211"/>
      <c r="P211"/>
      <c r="Q211"/>
      <c r="R211"/>
      <c r="S211"/>
      <c r="T211"/>
      <c r="U211"/>
      <c r="V211"/>
      <c r="W211"/>
      <c r="X211"/>
      <c r="Y211"/>
      <c r="Z211"/>
    </row>
    <row r="212" spans="1:26" s="639" customFormat="1" ht="20" customHeight="1">
      <c r="A212" s="1154"/>
      <c r="B212" s="847" t="s">
        <v>1331</v>
      </c>
      <c r="C212" s="1145"/>
      <c r="D212" s="1144"/>
      <c r="E212" s="1143"/>
      <c r="F212" s="1142"/>
      <c r="G212" s="1141"/>
      <c r="H212" s="1140"/>
      <c r="I212" s="1153"/>
      <c r="J212" s="1139"/>
      <c r="K212" s="846"/>
      <c r="L212" s="1138" t="s">
        <v>1330</v>
      </c>
      <c r="M212" s="1152"/>
      <c r="N212"/>
      <c r="O212"/>
      <c r="P212"/>
      <c r="Q212"/>
      <c r="R212"/>
      <c r="S212"/>
      <c r="T212"/>
      <c r="U212"/>
      <c r="V212"/>
      <c r="W212"/>
      <c r="X212"/>
      <c r="Y212"/>
      <c r="Z212"/>
    </row>
    <row r="213" spans="1:26" ht="27.5" customHeight="1">
      <c r="A213" s="396">
        <v>120</v>
      </c>
      <c r="B213" s="240" t="s">
        <v>1329</v>
      </c>
      <c r="C213" s="1136">
        <v>2</v>
      </c>
      <c r="D213" s="1135">
        <f>21+9</f>
        <v>30</v>
      </c>
      <c r="E213" s="1134">
        <f>D213+C213</f>
        <v>32</v>
      </c>
      <c r="F213" s="162">
        <v>0</v>
      </c>
      <c r="G213" s="163">
        <v>30</v>
      </c>
      <c r="H213" s="161">
        <f>G213+F213</f>
        <v>30</v>
      </c>
      <c r="I213" s="157" t="s">
        <v>56</v>
      </c>
      <c r="J213" s="157">
        <v>267</v>
      </c>
      <c r="K213" s="202">
        <f>J213</f>
        <v>267</v>
      </c>
      <c r="L213" s="1133" t="s">
        <v>1771</v>
      </c>
      <c r="M213" s="954">
        <v>120</v>
      </c>
    </row>
    <row r="214" spans="1:26" s="639" customFormat="1" ht="27.5" customHeight="1">
      <c r="A214" s="325">
        <v>121</v>
      </c>
      <c r="B214" s="239" t="s">
        <v>1328</v>
      </c>
      <c r="C214" s="1132">
        <v>0</v>
      </c>
      <c r="D214" s="1131">
        <f>13+3</f>
        <v>16</v>
      </c>
      <c r="E214" s="1130">
        <f>D214+C214</f>
        <v>16</v>
      </c>
      <c r="F214" s="667">
        <v>0</v>
      </c>
      <c r="G214" s="668">
        <v>43</v>
      </c>
      <c r="H214" s="669">
        <f>G214+F214</f>
        <v>43</v>
      </c>
      <c r="I214" s="155" t="s">
        <v>56</v>
      </c>
      <c r="J214" s="155">
        <v>446</v>
      </c>
      <c r="K214" s="693">
        <f>J214</f>
        <v>446</v>
      </c>
      <c r="L214" s="1147" t="s">
        <v>1772</v>
      </c>
      <c r="M214" s="878">
        <v>121</v>
      </c>
      <c r="N214"/>
      <c r="O214"/>
      <c r="P214"/>
      <c r="Q214"/>
      <c r="R214"/>
      <c r="S214"/>
      <c r="T214"/>
      <c r="U214"/>
      <c r="V214"/>
      <c r="W214"/>
      <c r="X214"/>
      <c r="Y214"/>
      <c r="Z214"/>
    </row>
    <row r="215" spans="1:26" ht="20" customHeight="1">
      <c r="A215" s="604"/>
      <c r="B215" s="627" t="s">
        <v>164</v>
      </c>
      <c r="C215" s="1127"/>
      <c r="D215" s="1126"/>
      <c r="E215" s="1151"/>
      <c r="F215" s="1127"/>
      <c r="G215" s="1126"/>
      <c r="H215" s="1150"/>
      <c r="I215" s="1127"/>
      <c r="J215" s="1126"/>
      <c r="K215" s="626"/>
      <c r="L215" s="1149" t="s">
        <v>1327</v>
      </c>
      <c r="M215" s="1148"/>
    </row>
    <row r="216" spans="1:26" s="639" customFormat="1" ht="20" customHeight="1">
      <c r="A216" s="325">
        <v>122</v>
      </c>
      <c r="B216" s="239" t="s">
        <v>1326</v>
      </c>
      <c r="C216" s="1132">
        <v>11</v>
      </c>
      <c r="D216" s="1131">
        <f>42+80</f>
        <v>122</v>
      </c>
      <c r="E216" s="1130">
        <f t="shared" ref="E216:E223" si="37">D216+C216</f>
        <v>133</v>
      </c>
      <c r="F216" s="667">
        <v>0</v>
      </c>
      <c r="G216" s="668">
        <v>195</v>
      </c>
      <c r="H216" s="669">
        <f t="shared" ref="H216:H223" si="38">G216+F216</f>
        <v>195</v>
      </c>
      <c r="I216" s="155">
        <v>36</v>
      </c>
      <c r="J216" s="155">
        <v>1228</v>
      </c>
      <c r="K216" s="693">
        <f t="shared" ref="K216:K219" si="39">J216+I216</f>
        <v>1264</v>
      </c>
      <c r="L216" s="1147" t="s">
        <v>1807</v>
      </c>
      <c r="M216" s="1128">
        <v>122</v>
      </c>
      <c r="N216"/>
      <c r="O216"/>
      <c r="P216"/>
      <c r="Q216"/>
      <c r="R216"/>
      <c r="S216"/>
      <c r="T216"/>
      <c r="U216"/>
      <c r="V216"/>
      <c r="W216"/>
      <c r="X216"/>
      <c r="Y216"/>
      <c r="Z216"/>
    </row>
    <row r="217" spans="1:26" s="100" customFormat="1" ht="20" customHeight="1">
      <c r="A217" s="396">
        <v>123</v>
      </c>
      <c r="B217" s="240" t="s">
        <v>1325</v>
      </c>
      <c r="C217" s="1136">
        <v>0</v>
      </c>
      <c r="D217" s="1135">
        <f>75+100</f>
        <v>175</v>
      </c>
      <c r="E217" s="1134">
        <f t="shared" si="37"/>
        <v>175</v>
      </c>
      <c r="F217" s="162">
        <v>0</v>
      </c>
      <c r="G217" s="163">
        <v>184</v>
      </c>
      <c r="H217" s="161">
        <f t="shared" si="38"/>
        <v>184</v>
      </c>
      <c r="I217" s="157">
        <v>36</v>
      </c>
      <c r="J217" s="157">
        <v>1515</v>
      </c>
      <c r="K217" s="202">
        <f t="shared" si="39"/>
        <v>1551</v>
      </c>
      <c r="L217" s="1146" t="s">
        <v>1808</v>
      </c>
      <c r="M217" s="954">
        <v>123</v>
      </c>
      <c r="N217"/>
      <c r="O217"/>
      <c r="P217"/>
      <c r="Q217"/>
      <c r="R217"/>
      <c r="S217"/>
      <c r="T217"/>
      <c r="U217"/>
      <c r="V217"/>
      <c r="W217"/>
      <c r="X217"/>
      <c r="Y217"/>
      <c r="Z217"/>
    </row>
    <row r="218" spans="1:26" s="639" customFormat="1" ht="27.5" customHeight="1">
      <c r="A218" s="325">
        <v>124</v>
      </c>
      <c r="B218" s="239" t="s">
        <v>1324</v>
      </c>
      <c r="C218" s="1132">
        <v>0</v>
      </c>
      <c r="D218" s="1131">
        <v>28</v>
      </c>
      <c r="E218" s="1130">
        <f t="shared" si="37"/>
        <v>28</v>
      </c>
      <c r="F218" s="667">
        <v>0</v>
      </c>
      <c r="G218" s="668">
        <v>20</v>
      </c>
      <c r="H218" s="669">
        <f t="shared" si="38"/>
        <v>20</v>
      </c>
      <c r="I218" s="155" t="s">
        <v>56</v>
      </c>
      <c r="J218" s="155">
        <v>121</v>
      </c>
      <c r="K218" s="693">
        <f>J218</f>
        <v>121</v>
      </c>
      <c r="L218" s="1129" t="s">
        <v>1773</v>
      </c>
      <c r="M218" s="1128">
        <v>124</v>
      </c>
      <c r="N218"/>
      <c r="O218"/>
      <c r="P218"/>
      <c r="Q218"/>
      <c r="R218"/>
      <c r="S218"/>
      <c r="T218"/>
      <c r="U218"/>
      <c r="V218"/>
      <c r="W218"/>
      <c r="X218"/>
      <c r="Y218"/>
      <c r="Z218"/>
    </row>
    <row r="219" spans="1:26" ht="27.5" customHeight="1">
      <c r="A219" s="396">
        <v>125</v>
      </c>
      <c r="B219" s="240" t="s">
        <v>1323</v>
      </c>
      <c r="C219" s="1136">
        <v>1</v>
      </c>
      <c r="D219" s="1135">
        <f>26+34</f>
        <v>60</v>
      </c>
      <c r="E219" s="1134">
        <f t="shared" si="37"/>
        <v>61</v>
      </c>
      <c r="F219" s="162">
        <v>0</v>
      </c>
      <c r="G219" s="163">
        <v>52</v>
      </c>
      <c r="H219" s="161">
        <f t="shared" si="38"/>
        <v>52</v>
      </c>
      <c r="I219" s="157">
        <v>12</v>
      </c>
      <c r="J219" s="157">
        <v>585</v>
      </c>
      <c r="K219" s="202">
        <f t="shared" si="39"/>
        <v>597</v>
      </c>
      <c r="L219" s="1133" t="s">
        <v>1774</v>
      </c>
      <c r="M219" s="954">
        <v>125</v>
      </c>
    </row>
    <row r="220" spans="1:26" s="639" customFormat="1" ht="27.5" customHeight="1">
      <c r="A220" s="325">
        <v>126</v>
      </c>
      <c r="B220" s="239" t="s">
        <v>1322</v>
      </c>
      <c r="C220" s="1132">
        <v>0</v>
      </c>
      <c r="D220" s="1131">
        <f>18+37</f>
        <v>55</v>
      </c>
      <c r="E220" s="1130">
        <f t="shared" si="37"/>
        <v>55</v>
      </c>
      <c r="F220" s="667">
        <v>0</v>
      </c>
      <c r="G220" s="668" t="s">
        <v>56</v>
      </c>
      <c r="H220" s="669" t="s">
        <v>56</v>
      </c>
      <c r="I220" s="155" t="s">
        <v>56</v>
      </c>
      <c r="J220" s="155">
        <v>219</v>
      </c>
      <c r="K220" s="693">
        <f t="shared" ref="K220:K223" si="40">J220</f>
        <v>219</v>
      </c>
      <c r="L220" s="1129" t="s">
        <v>1775</v>
      </c>
      <c r="M220" s="1128">
        <v>126</v>
      </c>
      <c r="N220"/>
      <c r="O220"/>
      <c r="P220"/>
      <c r="Q220"/>
      <c r="R220"/>
      <c r="S220"/>
      <c r="T220"/>
      <c r="U220"/>
      <c r="V220"/>
      <c r="W220"/>
      <c r="X220"/>
      <c r="Y220"/>
      <c r="Z220"/>
    </row>
    <row r="221" spans="1:26" ht="27.5" customHeight="1">
      <c r="A221" s="396">
        <v>127</v>
      </c>
      <c r="B221" s="240" t="s">
        <v>1321</v>
      </c>
      <c r="C221" s="1136">
        <v>0</v>
      </c>
      <c r="D221" s="1135">
        <f>14+9</f>
        <v>23</v>
      </c>
      <c r="E221" s="1134">
        <f t="shared" si="37"/>
        <v>23</v>
      </c>
      <c r="F221" s="162">
        <v>0</v>
      </c>
      <c r="G221" s="163">
        <v>43</v>
      </c>
      <c r="H221" s="161">
        <f t="shared" si="38"/>
        <v>43</v>
      </c>
      <c r="I221" s="157" t="s">
        <v>56</v>
      </c>
      <c r="J221" s="157">
        <v>244</v>
      </c>
      <c r="K221" s="202">
        <f t="shared" si="40"/>
        <v>244</v>
      </c>
      <c r="L221" s="1133" t="s">
        <v>1776</v>
      </c>
      <c r="M221" s="954">
        <v>127</v>
      </c>
    </row>
    <row r="222" spans="1:26" s="639" customFormat="1" ht="27.5" customHeight="1">
      <c r="A222" s="325">
        <v>128</v>
      </c>
      <c r="B222" s="239" t="s">
        <v>1320</v>
      </c>
      <c r="C222" s="1132">
        <f>8+18</f>
        <v>26</v>
      </c>
      <c r="D222" s="1131">
        <f>12+5</f>
        <v>17</v>
      </c>
      <c r="E222" s="1130">
        <f t="shared" si="37"/>
        <v>43</v>
      </c>
      <c r="F222" s="667">
        <v>0</v>
      </c>
      <c r="G222" s="668">
        <v>13</v>
      </c>
      <c r="H222" s="669">
        <f t="shared" si="38"/>
        <v>13</v>
      </c>
      <c r="I222" s="155" t="s">
        <v>56</v>
      </c>
      <c r="J222" s="155">
        <v>241</v>
      </c>
      <c r="K222" s="693">
        <f t="shared" si="40"/>
        <v>241</v>
      </c>
      <c r="L222" s="1129" t="s">
        <v>1777</v>
      </c>
      <c r="M222" s="1128">
        <v>128</v>
      </c>
      <c r="N222"/>
      <c r="O222"/>
      <c r="P222"/>
      <c r="Q222"/>
      <c r="R222"/>
      <c r="S222"/>
      <c r="T222"/>
      <c r="U222"/>
      <c r="V222"/>
      <c r="W222"/>
      <c r="X222"/>
      <c r="Y222"/>
      <c r="Z222"/>
    </row>
    <row r="223" spans="1:26" ht="27.5" customHeight="1">
      <c r="A223" s="396">
        <v>129</v>
      </c>
      <c r="B223" s="240" t="s">
        <v>1319</v>
      </c>
      <c r="C223" s="1136">
        <v>6</v>
      </c>
      <c r="D223" s="1135">
        <f>33+11</f>
        <v>44</v>
      </c>
      <c r="E223" s="1134">
        <f t="shared" si="37"/>
        <v>50</v>
      </c>
      <c r="F223" s="162">
        <v>0</v>
      </c>
      <c r="G223" s="163">
        <v>15</v>
      </c>
      <c r="H223" s="161">
        <f t="shared" si="38"/>
        <v>15</v>
      </c>
      <c r="I223" s="157" t="s">
        <v>56</v>
      </c>
      <c r="J223" s="157">
        <v>239</v>
      </c>
      <c r="K223" s="202">
        <f t="shared" si="40"/>
        <v>239</v>
      </c>
      <c r="L223" s="1133" t="s">
        <v>1778</v>
      </c>
      <c r="M223" s="954">
        <v>129</v>
      </c>
    </row>
    <row r="224" spans="1:26" s="639" customFormat="1" ht="20" customHeight="1">
      <c r="A224" s="848"/>
      <c r="B224" s="847" t="s">
        <v>1318</v>
      </c>
      <c r="C224" s="1145"/>
      <c r="D224" s="1144"/>
      <c r="E224" s="1143"/>
      <c r="F224" s="1142"/>
      <c r="G224" s="1141"/>
      <c r="H224" s="1140"/>
      <c r="I224" s="1139"/>
      <c r="J224" s="1139"/>
      <c r="K224" s="846"/>
      <c r="L224" s="1138" t="s">
        <v>59</v>
      </c>
      <c r="M224" s="1137"/>
      <c r="N224"/>
      <c r="O224"/>
      <c r="P224"/>
      <c r="Q224"/>
      <c r="R224"/>
      <c r="S224"/>
      <c r="T224"/>
      <c r="U224"/>
      <c r="V224"/>
      <c r="W224"/>
      <c r="X224"/>
      <c r="Y224"/>
      <c r="Z224"/>
    </row>
    <row r="225" spans="1:26" ht="27.5" customHeight="1">
      <c r="A225" s="396">
        <v>130</v>
      </c>
      <c r="B225" s="240" t="s">
        <v>1317</v>
      </c>
      <c r="C225" s="1136">
        <v>0</v>
      </c>
      <c r="D225" s="1135">
        <f>31+9</f>
        <v>40</v>
      </c>
      <c r="E225" s="1134">
        <f>D225+C225</f>
        <v>40</v>
      </c>
      <c r="F225" s="162">
        <v>0</v>
      </c>
      <c r="G225" s="163">
        <v>53</v>
      </c>
      <c r="H225" s="161">
        <f>G225+F225</f>
        <v>53</v>
      </c>
      <c r="I225" s="157" t="s">
        <v>56</v>
      </c>
      <c r="J225" s="157">
        <v>354</v>
      </c>
      <c r="K225" s="202">
        <f t="shared" ref="K225:K226" si="41">J225</f>
        <v>354</v>
      </c>
      <c r="L225" s="1133" t="s">
        <v>1781</v>
      </c>
      <c r="M225" s="954">
        <v>130</v>
      </c>
    </row>
    <row r="226" spans="1:26" s="639" customFormat="1" ht="27.5" customHeight="1">
      <c r="A226" s="325">
        <v>131</v>
      </c>
      <c r="B226" s="239" t="s">
        <v>1316</v>
      </c>
      <c r="C226" s="1132">
        <v>0</v>
      </c>
      <c r="D226" s="1131">
        <f>14+11</f>
        <v>25</v>
      </c>
      <c r="E226" s="1130">
        <f>D226+C226</f>
        <v>25</v>
      </c>
      <c r="F226" s="667">
        <v>0</v>
      </c>
      <c r="G226" s="668">
        <v>76</v>
      </c>
      <c r="H226" s="669">
        <f>G226+F226</f>
        <v>76</v>
      </c>
      <c r="I226" s="155" t="s">
        <v>56</v>
      </c>
      <c r="J226" s="155">
        <v>150</v>
      </c>
      <c r="K226" s="693">
        <f t="shared" si="41"/>
        <v>150</v>
      </c>
      <c r="L226" s="1129" t="s">
        <v>1779</v>
      </c>
      <c r="M226" s="1128">
        <v>131</v>
      </c>
      <c r="N226"/>
      <c r="O226"/>
      <c r="P226"/>
      <c r="Q226"/>
      <c r="R226"/>
      <c r="S226"/>
      <c r="T226"/>
      <c r="U226"/>
      <c r="V226"/>
      <c r="W226"/>
      <c r="X226"/>
      <c r="Y226"/>
      <c r="Z226"/>
    </row>
    <row r="227" spans="1:26" ht="20" customHeight="1">
      <c r="A227" s="604"/>
      <c r="B227" s="627" t="s">
        <v>132</v>
      </c>
      <c r="C227" s="1127"/>
      <c r="D227" s="1126"/>
      <c r="E227" s="1125"/>
      <c r="F227" s="1124"/>
      <c r="G227" s="1122"/>
      <c r="H227" s="1123"/>
      <c r="I227" s="1122"/>
      <c r="J227" s="1122"/>
      <c r="K227" s="626"/>
      <c r="L227" s="1121" t="s">
        <v>1315</v>
      </c>
      <c r="M227" s="1120"/>
    </row>
    <row r="228" spans="1:26" ht="27.5" customHeight="1">
      <c r="A228" s="664">
        <v>132</v>
      </c>
      <c r="B228" s="275" t="s">
        <v>1314</v>
      </c>
      <c r="C228" s="1119">
        <v>0</v>
      </c>
      <c r="D228" s="1118">
        <f>11+2</f>
        <v>13</v>
      </c>
      <c r="E228" s="1117">
        <f>D228+C228</f>
        <v>13</v>
      </c>
      <c r="F228" s="687">
        <v>0</v>
      </c>
      <c r="G228" s="688">
        <v>38</v>
      </c>
      <c r="H228" s="686">
        <f>G228+F228</f>
        <v>38</v>
      </c>
      <c r="I228" s="647" t="s">
        <v>56</v>
      </c>
      <c r="J228" s="647">
        <v>116</v>
      </c>
      <c r="K228" s="1116">
        <f>J228</f>
        <v>116</v>
      </c>
      <c r="L228" s="1115" t="s">
        <v>1780</v>
      </c>
      <c r="M228" s="1114">
        <v>132</v>
      </c>
    </row>
    <row r="229" spans="1:26">
      <c r="A229" s="1110" t="s">
        <v>758</v>
      </c>
      <c r="B229" s="1111"/>
      <c r="C229" s="1111"/>
      <c r="D229" s="1111"/>
      <c r="E229" s="523"/>
      <c r="F229" s="523"/>
      <c r="H229" s="1112"/>
      <c r="J229" s="1113"/>
      <c r="K229" s="1113"/>
      <c r="L229" s="1113"/>
      <c r="M229" s="1113" t="s">
        <v>1599</v>
      </c>
    </row>
  </sheetData>
  <mergeCells count="130">
    <mergeCell ref="M207:M211"/>
    <mergeCell ref="C208:E208"/>
    <mergeCell ref="F208:H208"/>
    <mergeCell ref="I208:K208"/>
    <mergeCell ref="A207:A211"/>
    <mergeCell ref="B207:B211"/>
    <mergeCell ref="C207:E207"/>
    <mergeCell ref="F207:H207"/>
    <mergeCell ref="I207:K207"/>
    <mergeCell ref="L207:L211"/>
    <mergeCell ref="M183:M187"/>
    <mergeCell ref="C184:E184"/>
    <mergeCell ref="F184:H184"/>
    <mergeCell ref="I184:K184"/>
    <mergeCell ref="M162:M166"/>
    <mergeCell ref="C163:E163"/>
    <mergeCell ref="F163:H163"/>
    <mergeCell ref="I163:K163"/>
    <mergeCell ref="A205:B206"/>
    <mergeCell ref="J205:M205"/>
    <mergeCell ref="L206:M206"/>
    <mergeCell ref="A183:A187"/>
    <mergeCell ref="B183:B187"/>
    <mergeCell ref="C183:E183"/>
    <mergeCell ref="F183:H183"/>
    <mergeCell ref="I183:K183"/>
    <mergeCell ref="L183:L187"/>
    <mergeCell ref="A181:B182"/>
    <mergeCell ref="J181:M181"/>
    <mergeCell ref="L182:M182"/>
    <mergeCell ref="A162:A166"/>
    <mergeCell ref="B162:B166"/>
    <mergeCell ref="C162:E162"/>
    <mergeCell ref="A160:B161"/>
    <mergeCell ref="J160:M160"/>
    <mergeCell ref="L161:M161"/>
    <mergeCell ref="F162:H162"/>
    <mergeCell ref="I162:K162"/>
    <mergeCell ref="L162:L166"/>
    <mergeCell ref="M140:M144"/>
    <mergeCell ref="C141:E141"/>
    <mergeCell ref="F141:H141"/>
    <mergeCell ref="I141:K141"/>
    <mergeCell ref="A140:A144"/>
    <mergeCell ref="B140:B144"/>
    <mergeCell ref="C140:E140"/>
    <mergeCell ref="F140:H140"/>
    <mergeCell ref="I140:K140"/>
    <mergeCell ref="L140:L144"/>
    <mergeCell ref="M116:M120"/>
    <mergeCell ref="C117:E117"/>
    <mergeCell ref="F117:H117"/>
    <mergeCell ref="I117:K117"/>
    <mergeCell ref="A138:B139"/>
    <mergeCell ref="J138:M138"/>
    <mergeCell ref="L139:M139"/>
    <mergeCell ref="A116:A120"/>
    <mergeCell ref="B116:B120"/>
    <mergeCell ref="C116:E116"/>
    <mergeCell ref="F116:H116"/>
    <mergeCell ref="I116:K116"/>
    <mergeCell ref="L116:L120"/>
    <mergeCell ref="M94:M98"/>
    <mergeCell ref="C95:E95"/>
    <mergeCell ref="F95:H95"/>
    <mergeCell ref="I95:K95"/>
    <mergeCell ref="M74:M78"/>
    <mergeCell ref="C75:E75"/>
    <mergeCell ref="F75:H75"/>
    <mergeCell ref="I75:K75"/>
    <mergeCell ref="A114:B115"/>
    <mergeCell ref="J114:M114"/>
    <mergeCell ref="L115:M115"/>
    <mergeCell ref="A94:A98"/>
    <mergeCell ref="B94:B98"/>
    <mergeCell ref="C94:E94"/>
    <mergeCell ref="F94:H94"/>
    <mergeCell ref="I94:K94"/>
    <mergeCell ref="L94:L98"/>
    <mergeCell ref="A92:B93"/>
    <mergeCell ref="J92:M92"/>
    <mergeCell ref="L93:M93"/>
    <mergeCell ref="A74:A78"/>
    <mergeCell ref="B74:B78"/>
    <mergeCell ref="C74:E74"/>
    <mergeCell ref="A72:B73"/>
    <mergeCell ref="J72:M72"/>
    <mergeCell ref="L73:M73"/>
    <mergeCell ref="F74:H74"/>
    <mergeCell ref="I74:K74"/>
    <mergeCell ref="L74:L78"/>
    <mergeCell ref="M53:M57"/>
    <mergeCell ref="C54:E54"/>
    <mergeCell ref="F54:H54"/>
    <mergeCell ref="I54:K54"/>
    <mergeCell ref="A53:A57"/>
    <mergeCell ref="B53:B57"/>
    <mergeCell ref="C53:E53"/>
    <mergeCell ref="F53:H53"/>
    <mergeCell ref="I53:K53"/>
    <mergeCell ref="L53:L57"/>
    <mergeCell ref="M31:M35"/>
    <mergeCell ref="C32:E32"/>
    <mergeCell ref="F32:H32"/>
    <mergeCell ref="I32:K32"/>
    <mergeCell ref="A51:B52"/>
    <mergeCell ref="J51:M51"/>
    <mergeCell ref="L52:M52"/>
    <mergeCell ref="A31:A35"/>
    <mergeCell ref="B31:B35"/>
    <mergeCell ref="C31:E31"/>
    <mergeCell ref="F31:H31"/>
    <mergeCell ref="I31:K31"/>
    <mergeCell ref="L31:L35"/>
    <mergeCell ref="A29:B30"/>
    <mergeCell ref="J29:M29"/>
    <mergeCell ref="L30:M30"/>
    <mergeCell ref="A1:M1"/>
    <mergeCell ref="A2:M2"/>
    <mergeCell ref="A3:M3"/>
    <mergeCell ref="A4:A8"/>
    <mergeCell ref="B4:B8"/>
    <mergeCell ref="C4:E4"/>
    <mergeCell ref="F4:H4"/>
    <mergeCell ref="I4:K4"/>
    <mergeCell ref="L4:L8"/>
    <mergeCell ref="M4:M8"/>
    <mergeCell ref="C5:E5"/>
    <mergeCell ref="F5:H5"/>
    <mergeCell ref="I5:K5"/>
  </mergeCells>
  <printOptions horizontalCentered="1"/>
  <pageMargins left="0" right="0" top="0.06" bottom="0.6" header="0.03" footer="0.39370078740157499"/>
  <pageSetup paperSize="9" orientation="landscape" r:id="rId1"/>
  <headerFooter>
    <oddFooter>&amp;L&amp;"Times New Roman,Regular"&amp;10    Afghanistan Statistical Yearbook 2023-24&amp;R&amp;"Times New Roman,Regular"&amp;10          د ۱۴۰۲ احصایيوي کالنۍ  /سالنامه احصائیوی ۱۴۰۲</oddFoot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"/>
  <sheetViews>
    <sheetView rightToLeft="1" workbookViewId="0"/>
  </sheetViews>
  <sheetFormatPr baseColWidth="10" defaultColWidth="8.83203125" defaultRowHeight="15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D24"/>
  <sheetViews>
    <sheetView view="pageBreakPreview" topLeftCell="A13" zoomScale="115" zoomScaleNormal="115" zoomScaleSheetLayoutView="115" workbookViewId="0">
      <selection activeCell="B3" sqref="B3:C3"/>
    </sheetView>
  </sheetViews>
  <sheetFormatPr baseColWidth="10" defaultColWidth="8.83203125" defaultRowHeight="15"/>
  <cols>
    <col min="1" max="1" width="17.5" customWidth="1"/>
    <col min="2" max="2" width="13.83203125" customWidth="1"/>
    <col min="3" max="3" width="17.5" customWidth="1"/>
    <col min="4" max="4" width="41.1640625" customWidth="1"/>
  </cols>
  <sheetData>
    <row r="1" spans="1:4" ht="31.5" customHeight="1">
      <c r="A1" s="1620" t="s">
        <v>640</v>
      </c>
      <c r="B1" s="1620"/>
      <c r="C1" s="1620"/>
      <c r="D1" s="1620"/>
    </row>
    <row r="2" spans="1:4" ht="36" customHeight="1">
      <c r="A2" s="380">
        <v>1400</v>
      </c>
      <c r="B2" s="1612">
        <v>1399</v>
      </c>
      <c r="C2" s="1613"/>
      <c r="D2" s="380" t="s">
        <v>80</v>
      </c>
    </row>
    <row r="3" spans="1:4" ht="36" customHeight="1">
      <c r="A3" s="384">
        <v>17780</v>
      </c>
      <c r="B3" s="1614"/>
      <c r="C3" s="1615"/>
      <c r="D3" s="381" t="s">
        <v>643</v>
      </c>
    </row>
    <row r="4" spans="1:4" ht="36" customHeight="1">
      <c r="A4" s="386">
        <f>A5+A6</f>
        <v>9966496</v>
      </c>
      <c r="C4" s="387" t="s">
        <v>52</v>
      </c>
      <c r="D4" s="1618" t="s">
        <v>642</v>
      </c>
    </row>
    <row r="5" spans="1:4" ht="36" customHeight="1">
      <c r="A5" s="382">
        <v>6085602</v>
      </c>
      <c r="C5" s="388" t="s">
        <v>644</v>
      </c>
      <c r="D5" s="1618"/>
    </row>
    <row r="6" spans="1:4" ht="25" customHeight="1">
      <c r="A6" s="382">
        <v>3880894</v>
      </c>
      <c r="C6" s="383" t="s">
        <v>8</v>
      </c>
      <c r="D6" s="1618"/>
    </row>
    <row r="7" spans="1:4" ht="25" customHeight="1">
      <c r="A7" s="382">
        <f>A8+A9</f>
        <v>234022</v>
      </c>
      <c r="C7" s="387" t="s">
        <v>52</v>
      </c>
      <c r="D7" s="1618" t="s">
        <v>647</v>
      </c>
    </row>
    <row r="8" spans="1:4" ht="25" customHeight="1">
      <c r="A8" s="382">
        <f>122353+19885</f>
        <v>142238</v>
      </c>
      <c r="C8" s="388" t="s">
        <v>644</v>
      </c>
      <c r="D8" s="1618"/>
    </row>
    <row r="9" spans="1:4" ht="25" customHeight="1">
      <c r="A9" s="382">
        <f>68113+23671</f>
        <v>91784</v>
      </c>
      <c r="C9" s="383" t="s">
        <v>8</v>
      </c>
      <c r="D9" s="1618"/>
    </row>
    <row r="10" spans="1:4" ht="25" customHeight="1">
      <c r="A10" s="382">
        <v>317330</v>
      </c>
      <c r="C10" s="388" t="s">
        <v>52</v>
      </c>
      <c r="D10" s="1617" t="s">
        <v>641</v>
      </c>
    </row>
    <row r="11" spans="1:4" ht="25" customHeight="1">
      <c r="A11" s="382">
        <v>83637</v>
      </c>
      <c r="C11" s="388" t="s">
        <v>644</v>
      </c>
      <c r="D11" s="1617"/>
    </row>
    <row r="12" spans="1:4" ht="25" customHeight="1">
      <c r="A12" s="382">
        <v>233693</v>
      </c>
      <c r="C12" s="383" t="s">
        <v>8</v>
      </c>
      <c r="D12" s="1617"/>
    </row>
    <row r="13" spans="1:4" ht="25" customHeight="1">
      <c r="A13" s="382">
        <f>A14+A15</f>
        <v>8700</v>
      </c>
      <c r="C13" s="388" t="s">
        <v>52</v>
      </c>
      <c r="D13" s="1618" t="s">
        <v>648</v>
      </c>
    </row>
    <row r="14" spans="1:4" ht="16">
      <c r="A14" s="382">
        <f>7245+339</f>
        <v>7584</v>
      </c>
      <c r="C14" s="388" t="s">
        <v>644</v>
      </c>
      <c r="D14" s="1618"/>
    </row>
    <row r="15" spans="1:4">
      <c r="A15" s="389">
        <f>972+144</f>
        <v>1116</v>
      </c>
      <c r="B15" s="105"/>
      <c r="C15" s="390" t="s">
        <v>8</v>
      </c>
      <c r="D15" s="1619"/>
    </row>
    <row r="16" spans="1:4" ht="16">
      <c r="A16" s="1620" t="s">
        <v>650</v>
      </c>
      <c r="B16" s="1620"/>
      <c r="C16" s="1620"/>
      <c r="D16" s="1620"/>
    </row>
    <row r="17" spans="1:4" ht="16">
      <c r="A17" s="380">
        <v>1400</v>
      </c>
      <c r="B17" s="1612">
        <v>1399</v>
      </c>
      <c r="C17" s="1613"/>
      <c r="D17" s="380" t="s">
        <v>80</v>
      </c>
    </row>
    <row r="18" spans="1:4" ht="16">
      <c r="A18" s="385">
        <v>168</v>
      </c>
      <c r="B18" s="1614">
        <v>167</v>
      </c>
      <c r="C18" s="1615"/>
      <c r="D18" s="394" t="s">
        <v>645</v>
      </c>
    </row>
    <row r="19" spans="1:4" ht="16">
      <c r="A19" s="386">
        <f>A20+A21</f>
        <v>348810</v>
      </c>
      <c r="B19" s="30">
        <f>B20+B21</f>
        <v>429790</v>
      </c>
      <c r="C19" s="387" t="s">
        <v>52</v>
      </c>
      <c r="D19" s="1616" t="s">
        <v>646</v>
      </c>
    </row>
    <row r="20" spans="1:4" ht="16">
      <c r="A20" s="382">
        <v>246180</v>
      </c>
      <c r="B20" s="379">
        <v>306155</v>
      </c>
      <c r="C20" s="388" t="s">
        <v>644</v>
      </c>
      <c r="D20" s="1616"/>
    </row>
    <row r="21" spans="1:4">
      <c r="A21" s="382">
        <v>102630</v>
      </c>
      <c r="B21">
        <v>123635</v>
      </c>
      <c r="C21" s="383" t="s">
        <v>8</v>
      </c>
      <c r="D21" s="1616"/>
    </row>
    <row r="22" spans="1:4" ht="16">
      <c r="A22" s="392">
        <f>A23+A24</f>
        <v>16546</v>
      </c>
      <c r="B22" s="391">
        <f>B23+B24</f>
        <v>18391</v>
      </c>
      <c r="C22" s="393" t="s">
        <v>52</v>
      </c>
      <c r="D22" s="1616" t="s">
        <v>649</v>
      </c>
    </row>
    <row r="23" spans="1:4" ht="16">
      <c r="A23" s="382">
        <v>14270</v>
      </c>
      <c r="B23">
        <v>15906</v>
      </c>
      <c r="C23" s="388" t="s">
        <v>644</v>
      </c>
      <c r="D23" s="1616"/>
    </row>
    <row r="24" spans="1:4">
      <c r="A24" s="389">
        <v>2276</v>
      </c>
      <c r="B24" s="105">
        <v>2485</v>
      </c>
      <c r="C24" s="390" t="s">
        <v>8</v>
      </c>
      <c r="D24" s="1616"/>
    </row>
  </sheetData>
  <mergeCells count="12">
    <mergeCell ref="B3:C3"/>
    <mergeCell ref="D7:D9"/>
    <mergeCell ref="D13:D15"/>
    <mergeCell ref="A16:D16"/>
    <mergeCell ref="A1:D1"/>
    <mergeCell ref="B2:C2"/>
    <mergeCell ref="D4:D6"/>
    <mergeCell ref="B17:C17"/>
    <mergeCell ref="B18:C18"/>
    <mergeCell ref="D19:D21"/>
    <mergeCell ref="D22:D24"/>
    <mergeCell ref="D10:D1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35</vt:i4>
      </vt:variant>
      <vt:variant>
        <vt:lpstr>Named Ranges</vt:lpstr>
      </vt:variant>
      <vt:variant>
        <vt:i4>33</vt:i4>
      </vt:variant>
    </vt:vector>
  </HeadingPairs>
  <TitlesOfParts>
    <vt:vector size="68" baseType="lpstr">
      <vt:lpstr>1-4</vt:lpstr>
      <vt:lpstr>2-4</vt:lpstr>
      <vt:lpstr>3-4</vt:lpstr>
      <vt:lpstr>4-4</vt:lpstr>
      <vt:lpstr>5-4</vt:lpstr>
      <vt:lpstr>6-4</vt:lpstr>
      <vt:lpstr>7-4</vt:lpstr>
      <vt:lpstr>8-4</vt:lpstr>
      <vt:lpstr>9-4</vt:lpstr>
      <vt:lpstr>10-4</vt:lpstr>
      <vt:lpstr>تربیه معلم 4-12</vt:lpstr>
      <vt:lpstr>11-4</vt:lpstr>
      <vt:lpstr>12-4</vt:lpstr>
      <vt:lpstr>13-4</vt:lpstr>
      <vt:lpstr>14-4</vt:lpstr>
      <vt:lpstr>15-4</vt:lpstr>
      <vt:lpstr>New TA</vt:lpstr>
      <vt:lpstr>4-16</vt:lpstr>
      <vt:lpstr>17-4</vt:lpstr>
      <vt:lpstr>18-4</vt:lpstr>
      <vt:lpstr>19-4</vt:lpstr>
      <vt:lpstr>20-4</vt:lpstr>
      <vt:lpstr>21-4</vt:lpstr>
      <vt:lpstr>22-4</vt:lpstr>
      <vt:lpstr>23-4</vt:lpstr>
      <vt:lpstr>24-4</vt:lpstr>
      <vt:lpstr>25-4</vt:lpstr>
      <vt:lpstr>26-4</vt:lpstr>
      <vt:lpstr>27-4</vt:lpstr>
      <vt:lpstr>28-4</vt:lpstr>
      <vt:lpstr>29-4</vt:lpstr>
      <vt:lpstr>30-4</vt:lpstr>
      <vt:lpstr>31-4</vt:lpstr>
      <vt:lpstr>Sheet1</vt:lpstr>
      <vt:lpstr>گزار</vt:lpstr>
      <vt:lpstr>'1-4'!Print_Area</vt:lpstr>
      <vt:lpstr>'10-4'!Print_Area</vt:lpstr>
      <vt:lpstr>'11-4'!Print_Area</vt:lpstr>
      <vt:lpstr>'12-4'!Print_Area</vt:lpstr>
      <vt:lpstr>'13-4'!Print_Area</vt:lpstr>
      <vt:lpstr>'14-4'!Print_Area</vt:lpstr>
      <vt:lpstr>'15-4'!Print_Area</vt:lpstr>
      <vt:lpstr>'17-4'!Print_Area</vt:lpstr>
      <vt:lpstr>'18-4'!Print_Area</vt:lpstr>
      <vt:lpstr>'19-4'!Print_Area</vt:lpstr>
      <vt:lpstr>'2-4'!Print_Area</vt:lpstr>
      <vt:lpstr>'20-4'!Print_Area</vt:lpstr>
      <vt:lpstr>'21-4'!Print_Area</vt:lpstr>
      <vt:lpstr>'22-4'!Print_Area</vt:lpstr>
      <vt:lpstr>'23-4'!Print_Area</vt:lpstr>
      <vt:lpstr>'24-4'!Print_Area</vt:lpstr>
      <vt:lpstr>'25-4'!Print_Area</vt:lpstr>
      <vt:lpstr>'26-4'!Print_Area</vt:lpstr>
      <vt:lpstr>'27-4'!Print_Area</vt:lpstr>
      <vt:lpstr>'28-4'!Print_Area</vt:lpstr>
      <vt:lpstr>'29-4'!Print_Area</vt:lpstr>
      <vt:lpstr>'3-4'!Print_Area</vt:lpstr>
      <vt:lpstr>'30-4'!Print_Area</vt:lpstr>
      <vt:lpstr>'31-4'!Print_Area</vt:lpstr>
      <vt:lpstr>'4-16'!Print_Area</vt:lpstr>
      <vt:lpstr>'4-4'!Print_Area</vt:lpstr>
      <vt:lpstr>'5-4'!Print_Area</vt:lpstr>
      <vt:lpstr>'6-4'!Print_Area</vt:lpstr>
      <vt:lpstr>'7-4'!Print_Area</vt:lpstr>
      <vt:lpstr>'8-4'!Print_Area</vt:lpstr>
      <vt:lpstr>'9-4'!Print_Area</vt:lpstr>
      <vt:lpstr>'New TA'!Print_Area</vt:lpstr>
      <vt:lpstr>'تربیه معلم 4-12'!Print_Area</vt:lpstr>
    </vt:vector>
  </TitlesOfParts>
  <Company>MRT www.Win2Farsi.com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Moorche</dc:creator>
  <cp:lastModifiedBy>Jamshid Mohammadi</cp:lastModifiedBy>
  <cp:lastPrinted>2024-07-11T05:12:11Z</cp:lastPrinted>
  <dcterms:created xsi:type="dcterms:W3CDTF">2021-03-13T05:58:48Z</dcterms:created>
  <dcterms:modified xsi:type="dcterms:W3CDTF">2025-10-03T16:13:31Z</dcterms:modified>
</cp:coreProperties>
</file>